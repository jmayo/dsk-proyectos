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linas\Desktop\Proyecto\terminado\"/>
    </mc:Choice>
  </mc:AlternateContent>
  <bookViews>
    <workbookView xWindow="10230" yWindow="-20" windowWidth="10280" windowHeight="8180" activeTab="4"/>
  </bookViews>
  <sheets>
    <sheet name="Control" sheetId="6" r:id="rId1"/>
    <sheet name="Inventario" sheetId="1" r:id="rId2"/>
    <sheet name="Proyectos" sheetId="2" r:id="rId3"/>
    <sheet name="Hoja1" sheetId="10" r:id="rId4"/>
    <sheet name="Conceptos Desglosados" sheetId="9" r:id="rId5"/>
  </sheets>
  <definedNames>
    <definedName name="_xlnm._FilterDatabase" localSheetId="0" hidden="1">Control!$C$1:$O$4</definedName>
    <definedName name="_xlnm._FilterDatabase" localSheetId="1" hidden="1">Inventario!$O$5:$O$492</definedName>
    <definedName name="alojamiento">'Conceptos Desglosados'!$P$3:$Q$25</definedName>
    <definedName name="comandancia">'Conceptos Desglosados'!$AB$3:$AC$42</definedName>
    <definedName name="comedor">'Conceptos Desglosados'!$M$3:$N$49</definedName>
    <definedName name="comyaloj">'Conceptos Desglosados'!$Y$3:$Z$41</definedName>
    <definedName name="conceptos2">'Conceptos Desglosados'!$H$4:$H$35</definedName>
    <definedName name="conferencias">'Conceptos Desglosados'!$AK$3:$AL$7</definedName>
    <definedName name="dormitorios">'Conceptos Desglosados'!$J$3:$K$44</definedName>
    <definedName name="lista">tabla14['# por concepto]</definedName>
    <definedName name="mantenimiento">'Conceptos Desglosados'!$AE$3:$AF$19</definedName>
    <definedName name="PROYECTOS">Tabla1[Nombre del Proyecto / Cliente]</definedName>
    <definedName name="sanidad">'Conceptos Desglosados'!$S$3:$T$45</definedName>
    <definedName name="serestatal">'Conceptos Desglosados'!$AH$3:$AI$16</definedName>
    <definedName name="servicios">'Conceptos Desglosados'!$V$3:$W$23</definedName>
    <definedName name="Z_035DBD2E_5914_43EB_945A_19CAB0A2C688_.wvu.FilterData" localSheetId="1" hidden="1">Inventario!$B$6:$J$612</definedName>
    <definedName name="Z_03B7EE0C_45E7_4D24_873D_EE14AE0D8435_.wvu.FilterData" localSheetId="1" hidden="1">Inventario!$B$6:$J$612</definedName>
    <definedName name="Z_0DA2284E_C08E_44A4_ACA0_9D6DE4FEB934_.wvu.FilterData" localSheetId="1" hidden="1">Inventario!$B$1:$J$612</definedName>
    <definedName name="Z_0FFE50E3_BA5B_4E35_8E53_F4FACAE025D8_.wvu.FilterData" localSheetId="1" hidden="1">Inventario!$B$6:$J$612</definedName>
    <definedName name="Z_12C3EB44_05CB_44F5_9388_AB30D8048814_.wvu.FilterData" localSheetId="1" hidden="1">Inventario!$B$6:$J$612</definedName>
    <definedName name="Z_1976DC91_E290_4258_9F2E_9C8209EFF96E_.wvu.FilterData" localSheetId="1" hidden="1">Inventario!$B$6:$J$612</definedName>
    <definedName name="Z_2195429D_5AD3_4AB1_A2FC_E39DDCA2D7DF_.wvu.FilterData" localSheetId="1" hidden="1">Inventario!$B$6:$J$612</definedName>
    <definedName name="Z_24E638DF_1852_4685_BD75_D1530CDECE21_.wvu.FilterData" localSheetId="1" hidden="1">Inventario!$B$6:$J$612</definedName>
    <definedName name="Z_265818F6_B12E_4789_BBA0_55212EA80692_.wvu.FilterData" localSheetId="1" hidden="1">Inventario!$B$1:$J$612</definedName>
    <definedName name="Z_285770AE_A62E_40B9_B945_8D8AD91047AF_.wvu.FilterData" localSheetId="1" hidden="1">Inventario!$B$1:$J$612</definedName>
    <definedName name="Z_3033D320_A52E_4138_8556_5EF5CC3707FC_.wvu.FilterData" localSheetId="1" hidden="1">Inventario!$B$6:$J$612</definedName>
    <definedName name="Z_336ECB61_6801_4F99_A290_F0287EC911CD_.wvu.FilterData" localSheetId="1" hidden="1">Inventario!$B$6:$J$612</definedName>
    <definedName name="Z_354B33BD_C5EB_4804_91BA_936AE14287D9_.wvu.FilterData" localSheetId="1" hidden="1">Inventario!$B$6:$J$612</definedName>
    <definedName name="Z_374192A7_BA68_4882_979F_33563C413158_.wvu.FilterData" localSheetId="1" hidden="1">Inventario!$B$6:$J$612</definedName>
    <definedName name="Z_3AC50C12_425B_41D2_AA46_18560C59B2F4_.wvu.FilterData" localSheetId="1" hidden="1">Inventario!$B$1:$J$612</definedName>
    <definedName name="Z_3DC427E4_8C72_424E_99B5_DDEAE05EA452_.wvu.FilterData" localSheetId="1" hidden="1">Inventario!$B$6:$J$612</definedName>
    <definedName name="Z_4376B6B4_43B9_4882_90AB_AA68050968AC_.wvu.FilterData" localSheetId="1" hidden="1">Inventario!$B$6:$J$612</definedName>
    <definedName name="Z_50FFB588_49DB_41B6_8E7C_64347708B67E_.wvu.FilterData" localSheetId="1" hidden="1">Inventario!$B$6:$J$612</definedName>
    <definedName name="Z_57255D78_D060_430E_977A_7ADD3B14206F_.wvu.FilterData" localSheetId="1" hidden="1">Inventario!$B$6:$J$612</definedName>
    <definedName name="Z_5F135FAC_8885_473A_9733_FB96F1D6F436_.wvu.FilterData" localSheetId="1" hidden="1">Inventario!$B$6:$J$612</definedName>
    <definedName name="Z_6138A271_D335_407A_AEE3_193F60E04AB2_.wvu.FilterData" localSheetId="1" hidden="1">Inventario!$B$6:$J$612</definedName>
    <definedName name="Z_63F346E0_729E_4051_BF6F_7E03FADAAC2F_.wvu.FilterData" localSheetId="1" hidden="1">Inventario!$B$6:$J$612</definedName>
    <definedName name="Z_6F3C0A1C_6750_4C68_9F4B_464DF70A88C7_.wvu.FilterData" localSheetId="1" hidden="1">Inventario!$B$1:$J$612</definedName>
    <definedName name="Z_7FCD48A9_224A_4777_A1FF_FD380B2DC81E_.wvu.FilterData" localSheetId="1" hidden="1">Inventario!$B$1:$J$612</definedName>
    <definedName name="Z_889A3194_1AA4_4F29_B60F_2151005D4D8F_.wvu.FilterData" localSheetId="1" hidden="1">Inventario!$B$6:$J$612</definedName>
    <definedName name="Z_89D36432_9AC1_401B_8DE1_EDDBBECE1EC9_.wvu.FilterData" localSheetId="1" hidden="1">Inventario!$B$6:$J$612</definedName>
    <definedName name="Z_89FB724C_A211_4FD2_BBE1_A56EB83C8DAB_.wvu.FilterData" localSheetId="1" hidden="1">Inventario!$B$6:$J$612</definedName>
    <definedName name="Z_8FA6C7F1_FBE1_451D_B618_69F9D0452D86_.wvu.FilterData" localSheetId="1" hidden="1">Inventario!$B$6:$J$612</definedName>
    <definedName name="Z_9128C91A_C70A_4FD6_8D07_3717C90C41C8_.wvu.FilterData" localSheetId="1" hidden="1">Inventario!$B$6:$J$612</definedName>
    <definedName name="Z_947EAB40_F955_4649_9F88_793C041B5E77_.wvu.FilterData" localSheetId="1" hidden="1">Inventario!$B$6:$J$612</definedName>
    <definedName name="Z_9992C953_4A65_4423_90E3_57E96B61E2BB_.wvu.FilterData" localSheetId="1" hidden="1">Inventario!$B$1:$J$612</definedName>
    <definedName name="Z_9F87C53E_4870_41BD_8C08_AB777E2F0103_.wvu.FilterData" localSheetId="1" hidden="1">Inventario!$B$6:$J$612</definedName>
    <definedName name="Z_A296347E_FB4B_4658_979B_179AA2255264_.wvu.FilterData" localSheetId="1" hidden="1">Inventario!$B$6:$J$612</definedName>
    <definedName name="Z_A59B7D33_623E_4C17_8F0C_CD30F317BD11_.wvu.FilterData" localSheetId="1" hidden="1">Inventario!$B$6:$J$612</definedName>
    <definedName name="Z_B33548BB_32D3_46C6_AA5D_E320D637FA06_.wvu.FilterData" localSheetId="1" hidden="1">Inventario!$B$6:$J$612</definedName>
    <definedName name="Z_BB50AA1B_FF43_467C_90A8_3E30583B0788_.wvu.FilterData" localSheetId="1" hidden="1">Inventario!$B$1:$J$612</definedName>
    <definedName name="Z_C232DADF_781F_4EE1_9684_D160C6BF791A_.wvu.FilterData" localSheetId="1" hidden="1">Inventario!$B$6:$J$612</definedName>
    <definedName name="Z_CAF4047A_4CE2_4D07_B0CB_5FECDDA6C685_.wvu.FilterData" localSheetId="1" hidden="1">Inventario!$B$6:$J$612</definedName>
    <definedName name="Z_CCCC6D0E_E1F5_4CE5_94FC_B4B4710C7BE4_.wvu.FilterData" localSheetId="1" hidden="1">Inventario!$B$1:$J$612</definedName>
    <definedName name="Z_E1D95866_9155_4004_94AF_91E022EF032C_.wvu.FilterData" localSheetId="1" hidden="1">Inventario!$B$6:$J$612</definedName>
    <definedName name="Z_E29EA0A6_7231_4EA3_A764_B44C65A6D65D_.wvu.FilterData" localSheetId="1" hidden="1">Inventario!$B$6:$J$612</definedName>
    <definedName name="Z_F6FC5B26_E55E_48ED_A654_F586B8401CF9_.wvu.FilterData" localSheetId="1" hidden="1">Inventario!$B$6:$J$612</definedName>
  </definedNames>
  <calcPr calcId="152511"/>
</workbook>
</file>

<file path=xl/calcChain.xml><?xml version="1.0" encoding="utf-8"?>
<calcChain xmlns="http://schemas.openxmlformats.org/spreadsheetml/2006/main">
  <c r="F1" i="9" l="1"/>
  <c r="E1" i="9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J7" i="10"/>
  <c r="J8" i="10"/>
  <c r="J9" i="10"/>
  <c r="J10" i="10"/>
  <c r="J11" i="10"/>
  <c r="J12" i="10"/>
  <c r="J13" i="10"/>
  <c r="J14" i="10"/>
  <c r="J15" i="10"/>
  <c r="J16" i="10"/>
  <c r="J17" i="10"/>
  <c r="J6" i="10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A14" i="2"/>
  <c r="O6" i="1" l="1"/>
  <c r="O14" i="1"/>
  <c r="O22" i="1"/>
  <c r="O30" i="1"/>
  <c r="O38" i="1"/>
  <c r="O46" i="1"/>
  <c r="O54" i="1"/>
  <c r="O62" i="1"/>
  <c r="O70" i="1"/>
  <c r="O78" i="1"/>
  <c r="O86" i="1"/>
  <c r="O94" i="1"/>
  <c r="O102" i="1"/>
  <c r="O110" i="1"/>
  <c r="O118" i="1"/>
  <c r="O126" i="1"/>
  <c r="O134" i="1"/>
  <c r="O142" i="1"/>
  <c r="O146" i="1"/>
  <c r="O150" i="1"/>
  <c r="O10" i="1"/>
  <c r="O18" i="1"/>
  <c r="O26" i="1"/>
  <c r="O34" i="1"/>
  <c r="O42" i="1"/>
  <c r="O50" i="1"/>
  <c r="O58" i="1"/>
  <c r="O66" i="1"/>
  <c r="O74" i="1"/>
  <c r="O82" i="1"/>
  <c r="O90" i="1"/>
  <c r="O98" i="1"/>
  <c r="O106" i="1"/>
  <c r="O114" i="1"/>
  <c r="O122" i="1"/>
  <c r="O130" i="1"/>
  <c r="O138" i="1"/>
  <c r="O154" i="1"/>
  <c r="O158" i="1"/>
  <c r="O162" i="1"/>
  <c r="O166" i="1"/>
  <c r="O170" i="1"/>
  <c r="O174" i="1"/>
  <c r="O178" i="1"/>
  <c r="O182" i="1"/>
  <c r="O186" i="1"/>
  <c r="O190" i="1"/>
  <c r="O194" i="1"/>
  <c r="O198" i="1"/>
  <c r="O202" i="1"/>
  <c r="O206" i="1"/>
  <c r="O210" i="1"/>
  <c r="O214" i="1"/>
  <c r="O218" i="1"/>
  <c r="O222" i="1"/>
  <c r="O226" i="1"/>
  <c r="O230" i="1"/>
  <c r="O234" i="1"/>
  <c r="O238" i="1"/>
  <c r="O242" i="1"/>
  <c r="O246" i="1"/>
  <c r="O250" i="1"/>
  <c r="O254" i="1"/>
  <c r="O258" i="1"/>
  <c r="O262" i="1"/>
  <c r="O266" i="1"/>
  <c r="O270" i="1"/>
  <c r="O274" i="1"/>
  <c r="O278" i="1"/>
  <c r="O282" i="1"/>
  <c r="O286" i="1"/>
  <c r="O290" i="1"/>
  <c r="O294" i="1"/>
  <c r="O298" i="1"/>
  <c r="O302" i="1"/>
  <c r="O306" i="1"/>
  <c r="O310" i="1"/>
  <c r="O314" i="1"/>
  <c r="O318" i="1"/>
  <c r="O322" i="1"/>
  <c r="O326" i="1"/>
  <c r="O330" i="1"/>
  <c r="O334" i="1"/>
  <c r="O338" i="1"/>
  <c r="O342" i="1"/>
  <c r="O346" i="1"/>
  <c r="O350" i="1"/>
  <c r="O354" i="1"/>
  <c r="O358" i="1"/>
  <c r="O362" i="1"/>
  <c r="O366" i="1"/>
  <c r="O370" i="1"/>
  <c r="O374" i="1"/>
  <c r="O378" i="1"/>
  <c r="O382" i="1"/>
  <c r="O386" i="1"/>
  <c r="O390" i="1"/>
  <c r="O394" i="1"/>
  <c r="O398" i="1"/>
  <c r="O402" i="1"/>
  <c r="O406" i="1"/>
  <c r="O410" i="1"/>
  <c r="O414" i="1"/>
  <c r="O418" i="1"/>
  <c r="O422" i="1"/>
  <c r="O426" i="1"/>
  <c r="O430" i="1"/>
  <c r="O434" i="1"/>
  <c r="O438" i="1"/>
  <c r="O442" i="1"/>
  <c r="O446" i="1"/>
  <c r="O450" i="1"/>
  <c r="O454" i="1"/>
  <c r="O458" i="1"/>
  <c r="O462" i="1"/>
  <c r="O466" i="1"/>
  <c r="O470" i="1"/>
  <c r="O474" i="1"/>
  <c r="O478" i="1"/>
  <c r="O482" i="1"/>
  <c r="O486" i="1"/>
  <c r="O490" i="1"/>
  <c r="O349" i="1"/>
  <c r="O353" i="1"/>
  <c r="O357" i="1"/>
  <c r="O361" i="1"/>
  <c r="O365" i="1"/>
  <c r="O369" i="1"/>
  <c r="O373" i="1"/>
  <c r="O377" i="1"/>
  <c r="O381" i="1"/>
  <c r="O385" i="1"/>
  <c r="O389" i="1"/>
  <c r="O393" i="1"/>
  <c r="O397" i="1"/>
  <c r="O401" i="1"/>
  <c r="O405" i="1"/>
  <c r="O409" i="1"/>
  <c r="O413" i="1"/>
  <c r="O417" i="1"/>
  <c r="O421" i="1"/>
  <c r="O425" i="1"/>
  <c r="O429" i="1"/>
  <c r="O433" i="1"/>
  <c r="O437" i="1"/>
  <c r="O441" i="1"/>
  <c r="O445" i="1"/>
  <c r="O449" i="1"/>
  <c r="O453" i="1"/>
  <c r="O457" i="1"/>
  <c r="O461" i="1"/>
  <c r="O465" i="1"/>
  <c r="O469" i="1"/>
  <c r="O473" i="1"/>
  <c r="O477" i="1"/>
  <c r="O481" i="1"/>
  <c r="O485" i="1"/>
  <c r="O489" i="1"/>
  <c r="O11" i="1"/>
  <c r="O27" i="1"/>
  <c r="O35" i="1"/>
  <c r="O51" i="1"/>
  <c r="O63" i="1"/>
  <c r="O71" i="1"/>
  <c r="O83" i="1"/>
  <c r="O95" i="1"/>
  <c r="O111" i="1"/>
  <c r="O123" i="1"/>
  <c r="O135" i="1"/>
  <c r="O147" i="1"/>
  <c r="O159" i="1"/>
  <c r="O167" i="1"/>
  <c r="O187" i="1"/>
  <c r="O195" i="1"/>
  <c r="O211" i="1"/>
  <c r="O223" i="1"/>
  <c r="O231" i="1"/>
  <c r="O239" i="1"/>
  <c r="O243" i="1"/>
  <c r="O247" i="1"/>
  <c r="O251" i="1"/>
  <c r="O255" i="1"/>
  <c r="O259" i="1"/>
  <c r="O263" i="1"/>
  <c r="O267" i="1"/>
  <c r="O271" i="1"/>
  <c r="O275" i="1"/>
  <c r="O279" i="1"/>
  <c r="O283" i="1"/>
  <c r="O287" i="1"/>
  <c r="O291" i="1"/>
  <c r="O295" i="1"/>
  <c r="O299" i="1"/>
  <c r="O303" i="1"/>
  <c r="O307" i="1"/>
  <c r="O311" i="1"/>
  <c r="O315" i="1"/>
  <c r="O319" i="1"/>
  <c r="O323" i="1"/>
  <c r="O327" i="1"/>
  <c r="O331" i="1"/>
  <c r="O335" i="1"/>
  <c r="O339" i="1"/>
  <c r="O343" i="1"/>
  <c r="O347" i="1"/>
  <c r="O351" i="1"/>
  <c r="O355" i="1"/>
  <c r="O359" i="1"/>
  <c r="O363" i="1"/>
  <c r="O367" i="1"/>
  <c r="O371" i="1"/>
  <c r="O375" i="1"/>
  <c r="O379" i="1"/>
  <c r="O383" i="1"/>
  <c r="O387" i="1"/>
  <c r="O15" i="1"/>
  <c r="O23" i="1"/>
  <c r="O39" i="1"/>
  <c r="O47" i="1"/>
  <c r="O59" i="1"/>
  <c r="O75" i="1"/>
  <c r="O87" i="1"/>
  <c r="O99" i="1"/>
  <c r="O107" i="1"/>
  <c r="O119" i="1"/>
  <c r="O131" i="1"/>
  <c r="O143" i="1"/>
  <c r="O155" i="1"/>
  <c r="O171" i="1"/>
  <c r="O183" i="1"/>
  <c r="O203" i="1"/>
  <c r="O12" i="1"/>
  <c r="O16" i="1"/>
  <c r="O20" i="1"/>
  <c r="O28" i="1"/>
  <c r="O32" i="1"/>
  <c r="O36" i="1"/>
  <c r="O40" i="1"/>
  <c r="O44" i="1"/>
  <c r="O48" i="1"/>
  <c r="O52" i="1"/>
  <c r="O56" i="1"/>
  <c r="O60" i="1"/>
  <c r="O64" i="1"/>
  <c r="O68" i="1"/>
  <c r="O72" i="1"/>
  <c r="O76" i="1"/>
  <c r="O80" i="1"/>
  <c r="O84" i="1"/>
  <c r="O88" i="1"/>
  <c r="O92" i="1"/>
  <c r="O96" i="1"/>
  <c r="O100" i="1"/>
  <c r="O104" i="1"/>
  <c r="O108" i="1"/>
  <c r="O112" i="1"/>
  <c r="O116" i="1"/>
  <c r="O120" i="1"/>
  <c r="O124" i="1"/>
  <c r="O128" i="1"/>
  <c r="O132" i="1"/>
  <c r="O136" i="1"/>
  <c r="O140" i="1"/>
  <c r="O144" i="1"/>
  <c r="O148" i="1"/>
  <c r="O152" i="1"/>
  <c r="O7" i="1"/>
  <c r="O19" i="1"/>
  <c r="O31" i="1"/>
  <c r="O43" i="1"/>
  <c r="O55" i="1"/>
  <c r="O67" i="1"/>
  <c r="O79" i="1"/>
  <c r="O91" i="1"/>
  <c r="O103" i="1"/>
  <c r="O115" i="1"/>
  <c r="O127" i="1"/>
  <c r="O139" i="1"/>
  <c r="O151" i="1"/>
  <c r="O163" i="1"/>
  <c r="O175" i="1"/>
  <c r="O179" i="1"/>
  <c r="O191" i="1"/>
  <c r="O199" i="1"/>
  <c r="O207" i="1"/>
  <c r="O215" i="1"/>
  <c r="O219" i="1"/>
  <c r="O227" i="1"/>
  <c r="O235" i="1"/>
  <c r="O8" i="1"/>
  <c r="O24" i="1"/>
  <c r="O391" i="1"/>
  <c r="O395" i="1"/>
  <c r="O399" i="1"/>
  <c r="O403" i="1"/>
  <c r="O407" i="1"/>
  <c r="O411" i="1"/>
  <c r="O415" i="1"/>
  <c r="O419" i="1"/>
  <c r="O423" i="1"/>
  <c r="O427" i="1"/>
  <c r="O431" i="1"/>
  <c r="O435" i="1"/>
  <c r="O439" i="1"/>
  <c r="O443" i="1"/>
  <c r="O447" i="1"/>
  <c r="O451" i="1"/>
  <c r="O455" i="1"/>
  <c r="O459" i="1"/>
  <c r="O463" i="1"/>
  <c r="O467" i="1"/>
  <c r="O471" i="1"/>
  <c r="O475" i="1"/>
  <c r="O479" i="1"/>
  <c r="O483" i="1"/>
  <c r="O487" i="1"/>
  <c r="O491" i="1"/>
  <c r="O156" i="1"/>
  <c r="O160" i="1"/>
  <c r="O164" i="1"/>
  <c r="O168" i="1"/>
  <c r="O172" i="1"/>
  <c r="O176" i="1"/>
  <c r="O180" i="1"/>
  <c r="O184" i="1"/>
  <c r="O188" i="1"/>
  <c r="O192" i="1"/>
  <c r="O196" i="1"/>
  <c r="O200" i="1"/>
  <c r="O204" i="1"/>
  <c r="O208" i="1"/>
  <c r="O212" i="1"/>
  <c r="O216" i="1"/>
  <c r="O220" i="1"/>
  <c r="O224" i="1"/>
  <c r="O228" i="1"/>
  <c r="O232" i="1"/>
  <c r="O236" i="1"/>
  <c r="O240" i="1"/>
  <c r="O244" i="1"/>
  <c r="O248" i="1"/>
  <c r="O252" i="1"/>
  <c r="O256" i="1"/>
  <c r="O260" i="1"/>
  <c r="O264" i="1"/>
  <c r="O268" i="1"/>
  <c r="O272" i="1"/>
  <c r="O276" i="1"/>
  <c r="O280" i="1"/>
  <c r="O284" i="1"/>
  <c r="O288" i="1"/>
  <c r="O292" i="1"/>
  <c r="O296" i="1"/>
  <c r="O300" i="1"/>
  <c r="O304" i="1"/>
  <c r="O308" i="1"/>
  <c r="O312" i="1"/>
  <c r="O316" i="1"/>
  <c r="O320" i="1"/>
  <c r="O324" i="1"/>
  <c r="O328" i="1"/>
  <c r="O332" i="1"/>
  <c r="O336" i="1"/>
  <c r="O340" i="1"/>
  <c r="O344" i="1"/>
  <c r="O348" i="1"/>
  <c r="O352" i="1"/>
  <c r="O356" i="1"/>
  <c r="O360" i="1"/>
  <c r="O364" i="1"/>
  <c r="O368" i="1"/>
  <c r="O372" i="1"/>
  <c r="O376" i="1"/>
  <c r="O380" i="1"/>
  <c r="O384" i="1"/>
  <c r="O388" i="1"/>
  <c r="O392" i="1"/>
  <c r="O396" i="1"/>
  <c r="O400" i="1"/>
  <c r="O404" i="1"/>
  <c r="O408" i="1"/>
  <c r="O412" i="1"/>
  <c r="O416" i="1"/>
  <c r="O420" i="1"/>
  <c r="O424" i="1"/>
  <c r="O428" i="1"/>
  <c r="O432" i="1"/>
  <c r="O436" i="1"/>
  <c r="O440" i="1"/>
  <c r="O444" i="1"/>
  <c r="O448" i="1"/>
  <c r="O452" i="1"/>
  <c r="O456" i="1"/>
  <c r="O460" i="1"/>
  <c r="O464" i="1"/>
  <c r="O468" i="1"/>
  <c r="O472" i="1"/>
  <c r="O476" i="1"/>
  <c r="O480" i="1"/>
  <c r="O484" i="1"/>
  <c r="O488" i="1"/>
  <c r="O492" i="1"/>
  <c r="O13" i="1"/>
  <c r="O25" i="1"/>
  <c r="O33" i="1"/>
  <c r="O41" i="1"/>
  <c r="O49" i="1"/>
  <c r="O57" i="1"/>
  <c r="O65" i="1"/>
  <c r="O73" i="1"/>
  <c r="O85" i="1"/>
  <c r="O89" i="1"/>
  <c r="O97" i="1"/>
  <c r="O101" i="1"/>
  <c r="O105" i="1"/>
  <c r="O109" i="1"/>
  <c r="O113" i="1"/>
  <c r="O117" i="1"/>
  <c r="O121" i="1"/>
  <c r="O125" i="1"/>
  <c r="O129" i="1"/>
  <c r="O133" i="1"/>
  <c r="O137" i="1"/>
  <c r="O141" i="1"/>
  <c r="O145" i="1"/>
  <c r="O149" i="1"/>
  <c r="O153" i="1"/>
  <c r="O157" i="1"/>
  <c r="O161" i="1"/>
  <c r="O165" i="1"/>
  <c r="O169" i="1"/>
  <c r="O173" i="1"/>
  <c r="O177" i="1"/>
  <c r="O181" i="1"/>
  <c r="O185" i="1"/>
  <c r="O189" i="1"/>
  <c r="O193" i="1"/>
  <c r="O197" i="1"/>
  <c r="O201" i="1"/>
  <c r="O205" i="1"/>
  <c r="O209" i="1"/>
  <c r="O213" i="1"/>
  <c r="O217" i="1"/>
  <c r="O221" i="1"/>
  <c r="O225" i="1"/>
  <c r="O229" i="1"/>
  <c r="O233" i="1"/>
  <c r="O237" i="1"/>
  <c r="O241" i="1"/>
  <c r="O245" i="1"/>
  <c r="O249" i="1"/>
  <c r="O253" i="1"/>
  <c r="O257" i="1"/>
  <c r="O261" i="1"/>
  <c r="O265" i="1"/>
  <c r="O269" i="1"/>
  <c r="O273" i="1"/>
  <c r="O277" i="1"/>
  <c r="O281" i="1"/>
  <c r="O285" i="1"/>
  <c r="O289" i="1"/>
  <c r="O293" i="1"/>
  <c r="O297" i="1"/>
  <c r="O301" i="1"/>
  <c r="O305" i="1"/>
  <c r="O309" i="1"/>
  <c r="O313" i="1"/>
  <c r="O317" i="1"/>
  <c r="O321" i="1"/>
  <c r="O325" i="1"/>
  <c r="O329" i="1"/>
  <c r="O333" i="1"/>
  <c r="O337" i="1"/>
  <c r="O341" i="1"/>
  <c r="O345" i="1"/>
  <c r="O9" i="1"/>
  <c r="O21" i="1"/>
  <c r="O29" i="1"/>
  <c r="O37" i="1"/>
  <c r="O45" i="1"/>
  <c r="O53" i="1"/>
  <c r="O61" i="1"/>
  <c r="O69" i="1"/>
  <c r="O77" i="1"/>
  <c r="O81" i="1"/>
  <c r="O93" i="1"/>
  <c r="O17" i="1"/>
  <c r="A13" i="2"/>
  <c r="A12" i="2"/>
  <c r="A11" i="2"/>
  <c r="A10" i="2" l="1"/>
  <c r="A9" i="2" l="1"/>
  <c r="A8" i="2" l="1"/>
  <c r="A7" i="2"/>
  <c r="A6" i="2" l="1"/>
  <c r="A5" i="2"/>
  <c r="G5" i="9" l="1"/>
  <c r="G6" i="9"/>
  <c r="G7" i="9"/>
  <c r="G8" i="9"/>
  <c r="G9" i="9"/>
  <c r="G10" i="9"/>
  <c r="G11" i="9"/>
  <c r="G12" i="9"/>
  <c r="G13" i="9"/>
  <c r="B26" i="9"/>
  <c r="B27" i="9"/>
  <c r="B28" i="9"/>
  <c r="B29" i="9"/>
  <c r="B30" i="9"/>
  <c r="B31" i="9"/>
  <c r="D5" i="9"/>
  <c r="D6" i="9"/>
  <c r="D7" i="9"/>
  <c r="D8" i="9"/>
  <c r="D9" i="9"/>
  <c r="D10" i="9"/>
  <c r="D11" i="9"/>
  <c r="D12" i="9"/>
  <c r="D13" i="9"/>
  <c r="G4" i="9"/>
  <c r="D4" i="9"/>
  <c r="A4" i="2" l="1"/>
</calcChain>
</file>

<file path=xl/sharedStrings.xml><?xml version="1.0" encoding="utf-8"?>
<sst xmlns="http://schemas.openxmlformats.org/spreadsheetml/2006/main" count="3926" uniqueCount="1392">
  <si>
    <t>liso-liso</t>
  </si>
  <si>
    <t>muro ciego</t>
  </si>
  <si>
    <t>nariz-liso</t>
  </si>
  <si>
    <t>alto</t>
  </si>
  <si>
    <t>largo</t>
  </si>
  <si>
    <t>liso-nariz</t>
  </si>
  <si>
    <t>pza</t>
  </si>
  <si>
    <t>u</t>
  </si>
  <si>
    <t>clave</t>
  </si>
  <si>
    <t>nariz-nariz</t>
  </si>
  <si>
    <t>INT.</t>
  </si>
  <si>
    <t>EXT.</t>
  </si>
  <si>
    <t>SUMCOLAR-2750-AS</t>
  </si>
  <si>
    <t>SUMCOLAR-2750-BS</t>
  </si>
  <si>
    <t>PRF101-2S</t>
  </si>
  <si>
    <t>PRF101-3S</t>
  </si>
  <si>
    <t>ARRE-8000S</t>
  </si>
  <si>
    <t>PREF-314-S</t>
  </si>
  <si>
    <t>PRF310-SEN</t>
  </si>
  <si>
    <t>PREF311S</t>
  </si>
  <si>
    <t>PREF312S</t>
  </si>
  <si>
    <t>m2</t>
  </si>
  <si>
    <t>muro puerta (0.90cm)</t>
  </si>
  <si>
    <t>TECHADO</t>
  </si>
  <si>
    <t>muro 2 vent (0.69x0.49)</t>
  </si>
  <si>
    <t>PZA</t>
  </si>
  <si>
    <t>ROLLOS DE FIBRA MBI R-7 2"</t>
  </si>
  <si>
    <t>ROLLO</t>
  </si>
  <si>
    <t>ROLLO FIBRA DE VIDRIO RF-3075 C/ALUM. REFZ.1.5" X 1.22 MTS X 30.48 MTS</t>
  </si>
  <si>
    <t>SOPORTE DE CABALLETE</t>
  </si>
  <si>
    <t>CANAL LISTON 3050 MM CAL. 26</t>
  </si>
  <si>
    <t>J-CHANEL 5/8" WHITE</t>
  </si>
  <si>
    <t>VINIL SOFFIT PLAIN SOLID 12'  WHITE</t>
  </si>
  <si>
    <t>CUBETA</t>
  </si>
  <si>
    <t>CAJAS</t>
  </si>
  <si>
    <t xml:space="preserve">V E N T A N A S    Y    P U E R T A S </t>
  </si>
  <si>
    <t>ANGULO DE PVC 2 1/2" x 2 1/2" x 2.22 LARGO (PUERTA)</t>
  </si>
  <si>
    <t>ANGULO DE PVC 2.5" x 2.5" x 3780 LARGO</t>
  </si>
  <si>
    <t>ANGULO DE PVC 2.5" x 2.5" x 1.91 LARGO</t>
  </si>
  <si>
    <t>ANGULO DE PVC 2.5" x 1.0" x 1.27 LARGO</t>
  </si>
  <si>
    <t>PUERTA DE 80 X 213 CMS.</t>
  </si>
  <si>
    <t>PUERTA DE 90 X 213 CMS.</t>
  </si>
  <si>
    <t>BISAGRA</t>
  </si>
  <si>
    <t>ESCALONADO ALUMINIO BLANCO 2"</t>
  </si>
  <si>
    <t>MADERA DE PINO 2x8x16 No 1 (CAN)</t>
  </si>
  <si>
    <t xml:space="preserve">CHAPA PUERTA </t>
  </si>
  <si>
    <t>ANGULO DE PVC 2 1/2" x 1" x 2.22 LARGO (puerta)</t>
  </si>
  <si>
    <t>ANGULO DE PVC 2 1/2" x 2 1/2" x 1.15 largo (puerta)</t>
  </si>
  <si>
    <t>LUME-2x32</t>
  </si>
  <si>
    <t>LUMINARIA 2 x 32w</t>
  </si>
  <si>
    <t>LUMINARIAS</t>
  </si>
  <si>
    <t>T3 PRESTIGE BEIGE R.L. 12''</t>
  </si>
  <si>
    <t>INETUERC-53000000</t>
  </si>
  <si>
    <t>TUERCAS 3/8" (ARMADURAS)</t>
  </si>
  <si>
    <t>INETOHEX-55000383</t>
  </si>
  <si>
    <t>INETOHEX-54003834</t>
  </si>
  <si>
    <t>INEROPRE-56000038</t>
  </si>
  <si>
    <t>PIJA S-1 5/8" (FORRADO MUROS)</t>
  </si>
  <si>
    <t>ANGULO DE 1/2'' x  1" X 1/8" DE 6 MTS. (FIJACION DE MURO)</t>
  </si>
  <si>
    <t>muro puerta central (0.90cm)</t>
  </si>
  <si>
    <t>MCLL-001</t>
  </si>
  <si>
    <t>MCLL-002</t>
  </si>
  <si>
    <t>MCLL-003</t>
  </si>
  <si>
    <t>MCLL-004</t>
  </si>
  <si>
    <t>MCLL-005</t>
  </si>
  <si>
    <t>MCLL-006</t>
  </si>
  <si>
    <t>MCLL-007</t>
  </si>
  <si>
    <t>MCLL-008</t>
  </si>
  <si>
    <t>MCLL-009</t>
  </si>
  <si>
    <t>MCLL-010</t>
  </si>
  <si>
    <t>MCLL-011</t>
  </si>
  <si>
    <t>MCLL-012</t>
  </si>
  <si>
    <t>MPLL-001</t>
  </si>
  <si>
    <t>MPLL-002</t>
  </si>
  <si>
    <t>MPLL-003</t>
  </si>
  <si>
    <t>MPLL-004</t>
  </si>
  <si>
    <t>MPLL-005</t>
  </si>
  <si>
    <t>MPLL-006</t>
  </si>
  <si>
    <t>MPLL-007</t>
  </si>
  <si>
    <t>MPLL-008</t>
  </si>
  <si>
    <t>MPLL-009</t>
  </si>
  <si>
    <t>MPLL-010</t>
  </si>
  <si>
    <t>MPLL-011</t>
  </si>
  <si>
    <t>MPLL-012</t>
  </si>
  <si>
    <t>MPLL-013</t>
  </si>
  <si>
    <t>MCLL-014</t>
  </si>
  <si>
    <t>MCLL-015</t>
  </si>
  <si>
    <t>MCLL-016</t>
  </si>
  <si>
    <t>MCLL-017</t>
  </si>
  <si>
    <t>MCLL-018</t>
  </si>
  <si>
    <t>MCLL-019</t>
  </si>
  <si>
    <t>MCLL-020</t>
  </si>
  <si>
    <t>MCLL-021</t>
  </si>
  <si>
    <t>MCLL-022</t>
  </si>
  <si>
    <t>MCLL-023</t>
  </si>
  <si>
    <t>MVBL-001</t>
  </si>
  <si>
    <t>MVBL-002</t>
  </si>
  <si>
    <t>MVBL-004</t>
  </si>
  <si>
    <t>MPBL-003</t>
  </si>
  <si>
    <t>MVBL-006</t>
  </si>
  <si>
    <t>MVBL-005</t>
  </si>
  <si>
    <t>MPBL-001</t>
  </si>
  <si>
    <t>MPBL-002</t>
  </si>
  <si>
    <t>MCBL-002</t>
  </si>
  <si>
    <t>MPVBL-001</t>
  </si>
  <si>
    <t>MCLL-024</t>
  </si>
  <si>
    <t>MCLL-025</t>
  </si>
  <si>
    <t>MCLL-026</t>
  </si>
  <si>
    <t>MCLL-027</t>
  </si>
  <si>
    <t>MCLL-028</t>
  </si>
  <si>
    <t>MCLL-029</t>
  </si>
  <si>
    <t>MCLL-030</t>
  </si>
  <si>
    <t>muro ventana (0.69x0.49)  izq</t>
  </si>
  <si>
    <t>muro ventana (0.69x0.49)  der</t>
  </si>
  <si>
    <t>muro puerta (0.90cm) der</t>
  </si>
  <si>
    <t>muro puerta (0.90cm) izq</t>
  </si>
  <si>
    <t>PIJA S-1 " (FORRADO MUROS)</t>
  </si>
  <si>
    <t>MPLL-014</t>
  </si>
  <si>
    <t>H TRIM S.L. WHITE 2.735 MTS</t>
  </si>
  <si>
    <t>MCLL-013</t>
  </si>
  <si>
    <t>MVLL-001</t>
  </si>
  <si>
    <t>MVBL-003</t>
  </si>
  <si>
    <t>MVBL-007</t>
  </si>
  <si>
    <t>T3 LINEN WHITE R.L. 6''</t>
  </si>
  <si>
    <t xml:space="preserve">  </t>
  </si>
  <si>
    <t xml:space="preserve">PISO DE LOSETA </t>
  </si>
  <si>
    <t>M2</t>
  </si>
  <si>
    <t>INSTALACION HIDROSANITARIA</t>
  </si>
  <si>
    <t xml:space="preserve">WC TANQUE BAJO </t>
  </si>
  <si>
    <t>MINGITORIO ACERO INOX</t>
  </si>
  <si>
    <t>LLAVE DE NARIZ</t>
  </si>
  <si>
    <t>MCFL-001</t>
  </si>
  <si>
    <t>fach-lin</t>
  </si>
  <si>
    <t>MVFL-001</t>
  </si>
  <si>
    <t>LAVAMANOS SENCILLO ACERO INOX 1.50</t>
  </si>
  <si>
    <t>LAVAMANOS CERAMICA</t>
  </si>
  <si>
    <t>MINGITORIO CERAMICA</t>
  </si>
  <si>
    <t xml:space="preserve">IMPERMEABILIZANTE </t>
  </si>
  <si>
    <t>FIRME</t>
  </si>
  <si>
    <t>LUMINARIA 2 x 20w</t>
  </si>
  <si>
    <t>LUME-1x14</t>
  </si>
  <si>
    <t>LUME-2x20</t>
  </si>
  <si>
    <t>DESCRIPCION</t>
  </si>
  <si>
    <t>TORNILLO HEXAGONAL 3/8"-16 X 3" (ARMADURA)</t>
  </si>
  <si>
    <t>TORNILLO HEXAGONAL 3/8"-16 X 1 3/4" (ARMADURA)</t>
  </si>
  <si>
    <t>RONDANA DE PRESION 3/8" (ARMADURA)</t>
  </si>
  <si>
    <t>CONECTOR SUPERIOR (ARMADURA)</t>
  </si>
  <si>
    <t>CONECTOR INFERIOR (ARMADURA)</t>
  </si>
  <si>
    <t>CONECTOR CUMBRERA (ARMADURA)</t>
  </si>
  <si>
    <t>LARGUERO ESTRUCTURAL</t>
  </si>
  <si>
    <t>TIRANTES ESTRUCTURALES</t>
  </si>
  <si>
    <t xml:space="preserve">TOPE PARA PUERTA </t>
  </si>
  <si>
    <t>MCLL-039</t>
  </si>
  <si>
    <t>MCLL-040</t>
  </si>
  <si>
    <t>MCLL-041</t>
  </si>
  <si>
    <t>MCLL-042</t>
  </si>
  <si>
    <t>MCLL-043</t>
  </si>
  <si>
    <t>MCLL-044</t>
  </si>
  <si>
    <t>MCLL-045</t>
  </si>
  <si>
    <t>MCLL-046</t>
  </si>
  <si>
    <t>MCLL-031</t>
  </si>
  <si>
    <t>MCLL-032</t>
  </si>
  <si>
    <t>MCLL-033</t>
  </si>
  <si>
    <t>MCLL-034</t>
  </si>
  <si>
    <t>MCLL-035</t>
  </si>
  <si>
    <t>MCLL-036</t>
  </si>
  <si>
    <t>MCLL-037</t>
  </si>
  <si>
    <t>MCLL-038</t>
  </si>
  <si>
    <t>MCLL-047</t>
  </si>
  <si>
    <t>MCLL-048</t>
  </si>
  <si>
    <t>MCLL-049</t>
  </si>
  <si>
    <t>MCLL-050</t>
  </si>
  <si>
    <t>MCLL-051</t>
  </si>
  <si>
    <t>MCLL-052</t>
  </si>
  <si>
    <t>MPLL-015</t>
  </si>
  <si>
    <t>MPLL-016</t>
  </si>
  <si>
    <t>MPLL-017</t>
  </si>
  <si>
    <t>MPLL-018</t>
  </si>
  <si>
    <t>MPLL-019</t>
  </si>
  <si>
    <t>MPLL-020</t>
  </si>
  <si>
    <t>MCLL-053</t>
  </si>
  <si>
    <t>MCLL-054</t>
  </si>
  <si>
    <t>MCLL-055</t>
  </si>
  <si>
    <t>MCLL-056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</si>
  <si>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</si>
  <si>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</si>
  <si>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</si>
  <si>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</si>
  <si>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</si>
  <si>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</si>
  <si>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</si>
  <si>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</si>
  <si>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</si>
  <si>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</si>
  <si>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</si>
  <si>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</si>
  <si>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</si>
  <si>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</si>
  <si>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</si>
  <si>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</si>
  <si>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</si>
  <si>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</si>
  <si>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</si>
  <si>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</si>
  <si>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</si>
  <si>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</si>
  <si>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</si>
  <si>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</si>
  <si>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</si>
  <si>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</si>
  <si>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</si>
  <si>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</si>
  <si>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</si>
  <si>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</si>
  <si>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C1</t>
  </si>
  <si>
    <t>C2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</si>
  <si>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</si>
  <si>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</si>
  <si>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</si>
  <si>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</si>
  <si>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</si>
  <si>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</si>
  <si>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</si>
  <si>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</si>
  <si>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</si>
  <si>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</si>
  <si>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</si>
  <si>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</si>
  <si>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</si>
  <si>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</si>
  <si>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</si>
  <si>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</si>
  <si>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</si>
  <si>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</si>
  <si>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</si>
  <si>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</si>
  <si>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</si>
  <si>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</si>
  <si>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</si>
  <si>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</si>
  <si>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V1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</si>
  <si>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</si>
  <si>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</si>
  <si>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</si>
  <si>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</si>
  <si>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</si>
  <si>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</si>
  <si>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</si>
  <si>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</si>
  <si>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</si>
  <si>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</si>
  <si>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</si>
  <si>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</si>
  <si>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</si>
  <si>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</si>
  <si>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</si>
  <si>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</si>
  <si>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</si>
  <si>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</si>
  <si>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</si>
  <si>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</si>
  <si>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Cb1</t>
  </si>
  <si>
    <t>Cb2</t>
  </si>
  <si>
    <t>Cf 1</t>
  </si>
  <si>
    <t>Vb1</t>
  </si>
  <si>
    <t>Vb2</t>
  </si>
  <si>
    <t>Vb3</t>
  </si>
  <si>
    <t>Vb4</t>
  </si>
  <si>
    <t>Vb5</t>
  </si>
  <si>
    <t>Vb6</t>
  </si>
  <si>
    <t>Vb7</t>
  </si>
  <si>
    <t>Vf 1</t>
  </si>
  <si>
    <t>Pb1</t>
  </si>
  <si>
    <t>Pb2</t>
  </si>
  <si>
    <t>Pb3</t>
  </si>
  <si>
    <t>PVb1</t>
  </si>
  <si>
    <t>MCLL-057</t>
  </si>
  <si>
    <t>C57</t>
  </si>
  <si>
    <t>MCLL-058</t>
  </si>
  <si>
    <t>C58</t>
  </si>
  <si>
    <t>MCLL-059</t>
  </si>
  <si>
    <t>C59</t>
  </si>
  <si>
    <t>MCLL-060</t>
  </si>
  <si>
    <t>C60</t>
  </si>
  <si>
    <t>ANGULO DE PVC 2.5" x 1.0" x 2.80 LARGO</t>
  </si>
  <si>
    <t>MPLL-021</t>
  </si>
  <si>
    <t>P21</t>
  </si>
  <si>
    <t>MPLL-022</t>
  </si>
  <si>
    <t>P22</t>
  </si>
  <si>
    <t>MPLL-023</t>
  </si>
  <si>
    <t>P23</t>
  </si>
  <si>
    <t>MPLL-024</t>
  </si>
  <si>
    <t>P24</t>
  </si>
  <si>
    <t>MPLL-025</t>
  </si>
  <si>
    <t>P25</t>
  </si>
  <si>
    <t>muro puerta (0.60cm) ducto</t>
  </si>
  <si>
    <t xml:space="preserve">muro puerta (0.90cm) SIN PUERTA </t>
  </si>
  <si>
    <t>muro puerta (0.70cm)</t>
  </si>
  <si>
    <t>V2</t>
  </si>
  <si>
    <t>MVLL-002</t>
  </si>
  <si>
    <t>muro vent (1.83x1.22)</t>
  </si>
  <si>
    <t xml:space="preserve">muro 2 vent (0.69x0.49)c/rejillas inferiores </t>
  </si>
  <si>
    <t>PVb2</t>
  </si>
  <si>
    <t>MPVBL-002</t>
  </si>
  <si>
    <t>MPLL-026</t>
  </si>
  <si>
    <t>P26</t>
  </si>
  <si>
    <t>MPLL-027</t>
  </si>
  <si>
    <t>P27</t>
  </si>
  <si>
    <t>MCGL-001</t>
  </si>
  <si>
    <t>Cg1</t>
  </si>
  <si>
    <t>grey-lin</t>
  </si>
  <si>
    <t>MCGL-002</t>
  </si>
  <si>
    <t>Cg2</t>
  </si>
  <si>
    <t>MVGL-001</t>
  </si>
  <si>
    <t>Vg1</t>
  </si>
  <si>
    <t>MVGL-002</t>
  </si>
  <si>
    <t>Vg2</t>
  </si>
  <si>
    <t>MVGL-003</t>
  </si>
  <si>
    <t>Vg3</t>
  </si>
  <si>
    <t>muro vent (1.8x0.49)c/rejillas inferiores</t>
  </si>
  <si>
    <t>MVGL-004</t>
  </si>
  <si>
    <t>Vg4</t>
  </si>
  <si>
    <t>MVGL-005</t>
  </si>
  <si>
    <t>Vg5</t>
  </si>
  <si>
    <t>MVGL-006</t>
  </si>
  <si>
    <t>Vg6</t>
  </si>
  <si>
    <t>MPGL-001</t>
  </si>
  <si>
    <t>Pg1</t>
  </si>
  <si>
    <t>MPGL-002</t>
  </si>
  <si>
    <t>Pg2</t>
  </si>
  <si>
    <t>MPGL-003</t>
  </si>
  <si>
    <t>Pg3</t>
  </si>
  <si>
    <t>muro puerta doble (0.80cm)</t>
  </si>
  <si>
    <t>MPGL-004</t>
  </si>
  <si>
    <t>Pg4</t>
  </si>
  <si>
    <t>muro 2 puertas (0.80cm)</t>
  </si>
  <si>
    <t>MPGL-005</t>
  </si>
  <si>
    <t>Pg5</t>
  </si>
  <si>
    <t xml:space="preserve">muro 2 puertas (0.80cm)antepecho  mas grande </t>
  </si>
  <si>
    <t>MPVGL-001</t>
  </si>
  <si>
    <t>PVg1</t>
  </si>
  <si>
    <t>MPVGL-002</t>
  </si>
  <si>
    <t>PVg2</t>
  </si>
  <si>
    <t>PUERTA DE 60 X 166 CMS.</t>
  </si>
  <si>
    <t>PUERTA DE 70 X 213 CMS.</t>
  </si>
  <si>
    <t>tipo</t>
  </si>
  <si>
    <t xml:space="preserve">PLAFON MODULO </t>
  </si>
  <si>
    <t>muro puerta (0.80cm)</t>
  </si>
  <si>
    <t>muro puerta doble (0.80cm)c/u</t>
  </si>
  <si>
    <t>MCLL-061</t>
  </si>
  <si>
    <t>C61</t>
  </si>
  <si>
    <t>MCLL-062</t>
  </si>
  <si>
    <t>C62</t>
  </si>
  <si>
    <t>MCLL-063</t>
  </si>
  <si>
    <t>C63</t>
  </si>
  <si>
    <t>MCGL-003</t>
  </si>
  <si>
    <t>Cg3</t>
  </si>
  <si>
    <t>MCGL-004</t>
  </si>
  <si>
    <t>Cg4</t>
  </si>
  <si>
    <t>MPGL-006</t>
  </si>
  <si>
    <t>Pg6</t>
  </si>
  <si>
    <t>MPGL-007</t>
  </si>
  <si>
    <t>Pg7</t>
  </si>
  <si>
    <t>MPGL-008</t>
  </si>
  <si>
    <t>Pg8</t>
  </si>
  <si>
    <t>MVGL-007</t>
  </si>
  <si>
    <t>Vg7</t>
  </si>
  <si>
    <t>MCLL-064</t>
  </si>
  <si>
    <t>C64</t>
  </si>
  <si>
    <t>MCLL-065</t>
  </si>
  <si>
    <t>C65</t>
  </si>
  <si>
    <t>MCLL-066</t>
  </si>
  <si>
    <t>C66</t>
  </si>
  <si>
    <t>MPLL-028</t>
  </si>
  <si>
    <t>P28</t>
  </si>
  <si>
    <t xml:space="preserve">muro puerta doble (0.70cm) </t>
  </si>
  <si>
    <t>MPLL-029</t>
  </si>
  <si>
    <t>P29</t>
  </si>
  <si>
    <t xml:space="preserve">muro puerta (0.90cm) </t>
  </si>
  <si>
    <t>MPLL-030</t>
  </si>
  <si>
    <t>P30</t>
  </si>
  <si>
    <t xml:space="preserve">muro puerta doble (0.80) abatible ambos lados para cocina sin chapa </t>
  </si>
  <si>
    <t>MVLL-003</t>
  </si>
  <si>
    <t>V3</t>
  </si>
  <si>
    <t>puerta (0.90) ventana (0.59x.49) izq</t>
  </si>
  <si>
    <t>puerta (0.90) ventana (0.59x.49) der</t>
  </si>
  <si>
    <t>MCGL-005</t>
  </si>
  <si>
    <t>Cg5</t>
  </si>
  <si>
    <t>MCGL-006</t>
  </si>
  <si>
    <t>Cg6</t>
  </si>
  <si>
    <t>MVGL-008</t>
  </si>
  <si>
    <t>Vg8</t>
  </si>
  <si>
    <t>muro ventana (1.83x1.22)</t>
  </si>
  <si>
    <t>MVGL-009</t>
  </si>
  <si>
    <t>Vg9</t>
  </si>
  <si>
    <t>muro ventana (1.83x0.70)</t>
  </si>
  <si>
    <t>MVGL-010</t>
  </si>
  <si>
    <t>Vg10</t>
  </si>
  <si>
    <t>muro 2 vent (0.69x1.22)</t>
  </si>
  <si>
    <t>MVGL-011</t>
  </si>
  <si>
    <t>Vg11</t>
  </si>
  <si>
    <t>muro ventana (1.83x0.90)</t>
  </si>
  <si>
    <t>MVGL-012</t>
  </si>
  <si>
    <t>Vg12</t>
  </si>
  <si>
    <t>muro ventana (1.83x0.49)</t>
  </si>
  <si>
    <t>muro puerta (0.90cm) IZQ para escalera</t>
  </si>
  <si>
    <t>muro puerta (0.90cm) DER para escalera</t>
  </si>
  <si>
    <t xml:space="preserve">muro puerta doble (0.80cm) </t>
  </si>
  <si>
    <t>MVFL-002</t>
  </si>
  <si>
    <t>Vf 2</t>
  </si>
  <si>
    <t>Pf 1</t>
  </si>
  <si>
    <t>muro puerta der(0.90)</t>
  </si>
  <si>
    <t>Pf 2</t>
  </si>
  <si>
    <t>muro puerta izq(0.90)</t>
  </si>
  <si>
    <t>puerta izq (0.90) ventana (0.59x.49)</t>
  </si>
  <si>
    <t>puerta der (0.90) ventana (0.59x.49)</t>
  </si>
  <si>
    <t>MPFL-001</t>
  </si>
  <si>
    <t>MPFL-002</t>
  </si>
  <si>
    <t>muro vent (1.00x1.22)</t>
  </si>
  <si>
    <t>muro vent (1.83x0.49)</t>
  </si>
  <si>
    <t xml:space="preserve">muro vent (1.83x0.49)c/rejillas inferiores </t>
  </si>
  <si>
    <t>VENTANA ALUMINIO 1.83 X 1.22 mts.</t>
  </si>
  <si>
    <t>VENTANA ALUMINIO 0.59 X 0.49 mts.</t>
  </si>
  <si>
    <t>VENTANA ALUMINIO 1.83 X 0.49 mts.</t>
  </si>
  <si>
    <t>VENTANA ALUMINIO 1.83 X 0.70 mts.</t>
  </si>
  <si>
    <t>VENTANA ALUMINIO 1.00 X 1.22 mts.</t>
  </si>
  <si>
    <t>VENTANA ALUMINIO 0.69 X 1.22 mts.</t>
  </si>
  <si>
    <t>VENTANA ALUMINIO 1.83 X 0.90 mts.</t>
  </si>
  <si>
    <t>PUERTA DE 90 X 213 CMS. Sin muro</t>
  </si>
  <si>
    <t>PUERTA DE 60 X 213 CMS. SIN MURO</t>
  </si>
  <si>
    <t>BULTO</t>
  </si>
  <si>
    <t>SUMCOLAR-3050-AS</t>
  </si>
  <si>
    <t>SUMCOLAR-3050-BS</t>
  </si>
  <si>
    <t>SUMCOLAR-3535-AS</t>
  </si>
  <si>
    <t>SUMCOLAR-3535-BS</t>
  </si>
  <si>
    <t>ARIN-8000S</t>
  </si>
  <si>
    <t>ARIN-6000S</t>
  </si>
  <si>
    <t>ARRE-6000S</t>
  </si>
  <si>
    <t>REGADERA CON BRAZO Y CHAPETON MOD. 3001B</t>
  </si>
  <si>
    <t>LLAVES P/REGADERA EMPOTRABLES SOLDABLES MOD. 652</t>
  </si>
  <si>
    <t>MANERALES CHICOS URREA KING</t>
  </si>
  <si>
    <t>TARJA ACERO INOX 1.20 m</t>
  </si>
  <si>
    <t>TARJA ACERO INOX 2.10</t>
  </si>
  <si>
    <t>Cimentación 2000 mm</t>
  </si>
  <si>
    <t>Cimentación 3025 mm</t>
  </si>
  <si>
    <t>Columna Armada 2750 mm</t>
  </si>
  <si>
    <t>Columna Reforzada 2750 mm</t>
  </si>
  <si>
    <t>Columna Armada 3050 mm</t>
  </si>
  <si>
    <t>Columna Reforzada 3050 mm</t>
  </si>
  <si>
    <t>Columna Armada 3535 mm</t>
  </si>
  <si>
    <t>Columna Reforzada 3535 mm</t>
  </si>
  <si>
    <t>Armadura Intermedia p/modulo de 8.0m de ancho</t>
  </si>
  <si>
    <t>Armadura Recta p/modulo de 8.0m de ancho</t>
  </si>
  <si>
    <t>Timpano EXTERIOR</t>
  </si>
  <si>
    <t xml:space="preserve">Timpano INTERIOR </t>
  </si>
  <si>
    <t>REJILLA DE VENTILACION WHITE</t>
  </si>
  <si>
    <t>Cubre Columna EXTERIOR</t>
  </si>
  <si>
    <t>Cubre Columna INTERIOR</t>
  </si>
  <si>
    <t>OUTSIDE CORNER POST WHITE (ESQUINERO)</t>
  </si>
  <si>
    <t>MPVGL-003</t>
  </si>
  <si>
    <t>PVg3</t>
  </si>
  <si>
    <t>puerta (0.90) ventana (0.59x1.22) izq</t>
  </si>
  <si>
    <t>MPVGL-004</t>
  </si>
  <si>
    <t>PVg4</t>
  </si>
  <si>
    <t>puerta (0.90) ventana (0.59x1.22) der</t>
  </si>
  <si>
    <t>VENTANA ALUMINIO 0.59 X 1.22 mts.</t>
  </si>
  <si>
    <t>MCLL-067</t>
  </si>
  <si>
    <t>C67</t>
  </si>
  <si>
    <t>MCLL-068</t>
  </si>
  <si>
    <t>C68</t>
  </si>
  <si>
    <t>MCLL-069</t>
  </si>
  <si>
    <t>C69</t>
  </si>
  <si>
    <t>MCLL-070</t>
  </si>
  <si>
    <t>C70</t>
  </si>
  <si>
    <t>MCLL-071</t>
  </si>
  <si>
    <t>C71</t>
  </si>
  <si>
    <t>MCLL-072</t>
  </si>
  <si>
    <t>C72</t>
  </si>
  <si>
    <t>MCLL-073</t>
  </si>
  <si>
    <t>C73</t>
  </si>
  <si>
    <t>MCLL-074</t>
  </si>
  <si>
    <t>C74</t>
  </si>
  <si>
    <t>MCLL-075</t>
  </si>
  <si>
    <t>C75</t>
  </si>
  <si>
    <t>MCLL-076</t>
  </si>
  <si>
    <t>C76</t>
  </si>
  <si>
    <t>MPLL-031</t>
  </si>
  <si>
    <t>P31</t>
  </si>
  <si>
    <t xml:space="preserve">muro puerta central (0.90) escalon 80cm </t>
  </si>
  <si>
    <t>MPLL-032</t>
  </si>
  <si>
    <t>P32</t>
  </si>
  <si>
    <t xml:space="preserve">muro puerta (0.90) escalon 80cm </t>
  </si>
  <si>
    <t>MPLL-033</t>
  </si>
  <si>
    <t>P33</t>
  </si>
  <si>
    <t>MPLL-034</t>
  </si>
  <si>
    <t>P34</t>
  </si>
  <si>
    <t xml:space="preserve">muro puerta (1.20) </t>
  </si>
  <si>
    <t>MVGL-013</t>
  </si>
  <si>
    <t>Vg13</t>
  </si>
  <si>
    <t>muro 2 ventana (0.69x0.49)</t>
  </si>
  <si>
    <t>MPGL-009</t>
  </si>
  <si>
    <t>Pg9</t>
  </si>
  <si>
    <t>muro puerta doble (0.80cm) escalon 30cm</t>
  </si>
  <si>
    <t>MPGL-010</t>
  </si>
  <si>
    <t>Pg10</t>
  </si>
  <si>
    <t>muro puerta doble (0.80cm) escalon 80cm</t>
  </si>
  <si>
    <t>PUERTA DE 120 X 213 CMS.</t>
  </si>
  <si>
    <t>MPLL-035</t>
  </si>
  <si>
    <t>P35</t>
  </si>
  <si>
    <t>C77</t>
  </si>
  <si>
    <t>Cb3</t>
  </si>
  <si>
    <t>beige-durock</t>
  </si>
  <si>
    <t>MPBL-004</t>
  </si>
  <si>
    <t>Pb4</t>
  </si>
  <si>
    <t>MCBL-003</t>
  </si>
  <si>
    <t>MCLL-077</t>
  </si>
  <si>
    <t>MCBL-004</t>
  </si>
  <si>
    <t>Cb4</t>
  </si>
  <si>
    <t>muro ciego (interior mitad lin / mitad durock)</t>
  </si>
  <si>
    <t>MVBL-008</t>
  </si>
  <si>
    <t>Vb8</t>
  </si>
  <si>
    <t>MPLL-036</t>
  </si>
  <si>
    <t>P36</t>
  </si>
  <si>
    <t>MPGL-011</t>
  </si>
  <si>
    <t>Pg11</t>
  </si>
  <si>
    <t>muro puerta doble (0.80cm) escalon 30 cm</t>
  </si>
  <si>
    <t>MPGL-012</t>
  </si>
  <si>
    <t>Pg12</t>
  </si>
  <si>
    <t>muro puerta (0.70cm) der</t>
  </si>
  <si>
    <t>MVBL-009</t>
  </si>
  <si>
    <t>Vb9</t>
  </si>
  <si>
    <t>muro ventana (0.69x0.49)  IZQ (interior mitad lin / mitad durock)</t>
  </si>
  <si>
    <t>MVFL-003</t>
  </si>
  <si>
    <t>Vf 3</t>
  </si>
  <si>
    <t>MVFL-004</t>
  </si>
  <si>
    <t>Vf 4</t>
  </si>
  <si>
    <t>MPFL-003</t>
  </si>
  <si>
    <t>Pf 3</t>
  </si>
  <si>
    <t>muro 2 puerta(0.80)</t>
  </si>
  <si>
    <t>MPVFL-001</t>
  </si>
  <si>
    <t>PVf 1</t>
  </si>
  <si>
    <t>MPVFL-002</t>
  </si>
  <si>
    <t>PVf 2</t>
  </si>
  <si>
    <t>LOSETA SEASWEPT PORCELANITE 33 X 33 cms (1.53m2/caja)</t>
  </si>
  <si>
    <t>ADHESIVO ADE 1000 PEGA PISO GRIS 20KGS</t>
  </si>
  <si>
    <t>BOQUILLA ANTIHONGOS (BULTO DE 10KGS)</t>
  </si>
  <si>
    <t>MEDIDAS A ENTRE EJES</t>
  </si>
  <si>
    <t>M2 DE CONSTRUCCIÓN A PAÑO EXTERIOR DE MUROS</t>
  </si>
  <si>
    <t>MEMBRANA DE REFUERZO ROLLO DE 1.10x100m (IMPERMEABILIZANTE)</t>
  </si>
  <si>
    <t>P37</t>
  </si>
  <si>
    <t>P38</t>
  </si>
  <si>
    <t>P39</t>
  </si>
  <si>
    <t>C78</t>
  </si>
  <si>
    <t>C79</t>
  </si>
  <si>
    <t>P40</t>
  </si>
  <si>
    <t>P41</t>
  </si>
  <si>
    <t>muro puerta (0.70 cm)</t>
  </si>
  <si>
    <t>C80</t>
  </si>
  <si>
    <t>MCLL-078</t>
  </si>
  <si>
    <t>MCLL-079</t>
  </si>
  <si>
    <t>MCLL-080</t>
  </si>
  <si>
    <t>MPLL-037</t>
  </si>
  <si>
    <t>MPLL-038</t>
  </si>
  <si>
    <t>MPLL-039</t>
  </si>
  <si>
    <t>MPLL-040</t>
  </si>
  <si>
    <t>MPLL-041</t>
  </si>
  <si>
    <t>MPLL-042</t>
  </si>
  <si>
    <t>P42</t>
  </si>
  <si>
    <t>MPLL-043</t>
  </si>
  <si>
    <t>P43</t>
  </si>
  <si>
    <t>muro 2 puertas(0.80cm)</t>
  </si>
  <si>
    <t>MPBL-005</t>
  </si>
  <si>
    <t>Pb5</t>
  </si>
  <si>
    <t>muro puerta (0.80cm) der</t>
  </si>
  <si>
    <t>MPLL-044</t>
  </si>
  <si>
    <t>P44</t>
  </si>
  <si>
    <t xml:space="preserve">AIRE ACONDICIONADO Minisplit 1 T.R. </t>
  </si>
  <si>
    <t xml:space="preserve">AIRE ACONDICIONADO Minisplit 2 T.R. </t>
  </si>
  <si>
    <t xml:space="preserve">AIRE ACONDICIONADO Minisplit 3 T.R. </t>
  </si>
  <si>
    <t>LAVAMANOS  ACERO INOX 3.00m</t>
  </si>
  <si>
    <t>TARJA SENCILLA ACERO INOX 0.50 X 0.50</t>
  </si>
  <si>
    <t>MCLL-081</t>
  </si>
  <si>
    <t>C81</t>
  </si>
  <si>
    <t>MCLL-082</t>
  </si>
  <si>
    <t>C82</t>
  </si>
  <si>
    <t>MCLL-083</t>
  </si>
  <si>
    <t>C83</t>
  </si>
  <si>
    <t>MCLL-084</t>
  </si>
  <si>
    <t>C84</t>
  </si>
  <si>
    <t>MCLL-085</t>
  </si>
  <si>
    <t>C85</t>
  </si>
  <si>
    <t>MPLL-045</t>
  </si>
  <si>
    <t>P45</t>
  </si>
  <si>
    <t>MVLL-004</t>
  </si>
  <si>
    <t>V4</t>
  </si>
  <si>
    <t>muro vent (0.82x1.22)s/ventana</t>
  </si>
  <si>
    <t>MCBL-005</t>
  </si>
  <si>
    <t>Cb5</t>
  </si>
  <si>
    <t>MVBL-010</t>
  </si>
  <si>
    <t>Vb10</t>
  </si>
  <si>
    <t>MVBL-011</t>
  </si>
  <si>
    <t>Vb11</t>
  </si>
  <si>
    <t>muro vent (0.82x1.22)der</t>
  </si>
  <si>
    <t>MVBL-012</t>
  </si>
  <si>
    <t>Vb12</t>
  </si>
  <si>
    <t>muro vent (0.82x1.22)izq</t>
  </si>
  <si>
    <t>MPBL-006</t>
  </si>
  <si>
    <t>Pb6</t>
  </si>
  <si>
    <t>MPVBL-003</t>
  </si>
  <si>
    <t>PVb3</t>
  </si>
  <si>
    <t>puerta izq (0.90) ventana (0.82x1.22)</t>
  </si>
  <si>
    <t>MPVBL-004</t>
  </si>
  <si>
    <t>PVb4</t>
  </si>
  <si>
    <t>puerta der (0.90) ventana (0.82x1.22)</t>
  </si>
  <si>
    <t xml:space="preserve">AREA DE PROYECCIÓN </t>
  </si>
  <si>
    <t>MEDIDAS DESPICE ARMADURA</t>
  </si>
  <si>
    <t xml:space="preserve">NUMERO DE ENTRE EJES </t>
  </si>
  <si>
    <t>ARIN-1000S</t>
  </si>
  <si>
    <t>ARRE-1000S</t>
  </si>
  <si>
    <t>Armadura Intermedia p/modulo de 10.225m de ancho</t>
  </si>
  <si>
    <t>Armadura Recta p/modulo de10.225m de ancho</t>
  </si>
  <si>
    <t>MEZCLADORA p/ lavamanos</t>
  </si>
  <si>
    <t xml:space="preserve">LLAVE INDIVIDUAL P/LAVABO </t>
  </si>
  <si>
    <t>MCLL-086</t>
  </si>
  <si>
    <t>C86</t>
  </si>
  <si>
    <t>MCLL-087</t>
  </si>
  <si>
    <t>C87</t>
  </si>
  <si>
    <t>MPLL-046</t>
  </si>
  <si>
    <t>P46</t>
  </si>
  <si>
    <t>MPLL-047</t>
  </si>
  <si>
    <t>P47</t>
  </si>
  <si>
    <t>C88</t>
  </si>
  <si>
    <t>MCLL-088</t>
  </si>
  <si>
    <t>MCLL-089</t>
  </si>
  <si>
    <t>C89</t>
  </si>
  <si>
    <t>MPLL-048</t>
  </si>
  <si>
    <t>P48</t>
  </si>
  <si>
    <t>MPLL-049</t>
  </si>
  <si>
    <t>P49</t>
  </si>
  <si>
    <t>MCLL-090</t>
  </si>
  <si>
    <t>C90</t>
  </si>
  <si>
    <t>MCLL-091</t>
  </si>
  <si>
    <t>C91</t>
  </si>
  <si>
    <t>MCLL-092</t>
  </si>
  <si>
    <t>C92</t>
  </si>
  <si>
    <t>MPLL-050</t>
  </si>
  <si>
    <t>P50</t>
  </si>
  <si>
    <t>MCLL-093</t>
  </si>
  <si>
    <t>C93</t>
  </si>
  <si>
    <t>MPLL-051</t>
  </si>
  <si>
    <t>P51</t>
  </si>
  <si>
    <t>muro puerta  (0.90cm)</t>
  </si>
  <si>
    <t>Armadura Intermedia p/modulo de 6.0m  de ancho</t>
  </si>
  <si>
    <t>Armadura Recta p/modulo de 6.0m de ancho</t>
  </si>
  <si>
    <t>MCBL-006</t>
  </si>
  <si>
    <t>Cb6</t>
  </si>
  <si>
    <t>muro ciego durock</t>
  </si>
  <si>
    <t>MVBL-013</t>
  </si>
  <si>
    <t>Vb13</t>
  </si>
  <si>
    <t>MVBL-014</t>
  </si>
  <si>
    <t>Vb14</t>
  </si>
  <si>
    <t>MCLL-094</t>
  </si>
  <si>
    <t>C94</t>
  </si>
  <si>
    <t>MCLL-095</t>
  </si>
  <si>
    <t>C95</t>
  </si>
  <si>
    <t>MCLL-096</t>
  </si>
  <si>
    <t>C96</t>
  </si>
  <si>
    <t>durock-durock</t>
  </si>
  <si>
    <t>MCLL-097</t>
  </si>
  <si>
    <t>C97</t>
  </si>
  <si>
    <t>MCLL-098</t>
  </si>
  <si>
    <t>C98</t>
  </si>
  <si>
    <t>MCLL-099</t>
  </si>
  <si>
    <t>C99</t>
  </si>
  <si>
    <t>MCLL-100</t>
  </si>
  <si>
    <t>C100</t>
  </si>
  <si>
    <t>MPLL-052</t>
  </si>
  <si>
    <t>P52</t>
  </si>
  <si>
    <t>MPLL-053</t>
  </si>
  <si>
    <t>P53</t>
  </si>
  <si>
    <t>MPLL-054</t>
  </si>
  <si>
    <t>P54</t>
  </si>
  <si>
    <t>muro puerta  (0.90cm) izq</t>
  </si>
  <si>
    <t>muro puerta  (0.90cm)der</t>
  </si>
  <si>
    <t>MCLL-101</t>
  </si>
  <si>
    <t>C101</t>
  </si>
  <si>
    <t>MCLL-102</t>
  </si>
  <si>
    <t>C102</t>
  </si>
  <si>
    <t>MCLL-103</t>
  </si>
  <si>
    <t>C103</t>
  </si>
  <si>
    <t>MCLL-104</t>
  </si>
  <si>
    <t>C104</t>
  </si>
  <si>
    <t>MCLL-105</t>
  </si>
  <si>
    <t>C105</t>
  </si>
  <si>
    <t>MCBL-007</t>
  </si>
  <si>
    <t>Cb7</t>
  </si>
  <si>
    <t>muro  vent (1.83x0.49)</t>
  </si>
  <si>
    <t>MVBL-015</t>
  </si>
  <si>
    <t>Vb15</t>
  </si>
  <si>
    <t>MVBL-016</t>
  </si>
  <si>
    <t>Vb16</t>
  </si>
  <si>
    <t>muro  vent (0.69x0.49)izq</t>
  </si>
  <si>
    <t>MPBL-007</t>
  </si>
  <si>
    <t>Pb7</t>
  </si>
  <si>
    <t>fach-durock</t>
  </si>
  <si>
    <t>MPLL-055</t>
  </si>
  <si>
    <t>P55</t>
  </si>
  <si>
    <t>muro puerta  (0.90cm)izq</t>
  </si>
  <si>
    <t>MPLL-056</t>
  </si>
  <si>
    <t>P56</t>
  </si>
  <si>
    <t>MCLL-106</t>
  </si>
  <si>
    <t>C106</t>
  </si>
  <si>
    <t>MCLL-107</t>
  </si>
  <si>
    <t>C107</t>
  </si>
  <si>
    <t>MCLL-108</t>
  </si>
  <si>
    <t>C108</t>
  </si>
  <si>
    <t>MPLL-057</t>
  </si>
  <si>
    <t>P57</t>
  </si>
  <si>
    <t>MCLL-109</t>
  </si>
  <si>
    <t>C109</t>
  </si>
  <si>
    <t>MCLL-110</t>
  </si>
  <si>
    <t>MCLL-111</t>
  </si>
  <si>
    <t>C110</t>
  </si>
  <si>
    <t>C111</t>
  </si>
  <si>
    <t>MCLL-112</t>
  </si>
  <si>
    <t>C112</t>
  </si>
  <si>
    <t>MCLL-113</t>
  </si>
  <si>
    <t>C113</t>
  </si>
  <si>
    <t>MCLL-114</t>
  </si>
  <si>
    <t>C114</t>
  </si>
  <si>
    <t>MCLL-115</t>
  </si>
  <si>
    <t>C115</t>
  </si>
  <si>
    <t>MCLL-116</t>
  </si>
  <si>
    <t>C116</t>
  </si>
  <si>
    <t>MPLL-058</t>
  </si>
  <si>
    <t>P58</t>
  </si>
  <si>
    <t>MCLL-117</t>
  </si>
  <si>
    <t>C117</t>
  </si>
  <si>
    <t>MCLL-118</t>
  </si>
  <si>
    <t>C118</t>
  </si>
  <si>
    <t>MVLL-005</t>
  </si>
  <si>
    <t>V5</t>
  </si>
  <si>
    <t>MPLL-059</t>
  </si>
  <si>
    <t>P59</t>
  </si>
  <si>
    <t>MCLL-119</t>
  </si>
  <si>
    <t>C119</t>
  </si>
  <si>
    <t>MCLL-120</t>
  </si>
  <si>
    <t>C120</t>
  </si>
  <si>
    <t>MCLL-121</t>
  </si>
  <si>
    <t>C121</t>
  </si>
  <si>
    <t>MCLL-122</t>
  </si>
  <si>
    <t>C122</t>
  </si>
  <si>
    <t>MCLL-123</t>
  </si>
  <si>
    <t>C123</t>
  </si>
  <si>
    <t>MPLL-060</t>
  </si>
  <si>
    <t>P60</t>
  </si>
  <si>
    <t>muro puerta  (0.80cm)der</t>
  </si>
  <si>
    <t>MPLL-061</t>
  </si>
  <si>
    <t>P61</t>
  </si>
  <si>
    <t>MCLL-124</t>
  </si>
  <si>
    <t>C124</t>
  </si>
  <si>
    <t>MCLL-125</t>
  </si>
  <si>
    <t>C125</t>
  </si>
  <si>
    <t>MVBL-017</t>
  </si>
  <si>
    <t>Vb17</t>
  </si>
  <si>
    <t>muro  vent (0.69x0.49)der</t>
  </si>
  <si>
    <t>MPLL-062</t>
  </si>
  <si>
    <t>P62</t>
  </si>
  <si>
    <t>MPLL-063</t>
  </si>
  <si>
    <t>P63</t>
  </si>
  <si>
    <t>MCLL-126</t>
  </si>
  <si>
    <t>C126</t>
  </si>
  <si>
    <t>MPLL-064</t>
  </si>
  <si>
    <t>P64</t>
  </si>
  <si>
    <t>MCLL-127</t>
  </si>
  <si>
    <t>C127</t>
  </si>
  <si>
    <t>muro ciego durock linen-lin-durock</t>
  </si>
  <si>
    <t>MCLL-128</t>
  </si>
  <si>
    <t>C128</t>
  </si>
  <si>
    <t>MVBL-018</t>
  </si>
  <si>
    <t>Vb18</t>
  </si>
  <si>
    <t xml:space="preserve">muro  vent (0.69x0.49)izq </t>
  </si>
  <si>
    <t>MPLL-065</t>
  </si>
  <si>
    <t>P65</t>
  </si>
  <si>
    <t>muro puerta  (0.80cm)izq</t>
  </si>
  <si>
    <t>MCLL-129</t>
  </si>
  <si>
    <t>C129</t>
  </si>
  <si>
    <t>MPLL-066</t>
  </si>
  <si>
    <t>P66</t>
  </si>
  <si>
    <t>MVBL-019</t>
  </si>
  <si>
    <t>Vb19</t>
  </si>
  <si>
    <t>MCLL-130</t>
  </si>
  <si>
    <t>C130</t>
  </si>
  <si>
    <t>MCLL-131</t>
  </si>
  <si>
    <t>C131</t>
  </si>
  <si>
    <t>MCLL-132</t>
  </si>
  <si>
    <t>C132</t>
  </si>
  <si>
    <t>MCLL-133</t>
  </si>
  <si>
    <t>C133</t>
  </si>
  <si>
    <t>MCLL-134</t>
  </si>
  <si>
    <t>C134</t>
  </si>
  <si>
    <t>MCLL-135</t>
  </si>
  <si>
    <t>C135</t>
  </si>
  <si>
    <t>MCLL-136</t>
  </si>
  <si>
    <t>C136</t>
  </si>
  <si>
    <t>MCLL-137</t>
  </si>
  <si>
    <t>C137</t>
  </si>
  <si>
    <t>MCLL-138</t>
  </si>
  <si>
    <t>C138</t>
  </si>
  <si>
    <t>MCLL-139</t>
  </si>
  <si>
    <t>C139</t>
  </si>
  <si>
    <t>MCLL-140</t>
  </si>
  <si>
    <t>C140</t>
  </si>
  <si>
    <t>MCLL-141</t>
  </si>
  <si>
    <t>C141</t>
  </si>
  <si>
    <t>MPLL-067</t>
  </si>
  <si>
    <t>P67</t>
  </si>
  <si>
    <t>MPLL-068</t>
  </si>
  <si>
    <t>P68</t>
  </si>
  <si>
    <t>muro puerta  (0.90cm)der 1/2 lin-dur</t>
  </si>
  <si>
    <t>MCLL-142</t>
  </si>
  <si>
    <t>C142</t>
  </si>
  <si>
    <t>MCBL-008</t>
  </si>
  <si>
    <t>Cb8</t>
  </si>
  <si>
    <t>MCBL-009</t>
  </si>
  <si>
    <t>Cb9</t>
  </si>
  <si>
    <t>MCLL-143</t>
  </si>
  <si>
    <t>C143</t>
  </si>
  <si>
    <t>MCLL-144</t>
  </si>
  <si>
    <t>C144</t>
  </si>
  <si>
    <t>MPLL-069</t>
  </si>
  <si>
    <t>P69</t>
  </si>
  <si>
    <t>MPLL-070</t>
  </si>
  <si>
    <t>P70</t>
  </si>
  <si>
    <t>MCLL-145</t>
  </si>
  <si>
    <t>C145</t>
  </si>
  <si>
    <t>MPLL-071</t>
  </si>
  <si>
    <t>P71</t>
  </si>
  <si>
    <t>MPLL-072</t>
  </si>
  <si>
    <t>P72</t>
  </si>
  <si>
    <t>MCLL-146</t>
  </si>
  <si>
    <t>C146</t>
  </si>
  <si>
    <t>MCLL-147</t>
  </si>
  <si>
    <t>C147</t>
  </si>
  <si>
    <t>MVBL-020</t>
  </si>
  <si>
    <t>Vb20</t>
  </si>
  <si>
    <t>muro  vent (1.83x1.22)</t>
  </si>
  <si>
    <t>MCLL-148</t>
  </si>
  <si>
    <t>C148</t>
  </si>
  <si>
    <t>MPLL-073</t>
  </si>
  <si>
    <t>P73</t>
  </si>
  <si>
    <t>MPLL-074</t>
  </si>
  <si>
    <t>P74</t>
  </si>
  <si>
    <t>muro ciego durock fach-lin-durock</t>
  </si>
  <si>
    <t>MCBL-010</t>
  </si>
  <si>
    <t>Cb10</t>
  </si>
  <si>
    <t>MCLL-149</t>
  </si>
  <si>
    <t>C149</t>
  </si>
  <si>
    <t>MCLL-150</t>
  </si>
  <si>
    <t>C150</t>
  </si>
  <si>
    <t>MCLL-151</t>
  </si>
  <si>
    <t>C151</t>
  </si>
  <si>
    <t>MCLL-152</t>
  </si>
  <si>
    <t>C152</t>
  </si>
  <si>
    <t>OVALIN</t>
  </si>
  <si>
    <t>MPLL-075</t>
  </si>
  <si>
    <t>P75</t>
  </si>
  <si>
    <t>MCBL-011</t>
  </si>
  <si>
    <t>Cb11</t>
  </si>
  <si>
    <t>MCBL-012</t>
  </si>
  <si>
    <t>Cb12</t>
  </si>
  <si>
    <t>MVLL-006</t>
  </si>
  <si>
    <t>V6</t>
  </si>
  <si>
    <t>DUROCK 12 X 1220 X 2440  (para Timpanos)</t>
  </si>
  <si>
    <t xml:space="preserve">DUROCK  12 X 1220 X 2440 </t>
  </si>
  <si>
    <t>C153</t>
  </si>
  <si>
    <t>C154</t>
  </si>
  <si>
    <t>MCLL-153</t>
  </si>
  <si>
    <t>MCLL-154</t>
  </si>
  <si>
    <t>VENTANA ALUMINIO 0.80 X 1.22 mts.</t>
  </si>
  <si>
    <t>MVBL-021</t>
  </si>
  <si>
    <t>Vb21</t>
  </si>
  <si>
    <t>muro vent (1.83x0.49) con barrotes</t>
  </si>
  <si>
    <t>beige-beige</t>
  </si>
  <si>
    <t>beig-beig-durock</t>
  </si>
  <si>
    <t>muro ciego durock be-dur-be-dur</t>
  </si>
  <si>
    <t>muro ciego durock bei-bei-durock</t>
  </si>
  <si>
    <t>fach-beige-durock</t>
  </si>
  <si>
    <t>fach-bei-durock</t>
  </si>
  <si>
    <t>AZULEJO EN MUROS</t>
  </si>
  <si>
    <t>TEJA ROJA</t>
  </si>
  <si>
    <t>CABALLETE INTERMEDIO ROJO CAL 26</t>
  </si>
  <si>
    <t>CABALLETE ROJO</t>
  </si>
  <si>
    <t>CANAL INICIO PVC ROJO</t>
  </si>
  <si>
    <t xml:space="preserve">TAPA CABALLETE  ROJO CAL. 26 </t>
  </si>
  <si>
    <t xml:space="preserve">MARQUESINA ROJO CAL. 26 </t>
  </si>
  <si>
    <t>GOTERON ROJO CAL. 26</t>
  </si>
  <si>
    <t>ESTRUCTURA</t>
  </si>
  <si>
    <t>MEMBRANA CUMBRERA ROJO (TILE RIDGE VENT 1.22 LARGO)</t>
  </si>
  <si>
    <t>MCLL-155</t>
  </si>
  <si>
    <t>C155</t>
  </si>
  <si>
    <t>BARRAS DE SEGURIDAD</t>
  </si>
  <si>
    <t>MPVBL-005</t>
  </si>
  <si>
    <t>MPVBL-006</t>
  </si>
  <si>
    <t>PVb5</t>
  </si>
  <si>
    <t>PVb6</t>
  </si>
  <si>
    <t>MPLL-076</t>
  </si>
  <si>
    <t>P76</t>
  </si>
  <si>
    <t>muro puerta  (0.80)cm)der</t>
  </si>
  <si>
    <t>P77</t>
  </si>
  <si>
    <t>MCLL-163</t>
  </si>
  <si>
    <t>C163</t>
  </si>
  <si>
    <t>VENTANA ALUMINIO 0.79 X 0.49 mts.</t>
  </si>
  <si>
    <t>muro ciego durock-1/2 beigedurock</t>
  </si>
  <si>
    <t>muro ciego beige-1/2 beigedurock</t>
  </si>
  <si>
    <t>MCLL-164</t>
  </si>
  <si>
    <t>C164</t>
  </si>
  <si>
    <t>C165</t>
  </si>
  <si>
    <t>MPLL-077</t>
  </si>
  <si>
    <t>P78</t>
  </si>
  <si>
    <t>P79</t>
  </si>
  <si>
    <t>MPLL-078</t>
  </si>
  <si>
    <t>MPLL-079</t>
  </si>
  <si>
    <t>MPVLL-079</t>
  </si>
  <si>
    <t>muro puerta  ventana (0.90cm)der</t>
  </si>
  <si>
    <t>PV1</t>
  </si>
  <si>
    <t>LUMINARIA 4 x 32w</t>
  </si>
  <si>
    <t>CAMPOS POLICIALES MICHOACAN 2015</t>
  </si>
  <si>
    <t>C166</t>
  </si>
  <si>
    <t>C167</t>
  </si>
  <si>
    <t>MCLL-165</t>
  </si>
  <si>
    <t>MCLL-166</t>
  </si>
  <si>
    <t>MCLL-167</t>
  </si>
  <si>
    <t>MCLL-168</t>
  </si>
  <si>
    <t>C168</t>
  </si>
  <si>
    <t>MCLL-169</t>
  </si>
  <si>
    <t>C169</t>
  </si>
  <si>
    <t>MPLL-080</t>
  </si>
  <si>
    <t>P80</t>
  </si>
  <si>
    <t>MCLL-170</t>
  </si>
  <si>
    <t>C170</t>
  </si>
  <si>
    <t>MPLL-081</t>
  </si>
  <si>
    <t>P81</t>
  </si>
  <si>
    <t>MCLL-171</t>
  </si>
  <si>
    <t>C171</t>
  </si>
  <si>
    <t>C172</t>
  </si>
  <si>
    <t>MCLL-172</t>
  </si>
  <si>
    <t>C173</t>
  </si>
  <si>
    <t>P82</t>
  </si>
  <si>
    <t>MPLL-082</t>
  </si>
  <si>
    <t>MPLL-083</t>
  </si>
  <si>
    <t>P83</t>
  </si>
  <si>
    <t>P84</t>
  </si>
  <si>
    <t>MPLL-084</t>
  </si>
  <si>
    <t>C174</t>
  </si>
  <si>
    <t>MCLL-173</t>
  </si>
  <si>
    <t>MCLL-174</t>
  </si>
  <si>
    <t>MCLL-175</t>
  </si>
  <si>
    <t>C175</t>
  </si>
  <si>
    <t>MCLL-176</t>
  </si>
  <si>
    <t>C176</t>
  </si>
  <si>
    <t>P85</t>
  </si>
  <si>
    <t>MPLL-085</t>
  </si>
  <si>
    <t>Vb22</t>
  </si>
  <si>
    <t>MVBL-022</t>
  </si>
  <si>
    <t>fach-beige</t>
  </si>
  <si>
    <t>Vb23</t>
  </si>
  <si>
    <t>MVBL-023</t>
  </si>
  <si>
    <t>Vb25</t>
  </si>
  <si>
    <t>MVBL-025</t>
  </si>
  <si>
    <t>Vb26</t>
  </si>
  <si>
    <t>MVBL-026</t>
  </si>
  <si>
    <t>Vb27</t>
  </si>
  <si>
    <t>MVBL-027</t>
  </si>
  <si>
    <t>Vb28</t>
  </si>
  <si>
    <t>MVBL-028</t>
  </si>
  <si>
    <t xml:space="preserve">muro vent (1.83x0.49) c/rejillas </t>
  </si>
  <si>
    <t>MPBL-008</t>
  </si>
  <si>
    <t>Pb8</t>
  </si>
  <si>
    <t>MCLL-178</t>
  </si>
  <si>
    <t>C178</t>
  </si>
  <si>
    <t>MCLL-179</t>
  </si>
  <si>
    <t>C179</t>
  </si>
  <si>
    <t>MCLL-180</t>
  </si>
  <si>
    <t>C180</t>
  </si>
  <si>
    <t>MCLL-181</t>
  </si>
  <si>
    <t>C181</t>
  </si>
  <si>
    <t>MCBL-013</t>
  </si>
  <si>
    <t>Cb13</t>
  </si>
  <si>
    <t>muro puerta doble (0.90cm) vano de 1.85</t>
  </si>
  <si>
    <t>MPLL-086</t>
  </si>
  <si>
    <t>P86</t>
  </si>
  <si>
    <t>muro puerta  (0.80cm) izq vano de 0.85</t>
  </si>
  <si>
    <t>MCLL-182</t>
  </si>
  <si>
    <t>C182</t>
  </si>
  <si>
    <t>beig-durock-beig</t>
  </si>
  <si>
    <t>muro ciego durock-beige-durock</t>
  </si>
  <si>
    <t>C183</t>
  </si>
  <si>
    <t>C184</t>
  </si>
  <si>
    <t>C185</t>
  </si>
  <si>
    <t>C186</t>
  </si>
  <si>
    <t>C187</t>
  </si>
  <si>
    <t>C188</t>
  </si>
  <si>
    <t>C189</t>
  </si>
  <si>
    <t>muro puerta  (0.70cm)izq.vano de .775</t>
  </si>
  <si>
    <t>P87</t>
  </si>
  <si>
    <t>muro puerta  (0.70cm)der.vano de .776</t>
  </si>
  <si>
    <t>P88</t>
  </si>
  <si>
    <t>muro puerta  (0.80cm) izq. Vano de 90</t>
  </si>
  <si>
    <t>P89</t>
  </si>
  <si>
    <t>P90</t>
  </si>
  <si>
    <t>durock-beige</t>
  </si>
  <si>
    <t xml:space="preserve">liso-liso </t>
  </si>
  <si>
    <t>muro puerta  (0.80cm) izq. Vano de 85</t>
  </si>
  <si>
    <t>P91</t>
  </si>
  <si>
    <t>muro puerta  (0.70cm)der.vano de .775</t>
  </si>
  <si>
    <t>P92</t>
  </si>
  <si>
    <t>muro puerta doble  (0.80cm c/u)vano de 1.70</t>
  </si>
  <si>
    <t>P93</t>
  </si>
  <si>
    <t>MPLL-087</t>
  </si>
  <si>
    <t>MPLL-088</t>
  </si>
  <si>
    <t>MPLL-089</t>
  </si>
  <si>
    <t>MPLL-090</t>
  </si>
  <si>
    <t>MPLL-091</t>
  </si>
  <si>
    <t>MPLL-092</t>
  </si>
  <si>
    <t>MPLL-093</t>
  </si>
  <si>
    <t>muro puerta doble (0.80cm)c/u con vano de 1.70</t>
  </si>
  <si>
    <t>muro vent (0.90x1.22)s/ventana izq.</t>
  </si>
  <si>
    <t>V7</t>
  </si>
  <si>
    <t>V8</t>
  </si>
  <si>
    <t>MVLL-007</t>
  </si>
  <si>
    <t>MVLL-008</t>
  </si>
  <si>
    <t>C190</t>
  </si>
  <si>
    <t>MPLL-094</t>
  </si>
  <si>
    <t>P94</t>
  </si>
  <si>
    <t xml:space="preserve">muro puesrta de (80cm) vano de  90 cm </t>
  </si>
  <si>
    <t>C191</t>
  </si>
  <si>
    <t>muro vent (0.69x0.49) derecha</t>
  </si>
  <si>
    <t>P95</t>
  </si>
  <si>
    <t>muro puerta  (0.70cm)der.vano de .80</t>
  </si>
  <si>
    <t>MPLL-095</t>
  </si>
  <si>
    <t>C192</t>
  </si>
  <si>
    <t>MCLL-183</t>
  </si>
  <si>
    <t>MCLL-184</t>
  </si>
  <si>
    <t>MCLL-185</t>
  </si>
  <si>
    <t>MCLL-186</t>
  </si>
  <si>
    <t>MCLL-187</t>
  </si>
  <si>
    <t>MCLL-188</t>
  </si>
  <si>
    <t>MCLL-189</t>
  </si>
  <si>
    <t>MCLL-190</t>
  </si>
  <si>
    <t>MCLL-191</t>
  </si>
  <si>
    <t>MCLL-192</t>
  </si>
  <si>
    <t>muro puerta  (0.70cm)izq.vano de .80</t>
  </si>
  <si>
    <t>P96</t>
  </si>
  <si>
    <t>muro puerta  (0.80cm) izq vano de 0.90</t>
  </si>
  <si>
    <t>muro puerta  (0.70cm) izq durock vano de 0.80</t>
  </si>
  <si>
    <t>MUROS DE AZULEJO</t>
  </si>
  <si>
    <t>CANAL LISTON 1"PARA MUROS DE AZULEJO @60cms de 2715 MM CAL. 26</t>
  </si>
  <si>
    <t>CANAL LISTON 2" PARA MUROS DE AZULEJO @60cms de 2715 MM CAL. 26</t>
  </si>
  <si>
    <t>muro ciego durock fach-durock-lin</t>
  </si>
  <si>
    <t>fach-durock-lin</t>
  </si>
  <si>
    <t>muro ventana (0.69x0.49)  DERECHA (interior mitad lin / mitad durock)</t>
  </si>
  <si>
    <t>muro puerta (0.80cm) vano de 0.85 izq</t>
  </si>
  <si>
    <t>muro puerta (0.80cm) vano de 0.85 der</t>
  </si>
  <si>
    <t>Pf 4</t>
  </si>
  <si>
    <t>MPFL-004</t>
  </si>
  <si>
    <t>muro 2 puerta(0.90) vano de 1.85</t>
  </si>
  <si>
    <t>muro puerta  (0.80cm) der vano de 0.90</t>
  </si>
  <si>
    <t>P97</t>
  </si>
  <si>
    <t>MPLL-097</t>
  </si>
  <si>
    <t>P98</t>
  </si>
  <si>
    <t>muro puerta  (0.80cm) der vano de 0.85</t>
  </si>
  <si>
    <t>MPLL-098</t>
  </si>
  <si>
    <t>P99</t>
  </si>
  <si>
    <t>MPLL-099</t>
  </si>
  <si>
    <t>P100</t>
  </si>
  <si>
    <t>muro puerta  (0.80cm) DER vano de 0.85 abatimiento izquierdo.</t>
  </si>
  <si>
    <t>MPLL-100</t>
  </si>
  <si>
    <t>P101</t>
  </si>
  <si>
    <t>MPLL-101</t>
  </si>
  <si>
    <t>MPLL-102</t>
  </si>
  <si>
    <t>P102</t>
  </si>
  <si>
    <t>MPLL-103</t>
  </si>
  <si>
    <t>P103</t>
  </si>
  <si>
    <t>MPLL-104</t>
  </si>
  <si>
    <t>P104</t>
  </si>
  <si>
    <t>MPLL-105</t>
  </si>
  <si>
    <t>P105</t>
  </si>
  <si>
    <t>MPLL-106</t>
  </si>
  <si>
    <t>P106</t>
  </si>
  <si>
    <t>MCBL-014</t>
  </si>
  <si>
    <t>Cb14</t>
  </si>
  <si>
    <t>muro puerta  (0.80cm)der. Vano  de 90 der.</t>
  </si>
  <si>
    <t>C193</t>
  </si>
  <si>
    <t>MCLL-193</t>
  </si>
  <si>
    <t>muro puerta (.70) izq. Vano de .825izq.</t>
  </si>
  <si>
    <t>P107</t>
  </si>
  <si>
    <t>MPLL-107</t>
  </si>
  <si>
    <t>MVLL-009</t>
  </si>
  <si>
    <t>V9</t>
  </si>
  <si>
    <t xml:space="preserve">muro vent (1.80x1.22)s/ventana </t>
  </si>
  <si>
    <t>puerta der (0.90) vano de .95 izq.</t>
  </si>
  <si>
    <t>muro puerta  (0.80cm) der</t>
  </si>
  <si>
    <t>MPLL-108</t>
  </si>
  <si>
    <t>P108</t>
  </si>
  <si>
    <t>muro puerta (.90) izq. Vano de .95 izq.</t>
  </si>
  <si>
    <t>MCLL-194</t>
  </si>
  <si>
    <t>C194</t>
  </si>
  <si>
    <t>MVBL-029</t>
  </si>
  <si>
    <t>Vb-29</t>
  </si>
  <si>
    <t>muro vent (0.69x0.49) al centro</t>
  </si>
  <si>
    <t>MCLL-195</t>
  </si>
  <si>
    <t>MCLL-196</t>
  </si>
  <si>
    <t>MCLL-197</t>
  </si>
  <si>
    <t>C195</t>
  </si>
  <si>
    <t>C196</t>
  </si>
  <si>
    <t>C197</t>
  </si>
  <si>
    <t>MCLL-198</t>
  </si>
  <si>
    <t>C198</t>
  </si>
  <si>
    <t>MCLL-199</t>
  </si>
  <si>
    <t>C199</t>
  </si>
  <si>
    <t>MCLL-200</t>
  </si>
  <si>
    <t>C200</t>
  </si>
  <si>
    <t>MCLL-201</t>
  </si>
  <si>
    <t>C201</t>
  </si>
  <si>
    <t>MCLL-202</t>
  </si>
  <si>
    <t>C202</t>
  </si>
  <si>
    <t>solo bastidor</t>
  </si>
  <si>
    <t>Cf 2</t>
  </si>
  <si>
    <t>MCFL-002</t>
  </si>
  <si>
    <t>MCFL-003</t>
  </si>
  <si>
    <t>Cf 3</t>
  </si>
  <si>
    <t>MCFL-004</t>
  </si>
  <si>
    <t>Cf 4</t>
  </si>
  <si>
    <t>MVBL-030</t>
  </si>
  <si>
    <t>MVBL-031</t>
  </si>
  <si>
    <t>MPBL-0010</t>
  </si>
  <si>
    <t>Pb10</t>
  </si>
  <si>
    <t>MPBL-009</t>
  </si>
  <si>
    <t>Pb9</t>
  </si>
  <si>
    <t>muro puerta izq (0.90cm) vano de 0.95 para escalera</t>
  </si>
  <si>
    <t>MCLL-203</t>
  </si>
  <si>
    <t>C203</t>
  </si>
  <si>
    <t>MPLL-109</t>
  </si>
  <si>
    <t>P109</t>
  </si>
  <si>
    <t>muro puerta (.90) izq. Vano de 1m izq.</t>
  </si>
  <si>
    <t>P110</t>
  </si>
  <si>
    <t>MPLL-110</t>
  </si>
  <si>
    <t>MCLL-204</t>
  </si>
  <si>
    <t>C204</t>
  </si>
  <si>
    <t>muro puerta (0.90cm)izq. Vano de .95 izq.</t>
  </si>
  <si>
    <t>MPLL-111</t>
  </si>
  <si>
    <t>P111</t>
  </si>
  <si>
    <t>muro puerta (.70) izq. Vano de .80 izq.</t>
  </si>
  <si>
    <t>2.1.62</t>
  </si>
  <si>
    <t>MVLL-010</t>
  </si>
  <si>
    <t>V10</t>
  </si>
  <si>
    <t>MPLL-112</t>
  </si>
  <si>
    <t>P112</t>
  </si>
  <si>
    <t>muro puerta (0.80) der. Vano de 0.85</t>
  </si>
  <si>
    <t>MCLL-205</t>
  </si>
  <si>
    <t>C205</t>
  </si>
  <si>
    <t>muro puerta (0.80) izq. Vano de 0.85</t>
  </si>
  <si>
    <t>MPLL-113</t>
  </si>
  <si>
    <t>P113</t>
  </si>
  <si>
    <t>muro puerta (.80) izq. Vano de .85 izq.</t>
  </si>
  <si>
    <t>muro puerta (.90) izq. Vano de .1m izq.</t>
  </si>
  <si>
    <t>MCLL-206</t>
  </si>
  <si>
    <t>C206</t>
  </si>
  <si>
    <t xml:space="preserve">muro ciego </t>
  </si>
  <si>
    <t>MCLL-207</t>
  </si>
  <si>
    <t>C207</t>
  </si>
  <si>
    <t>muro puerta .70 izq. Vano de .75 izq.</t>
  </si>
  <si>
    <t>MPLL-114</t>
  </si>
  <si>
    <t>P114</t>
  </si>
  <si>
    <t>MPLL-115</t>
  </si>
  <si>
    <t>P115</t>
  </si>
  <si>
    <t>muro puerta  (0.70cm) der vano de 0.80</t>
  </si>
  <si>
    <t>MCLL-208</t>
  </si>
  <si>
    <t>MCLL-209</t>
  </si>
  <si>
    <t>C208</t>
  </si>
  <si>
    <t>C209</t>
  </si>
  <si>
    <t>MPLL-116</t>
  </si>
  <si>
    <t>MPLL-117</t>
  </si>
  <si>
    <t>muro puerta  (0.70cm) vano de 0.80 der.</t>
  </si>
  <si>
    <t>muro puerta  (0.70cm) vano de 0.80 izq.</t>
  </si>
  <si>
    <t>muro puerta  (0.70cm) vano de 0.80 al centro, abatim.derecho</t>
  </si>
  <si>
    <t>muro puerta  (0.70cm) vano de 0.75 al centro, abatim.izq.</t>
  </si>
  <si>
    <t>MPVLL-080</t>
  </si>
  <si>
    <t>PV2</t>
  </si>
  <si>
    <t>muro puerta doble (0.80cm) vano de 1.75</t>
  </si>
  <si>
    <t>CBAS-1</t>
  </si>
  <si>
    <t>CBAS-2</t>
  </si>
  <si>
    <t>CBAS-3</t>
  </si>
  <si>
    <t>MCBAS-003</t>
  </si>
  <si>
    <t>MCBAS-002</t>
  </si>
  <si>
    <t>MCBAS-001</t>
  </si>
  <si>
    <t>VBAS-1</t>
  </si>
  <si>
    <t>muro ventana (1.21x0.91) der.</t>
  </si>
  <si>
    <t>VBAS-2</t>
  </si>
  <si>
    <t>MVBAS-001</t>
  </si>
  <si>
    <t>MVBAS-002</t>
  </si>
  <si>
    <t>muro ventana (1.21x0.91) izq.</t>
  </si>
  <si>
    <t>MVBAS-003</t>
  </si>
  <si>
    <t>VBAS-3</t>
  </si>
  <si>
    <t>muro ventana (0.40x0.40) al centro</t>
  </si>
  <si>
    <t>MPBAS-001</t>
  </si>
  <si>
    <t>PBAS-1</t>
  </si>
  <si>
    <t>muro puerta izq (0.90)</t>
  </si>
  <si>
    <t>MCBAS-004</t>
  </si>
  <si>
    <t>CBAS-4</t>
  </si>
  <si>
    <t>MVBAS-004</t>
  </si>
  <si>
    <t>MVBAS-005</t>
  </si>
  <si>
    <t>MVBAS-006</t>
  </si>
  <si>
    <t>VBAS-4</t>
  </si>
  <si>
    <t>VBAS-5</t>
  </si>
  <si>
    <t>VBAS-6</t>
  </si>
  <si>
    <t>MPBAS-002</t>
  </si>
  <si>
    <t>PBAS-2</t>
  </si>
  <si>
    <t>MCLL-210</t>
  </si>
  <si>
    <t>C210</t>
  </si>
  <si>
    <t>MPLL-118</t>
  </si>
  <si>
    <t>P116</t>
  </si>
  <si>
    <t>P117</t>
  </si>
  <si>
    <t>P118</t>
  </si>
  <si>
    <t>MPLL-119</t>
  </si>
  <si>
    <t>P119</t>
  </si>
  <si>
    <t>MPLL-120</t>
  </si>
  <si>
    <t>P120</t>
  </si>
  <si>
    <t>MPLL-121</t>
  </si>
  <si>
    <t>P121</t>
  </si>
  <si>
    <t>MPLL-122</t>
  </si>
  <si>
    <t>P122</t>
  </si>
  <si>
    <t>MPLL-123</t>
  </si>
  <si>
    <t>P123</t>
  </si>
  <si>
    <t>MPLL-124</t>
  </si>
  <si>
    <t>P124</t>
  </si>
  <si>
    <t>C211</t>
  </si>
  <si>
    <t>C212</t>
  </si>
  <si>
    <t>C213</t>
  </si>
  <si>
    <t>C214</t>
  </si>
  <si>
    <t>C215</t>
  </si>
  <si>
    <t>P125</t>
  </si>
  <si>
    <t>P126</t>
  </si>
  <si>
    <t>P127</t>
  </si>
  <si>
    <t>P128</t>
  </si>
  <si>
    <t>P129</t>
  </si>
  <si>
    <t>P130</t>
  </si>
  <si>
    <t>P131</t>
  </si>
  <si>
    <t>P132</t>
  </si>
  <si>
    <t>P133</t>
  </si>
  <si>
    <t>C216</t>
  </si>
  <si>
    <t>C217</t>
  </si>
  <si>
    <t>Vb-30</t>
  </si>
  <si>
    <t>Vb-31</t>
  </si>
  <si>
    <t>Vb-32</t>
  </si>
  <si>
    <t>Columna Armada 4318 mm</t>
  </si>
  <si>
    <t>Columna Reforzada 4318 mm</t>
  </si>
  <si>
    <t>C218</t>
  </si>
  <si>
    <t>MCLL-211</t>
  </si>
  <si>
    <t>C219</t>
  </si>
  <si>
    <t>P134</t>
  </si>
  <si>
    <t>P135</t>
  </si>
  <si>
    <t>muro puerta (.70) izq. Vano de.75 der.</t>
  </si>
  <si>
    <t>MCLL-212</t>
  </si>
  <si>
    <t>C220</t>
  </si>
  <si>
    <t>MVLL-011</t>
  </si>
  <si>
    <t>V11</t>
  </si>
  <si>
    <t>MVLL-012</t>
  </si>
  <si>
    <t>V12</t>
  </si>
  <si>
    <t>muro ventana  de 1.20x 1.22)  sin ventan derecha</t>
  </si>
  <si>
    <t>muro ventana  de 1.20x 1.22)  sin ventana izquierda</t>
  </si>
  <si>
    <t>P136</t>
  </si>
  <si>
    <t>MCLL-213</t>
  </si>
  <si>
    <t>C221</t>
  </si>
  <si>
    <t>MCLL-214</t>
  </si>
  <si>
    <t>C222</t>
  </si>
  <si>
    <t xml:space="preserve">LAVADERO DE PLASTICO </t>
  </si>
  <si>
    <t>puerta izq (0.90) vano de  .95 ventana (0.59x.49)</t>
  </si>
  <si>
    <t>MPBL-011</t>
  </si>
  <si>
    <t>Pb11</t>
  </si>
  <si>
    <t>puerta izq. (0.90) vano de .95 izq.</t>
  </si>
  <si>
    <t>ARRE-5000S</t>
  </si>
  <si>
    <t>Armadura Recta p/modulo de 5.0m de ancho</t>
  </si>
  <si>
    <t>Armadura Recta Reforzada p/modulo de 8.0m de ancho</t>
  </si>
  <si>
    <t>Armadura Recta Reforzada p/modulo de10.225m de ancho</t>
  </si>
  <si>
    <t>Clave 1</t>
  </si>
  <si>
    <t>Clave 2</t>
  </si>
  <si>
    <t>Clave 3</t>
  </si>
  <si>
    <t>Color</t>
  </si>
  <si>
    <t>Tipo</t>
  </si>
  <si>
    <t>Descripcion</t>
  </si>
  <si>
    <t>Largo</t>
  </si>
  <si>
    <t>Alto</t>
  </si>
  <si>
    <t>Unidad</t>
  </si>
  <si>
    <t>ID</t>
  </si>
  <si>
    <t>Comedor</t>
  </si>
  <si>
    <t>Sanidad</t>
  </si>
  <si>
    <t>Servicios</t>
  </si>
  <si>
    <t>Comandancia</t>
  </si>
  <si>
    <t>Mantenimiento</t>
  </si>
  <si>
    <t>Servicios Estatales</t>
  </si>
  <si>
    <t>Sala De Conferencias</t>
  </si>
  <si>
    <t>Videowall</t>
  </si>
  <si>
    <t>Gobierno</t>
  </si>
  <si>
    <t>Niveles Superiores</t>
  </si>
  <si>
    <t>Atención Al Público</t>
  </si>
  <si>
    <t>Basura</t>
  </si>
  <si>
    <t>Nombre del Proyecto / Cliente</t>
  </si>
  <si>
    <t>Dirección / Ubicación</t>
  </si>
  <si>
    <t>Supervisor de Obra</t>
  </si>
  <si>
    <t>No. De Edificios</t>
  </si>
  <si>
    <t>Tipo de Edificio</t>
  </si>
  <si>
    <t>Fecha de Inicio</t>
  </si>
  <si>
    <t>No.</t>
  </si>
  <si>
    <t>Dormitorios Generales</t>
  </si>
  <si>
    <t>Administrador de Obra</t>
  </si>
  <si>
    <t>Rangos</t>
  </si>
  <si>
    <t>Dormitorios</t>
  </si>
  <si>
    <t>Alojamiento</t>
  </si>
  <si>
    <t>comyaloj</t>
  </si>
  <si>
    <t>serestatal</t>
  </si>
  <si>
    <t>conferencias</t>
  </si>
  <si>
    <t>dormitorios</t>
  </si>
  <si>
    <t>comedor</t>
  </si>
  <si>
    <t>alojamiento</t>
  </si>
  <si>
    <t>sanidad</t>
  </si>
  <si>
    <t>servicios</t>
  </si>
  <si>
    <t>comandancia</t>
  </si>
  <si>
    <t>mantenimiento</t>
  </si>
  <si>
    <t>michoacan</t>
  </si>
  <si>
    <t>Jorge Ramos</t>
  </si>
  <si>
    <t>Ernesto che</t>
  </si>
  <si>
    <t>Dormitorio</t>
  </si>
  <si>
    <t># por concepto</t>
  </si>
  <si>
    <t>No. De Elemtos Requeridos---&gt;</t>
  </si>
  <si>
    <t>pepe</t>
  </si>
  <si>
    <t>Fecha de Fin</t>
  </si>
  <si>
    <t>queretaro</t>
  </si>
  <si>
    <t>juan</t>
  </si>
  <si>
    <t>late</t>
  </si>
  <si>
    <t>jalisco</t>
  </si>
  <si>
    <t>jaisco</t>
  </si>
  <si>
    <t>yo</t>
  </si>
  <si>
    <t>tu</t>
  </si>
  <si>
    <t>lento</t>
  </si>
  <si>
    <t>sadasdasd</t>
  </si>
  <si>
    <t>asd</t>
  </si>
  <si>
    <t>sa</t>
  </si>
  <si>
    <t>d</t>
  </si>
  <si>
    <t>dfsdfsdfsderwr34r</t>
  </si>
  <si>
    <t>54/6/45</t>
  </si>
  <si>
    <t>6/546/45</t>
  </si>
  <si>
    <t>Alojamiento De Guardia</t>
  </si>
  <si>
    <t>Comedor Y Alojamiento Escolta</t>
  </si>
  <si>
    <t>puente grande</t>
  </si>
  <si>
    <t>Proyecto</t>
  </si>
  <si>
    <t>trabajo</t>
  </si>
  <si>
    <t>saltillo</t>
  </si>
  <si>
    <t>stert</t>
  </si>
  <si>
    <t>ertert</t>
  </si>
  <si>
    <t>tretert</t>
  </si>
  <si>
    <t>retret</t>
  </si>
  <si>
    <t>ertrete</t>
  </si>
  <si>
    <t>Tablero de Control Desarrolladora M, SA de CV</t>
  </si>
  <si>
    <t>colorado</t>
  </si>
  <si>
    <t>wregfsf</t>
  </si>
  <si>
    <t>sgf</t>
  </si>
  <si>
    <t>sd</t>
  </si>
  <si>
    <t>gdfsdf</t>
  </si>
  <si>
    <t>sdfs</t>
  </si>
  <si>
    <t>metro</t>
  </si>
  <si>
    <t>sdfsgf</t>
  </si>
  <si>
    <t>re</t>
  </si>
  <si>
    <t>tr</t>
  </si>
  <si>
    <t>y</t>
  </si>
  <si>
    <t>trrty</t>
  </si>
  <si>
    <t>wd</t>
  </si>
  <si>
    <t>sad</t>
  </si>
  <si>
    <t>as</t>
  </si>
  <si>
    <t>Total</t>
  </si>
  <si>
    <t>TOTA DE MUROS POR EDIFICIO</t>
  </si>
  <si>
    <t>TOTADE MUROS INTERIORES</t>
  </si>
  <si>
    <t>TOTA DE MUROS EXTERIORES</t>
  </si>
  <si>
    <t xml:space="preserve">PIJA PARA SUJETAR CANAL LISTON DEL No. 8 DE 1/2" AUTOTAADRANTE CABEZA PLANA </t>
  </si>
  <si>
    <t>memes</t>
  </si>
  <si>
    <t>aqui</t>
  </si>
  <si>
    <t>el</t>
  </si>
  <si>
    <t>q</t>
  </si>
  <si>
    <t/>
  </si>
  <si>
    <t>altos</t>
  </si>
  <si>
    <t>maltos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</si>
</sst>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6"/>
      <color theme="0"/>
      <name val="Calibri Light"/>
      <family val="1"/>
      <scheme val="major"/>
    </font>
    <font>
      <b/>
      <sz val="12"/>
      <color rgb="FF006100"/>
      <name val="Calibri"/>
      <family val="2"/>
      <scheme val="minor"/>
    </font>
    <font>
      <sz val="12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9C0006"/>
      <name val="Calibri"/>
      <family val="2"/>
      <scheme val="minor"/>
    </font>
    <font>
      <b/>
      <sz val="12"/>
      <color rgb="FF9C65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28"/>
      <color theme="0" tint="-0.499984740745262"/>
      <name val="Calibri"/>
      <family val="2"/>
      <scheme val="minor"/>
    </font>
    <font>
      <sz val="12"/>
      <color rgb="FF006100"/>
      <name val="Arial"/>
      <family val="2"/>
    </font>
    <font>
      <b/>
      <sz val="12"/>
      <color theme="0"/>
      <name val="Calibri Light"/>
      <family val="1"/>
      <scheme val="major"/>
    </font>
    <font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2"/>
      <color indexed="9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rgb="FFFFFF00"/>
        <bgColor theme="5" tint="0.79998168889431442"/>
      </patternFill>
    </fill>
  </fills>
  <borders count="3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2" fillId="2" borderId="0" applyNumberFormat="0" applyBorder="0" applyAlignment="0" applyProtection="0"/>
    <xf numFmtId="0" fontId="1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5" fillId="2" borderId="0" xfId="3" applyFont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5" fillId="2" borderId="0" xfId="3" applyFont="1" applyAlignment="1">
      <alignment horizontal="center" vertical="center" wrapText="1"/>
    </xf>
    <xf numFmtId="0" fontId="8" fillId="5" borderId="0" xfId="5" applyFont="1" applyAlignment="1">
      <alignment horizontal="center" vertical="center" wrapText="1"/>
    </xf>
    <xf numFmtId="0" fontId="9" fillId="6" borderId="0" xfId="6" applyFont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7" borderId="0" xfId="0" applyFill="1"/>
    <xf numFmtId="0" fontId="0" fillId="0" borderId="0" xfId="0" applyAlignment="1">
      <alignment horizontal="center" wrapText="1"/>
    </xf>
    <xf numFmtId="0" fontId="12" fillId="2" borderId="0" xfId="3" applyFont="1" applyAlignment="1">
      <alignment horizontal="center" vertical="center"/>
    </xf>
    <xf numFmtId="0" fontId="0" fillId="8" borderId="0" xfId="0" applyFill="1"/>
    <xf numFmtId="0" fontId="11" fillId="8" borderId="0" xfId="0" applyFont="1" applyFill="1" applyAlignment="1">
      <alignment vertical="center" wrapText="1"/>
    </xf>
    <xf numFmtId="0" fontId="11" fillId="8" borderId="0" xfId="0" applyFont="1" applyFill="1" applyAlignment="1">
      <alignment vertical="center"/>
    </xf>
    <xf numFmtId="0" fontId="14" fillId="3" borderId="0" xfId="0" applyFont="1" applyFill="1" applyAlignment="1">
      <alignment horizontal="center" vertical="center"/>
    </xf>
    <xf numFmtId="0" fontId="4" fillId="2" borderId="0" xfId="3" applyFont="1" applyAlignment="1">
      <alignment horizontal="center" vertical="center"/>
    </xf>
    <xf numFmtId="0" fontId="4" fillId="2" borderId="0" xfId="3" applyFont="1" applyAlignment="1">
      <alignment horizontal="center" vertical="center"/>
    </xf>
    <xf numFmtId="0" fontId="16" fillId="9" borderId="0" xfId="3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 wrapText="1"/>
    </xf>
    <xf numFmtId="0" fontId="4" fillId="2" borderId="0" xfId="3" applyFont="1" applyAlignment="1">
      <alignment horizontal="center" vertical="center"/>
    </xf>
    <xf numFmtId="0" fontId="13" fillId="3" borderId="0" xfId="0" applyFont="1" applyFill="1" applyAlignment="1">
      <alignment horizontal="right" vertical="center"/>
    </xf>
    <xf numFmtId="0" fontId="0" fillId="10" borderId="1" xfId="0" applyFont="1" applyFill="1" applyBorder="1"/>
    <xf numFmtId="0" fontId="0" fillId="11" borderId="2" xfId="0" applyFont="1" applyFill="1" applyBorder="1"/>
    <xf numFmtId="0" fontId="0" fillId="0" borderId="2" xfId="0" applyFont="1" applyBorder="1"/>
    <xf numFmtId="0" fontId="17" fillId="0" borderId="0" xfId="0" applyFont="1"/>
    <xf numFmtId="0" fontId="2" fillId="2" borderId="0" xfId="3" applyAlignment="1">
      <alignment wrapText="1"/>
    </xf>
    <xf numFmtId="0" fontId="0" fillId="12" borderId="1" xfId="0" applyFont="1" applyFill="1" applyBorder="1"/>
  </cellXfs>
  <cellStyles count="7">
    <cellStyle name="Buena" xfId="3" builtinId="26"/>
    <cellStyle name="Incorrecto" xfId="5" builtinId="27"/>
    <cellStyle name="Millares 2" xfId="1"/>
    <cellStyle name="Neutral" xfId="6" builtinId="28"/>
    <cellStyle name="Normal" xfId="0" builtinId="0"/>
    <cellStyle name="Normal 2" xfId="4"/>
    <cellStyle name="Normal 3 2" xfId="2"/>
  </cellStyles>
  <dxfs count="37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9C6500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trol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tro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250825</xdr:colOff>
      <xdr:row>6</xdr:row>
      <xdr:rowOff>155576</xdr:rowOff>
    </xdr:from>
    <xdr:to>
      <xdr:col>4</xdr:col>
      <xdr:colOff>952501</xdr:colOff>
      <xdr:row>8</xdr:row>
      <xdr:rowOff>75276</xdr:rowOff>
    </xdr:to>
    <xdr:sp macro="" textlink="">
      <xdr:nvSpPr>
        <xdr:cNvPr id="3" name="Octágono 2"/>
        <xdr:cNvSpPr/>
      </xdr:nvSpPr>
      <xdr:spPr>
        <a:xfrm>
          <a:off x="2962275" y="1260476"/>
          <a:ext cx="1666876" cy="288000"/>
        </a:xfrm>
        <a:prstGeom prst="octagon">
          <a:avLst/>
        </a:prstGeom>
        <a:solidFill>
          <a:srgbClr val="002060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bg1"/>
              </a:solidFill>
            </a:rPr>
            <a:t>Flujo Proyecto</a:t>
          </a:r>
        </a:p>
      </xdr:txBody>
    </xdr:sp>
    <xdr:clientData/>
  </xdr:twoCellAnchor>
  <xdr:twoCellAnchor>
    <xdr:from>
      <xdr:col>6</xdr:col>
      <xdr:colOff>650874</xdr:colOff>
      <xdr:row>6</xdr:row>
      <xdr:rowOff>149226</xdr:rowOff>
    </xdr:from>
    <xdr:to>
      <xdr:col>8</xdr:col>
      <xdr:colOff>234949</xdr:colOff>
      <xdr:row>8</xdr:row>
      <xdr:rowOff>68926</xdr:rowOff>
    </xdr:to>
    <xdr:sp macro="" textlink="">
      <xdr:nvSpPr>
        <xdr:cNvPr id="5" name="Octágono 4"/>
        <xdr:cNvSpPr/>
      </xdr:nvSpPr>
      <xdr:spPr>
        <a:xfrm>
          <a:off x="6257924" y="1254126"/>
          <a:ext cx="2181225" cy="288000"/>
        </a:xfrm>
        <a:prstGeom prst="octagon">
          <a:avLst/>
        </a:prstGeom>
        <a:solidFill>
          <a:srgbClr val="002060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bg1"/>
              </a:solidFill>
            </a:rPr>
            <a:t>Flujo Mantenimiento</a:t>
          </a:r>
        </a:p>
      </xdr:txBody>
    </xdr:sp>
    <xdr:clientData/>
  </xdr:twoCellAnchor>
  <xdr:twoCellAnchor>
    <xdr:from>
      <xdr:col>3</xdr:col>
      <xdr:colOff>438150</xdr:colOff>
      <xdr:row>9</xdr:row>
      <xdr:rowOff>95250</xdr:rowOff>
    </xdr:from>
    <xdr:to>
      <xdr:col>5</xdr:col>
      <xdr:colOff>355600</xdr:colOff>
      <xdr:row>10</xdr:row>
      <xdr:rowOff>171450</xdr:rowOff>
    </xdr:to>
    <xdr:sp macro="[0]!alta_proyectos" textlink="">
      <xdr:nvSpPr>
        <xdr:cNvPr id="2" name="Proceso alternativo 1"/>
        <xdr:cNvSpPr/>
      </xdr:nvSpPr>
      <xdr:spPr>
        <a:xfrm>
          <a:off x="3149600" y="1752600"/>
          <a:ext cx="18478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1.</a:t>
          </a:r>
          <a:r>
            <a:rPr lang="es-MX" sz="1200" baseline="0">
              <a:solidFill>
                <a:srgbClr val="002060"/>
              </a:solidFill>
              <a:latin typeface="+mj-lt"/>
            </a:rPr>
            <a:t> Dar de Alta Proyecto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3</xdr:col>
      <xdr:colOff>438150</xdr:colOff>
      <xdr:row>11</xdr:row>
      <xdr:rowOff>146050</xdr:rowOff>
    </xdr:from>
    <xdr:to>
      <xdr:col>5</xdr:col>
      <xdr:colOff>431800</xdr:colOff>
      <xdr:row>13</xdr:row>
      <xdr:rowOff>38100</xdr:rowOff>
    </xdr:to>
    <xdr:sp macro="[0]!asigna_con" textlink="">
      <xdr:nvSpPr>
        <xdr:cNvPr id="17" name="Proceso alternativo 16"/>
        <xdr:cNvSpPr/>
      </xdr:nvSpPr>
      <xdr:spPr>
        <a:xfrm>
          <a:off x="3149600" y="2171700"/>
          <a:ext cx="19240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2.</a:t>
          </a:r>
          <a:r>
            <a:rPr lang="es-MX" sz="1200" baseline="0">
              <a:solidFill>
                <a:srgbClr val="002060"/>
              </a:solidFill>
              <a:latin typeface="+mj-lt"/>
            </a:rPr>
            <a:t> Dar de Alta Elementos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3</xdr:col>
      <xdr:colOff>438150</xdr:colOff>
      <xdr:row>13</xdr:row>
      <xdr:rowOff>177800</xdr:rowOff>
    </xdr:from>
    <xdr:to>
      <xdr:col>5</xdr:col>
      <xdr:colOff>317500</xdr:colOff>
      <xdr:row>15</xdr:row>
      <xdr:rowOff>69850</xdr:rowOff>
    </xdr:to>
    <xdr:sp macro="[0]!estimacion" textlink="">
      <xdr:nvSpPr>
        <xdr:cNvPr id="18" name="Proceso alternativo 17"/>
        <xdr:cNvSpPr/>
      </xdr:nvSpPr>
      <xdr:spPr>
        <a:xfrm>
          <a:off x="3149600" y="2571750"/>
          <a:ext cx="18097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3.</a:t>
          </a:r>
          <a:r>
            <a:rPr lang="es-MX" sz="1200" baseline="0">
              <a:solidFill>
                <a:srgbClr val="002060"/>
              </a:solidFill>
              <a:latin typeface="+mj-lt"/>
            </a:rPr>
            <a:t> Generar Estimación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3</xdr:col>
      <xdr:colOff>250824</xdr:colOff>
      <xdr:row>7</xdr:row>
      <xdr:rowOff>55777</xdr:rowOff>
    </xdr:from>
    <xdr:to>
      <xdr:col>3</xdr:col>
      <xdr:colOff>438149</xdr:colOff>
      <xdr:row>10</xdr:row>
      <xdr:rowOff>41274</xdr:rowOff>
    </xdr:to>
    <xdr:cxnSp macro="">
      <xdr:nvCxnSpPr>
        <xdr:cNvPr id="27" name="Conector angular 26"/>
        <xdr:cNvCxnSpPr>
          <a:stCxn id="3" idx="5"/>
          <a:endCxn id="2" idx="1"/>
        </xdr:cNvCxnSpPr>
      </xdr:nvCxnSpPr>
      <xdr:spPr>
        <a:xfrm rot="10800000" flipH="1" flipV="1">
          <a:off x="2962274" y="1344827"/>
          <a:ext cx="187325" cy="537947"/>
        </a:xfrm>
        <a:prstGeom prst="bentConnector3">
          <a:avLst>
            <a:gd name="adj1" fmla="val -122034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355600</xdr:colOff>
      <xdr:row>10</xdr:row>
      <xdr:rowOff>41275</xdr:rowOff>
    </xdr:from>
    <xdr:to>
      <xdr:col>5</xdr:col>
      <xdr:colOff>431800</xdr:colOff>
      <xdr:row>12</xdr:row>
      <xdr:rowOff>92075</xdr:rowOff>
    </xdr:to>
    <xdr:cxnSp macro="">
      <xdr:nvCxnSpPr>
        <xdr:cNvPr id="21" name="Conector angular 20"/>
        <xdr:cNvCxnSpPr>
          <a:stCxn id="2" idx="3"/>
          <a:endCxn id="17" idx="3"/>
        </xdr:cNvCxnSpPr>
      </xdr:nvCxnSpPr>
      <xdr:spPr>
        <a:xfrm>
          <a:off x="4997450" y="1882775"/>
          <a:ext cx="76200" cy="419100"/>
        </a:xfrm>
        <a:prstGeom prst="bentConnector3">
          <a:avLst>
            <a:gd name="adj1" fmla="val 40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438150</xdr:colOff>
      <xdr:row>12</xdr:row>
      <xdr:rowOff>92075</xdr:rowOff>
    </xdr:from>
    <xdr:to>
      <xdr:col>3</xdr:col>
      <xdr:colOff>450850</xdr:colOff>
      <xdr:row>14</xdr:row>
      <xdr:rowOff>123825</xdr:rowOff>
    </xdr:to>
    <xdr:cxnSp macro="">
      <xdr:nvCxnSpPr>
        <xdr:cNvPr id="22" name="Conector angular 21"/>
        <xdr:cNvCxnSpPr>
          <a:stCxn id="17" idx="1"/>
          <a:endCxn id="18" idx="1"/>
        </xdr:cNvCxnSpPr>
      </xdr:nvCxnSpPr>
      <xdr:spPr>
        <a:xfrm rot="10800000" flipV="1">
          <a:off x="3149600" y="2301875"/>
          <a:ext cx="12700" cy="400050"/>
        </a:xfrm>
        <a:prstGeom prst="bentConnector3">
          <a:avLst>
            <a:gd name="adj1" fmla="val 180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958850</xdr:colOff>
      <xdr:row>9</xdr:row>
      <xdr:rowOff>88900</xdr:rowOff>
    </xdr:from>
    <xdr:to>
      <xdr:col>8</xdr:col>
      <xdr:colOff>355600</xdr:colOff>
      <xdr:row>10</xdr:row>
      <xdr:rowOff>165100</xdr:rowOff>
    </xdr:to>
    <xdr:sp macro="[0]!alta_concepto" textlink="">
      <xdr:nvSpPr>
        <xdr:cNvPr id="24" name="Proceso alternativo 23"/>
        <xdr:cNvSpPr/>
      </xdr:nvSpPr>
      <xdr:spPr>
        <a:xfrm>
          <a:off x="6565900" y="1746250"/>
          <a:ext cx="199390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1.</a:t>
          </a:r>
          <a:r>
            <a:rPr lang="es-MX" sz="1200" baseline="0">
              <a:solidFill>
                <a:srgbClr val="002060"/>
              </a:solidFill>
              <a:latin typeface="+mj-lt"/>
            </a:rPr>
            <a:t> Alta de un Elemento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6</xdr:col>
      <xdr:colOff>958850</xdr:colOff>
      <xdr:row>11</xdr:row>
      <xdr:rowOff>133350</xdr:rowOff>
    </xdr:from>
    <xdr:to>
      <xdr:col>8</xdr:col>
      <xdr:colOff>349250</xdr:colOff>
      <xdr:row>13</xdr:row>
      <xdr:rowOff>25400</xdr:rowOff>
    </xdr:to>
    <xdr:sp macro="[0]!eliminaelemento" textlink="">
      <xdr:nvSpPr>
        <xdr:cNvPr id="25" name="Proceso alternativo 24"/>
        <xdr:cNvSpPr/>
      </xdr:nvSpPr>
      <xdr:spPr>
        <a:xfrm>
          <a:off x="6565900" y="2159000"/>
          <a:ext cx="19875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2.</a:t>
          </a:r>
          <a:r>
            <a:rPr lang="es-MX" sz="1200" baseline="0">
              <a:solidFill>
                <a:srgbClr val="002060"/>
              </a:solidFill>
              <a:latin typeface="+mj-lt"/>
            </a:rPr>
            <a:t> Baja de un Elemento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1</xdr:col>
      <xdr:colOff>622300</xdr:colOff>
      <xdr:row>3</xdr:row>
      <xdr:rowOff>69850</xdr:rowOff>
    </xdr:from>
    <xdr:to>
      <xdr:col>9</xdr:col>
      <xdr:colOff>254000</xdr:colOff>
      <xdr:row>22</xdr:row>
      <xdr:rowOff>114300</xdr:rowOff>
    </xdr:to>
    <xdr:sp macro="" textlink="">
      <xdr:nvSpPr>
        <xdr:cNvPr id="8" name="Rectángulo 7"/>
        <xdr:cNvSpPr/>
      </xdr:nvSpPr>
      <xdr:spPr>
        <a:xfrm>
          <a:off x="1504950" y="622300"/>
          <a:ext cx="8420100" cy="3543300"/>
        </a:xfrm>
        <a:prstGeom prst="rect">
          <a:avLst/>
        </a:prstGeom>
        <a:noFill/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650874</xdr:colOff>
      <xdr:row>7</xdr:row>
      <xdr:rowOff>49427</xdr:rowOff>
    </xdr:from>
    <xdr:to>
      <xdr:col>6</xdr:col>
      <xdr:colOff>958850</xdr:colOff>
      <xdr:row>10</xdr:row>
      <xdr:rowOff>34924</xdr:rowOff>
    </xdr:to>
    <xdr:cxnSp macro="">
      <xdr:nvCxnSpPr>
        <xdr:cNvPr id="32" name="Conector angular 31"/>
        <xdr:cNvCxnSpPr>
          <a:stCxn id="5" idx="5"/>
          <a:endCxn id="24" idx="1"/>
        </xdr:cNvCxnSpPr>
      </xdr:nvCxnSpPr>
      <xdr:spPr>
        <a:xfrm rot="10800000" flipH="1" flipV="1">
          <a:off x="6257924" y="1338477"/>
          <a:ext cx="307976" cy="537947"/>
        </a:xfrm>
        <a:prstGeom prst="bentConnector3">
          <a:avLst>
            <a:gd name="adj1" fmla="val -74227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349250</xdr:colOff>
      <xdr:row>10</xdr:row>
      <xdr:rowOff>34925</xdr:rowOff>
    </xdr:from>
    <xdr:to>
      <xdr:col>8</xdr:col>
      <xdr:colOff>355600</xdr:colOff>
      <xdr:row>12</xdr:row>
      <xdr:rowOff>79375</xdr:rowOff>
    </xdr:to>
    <xdr:cxnSp macro="">
      <xdr:nvCxnSpPr>
        <xdr:cNvPr id="33" name="Conector angular 32"/>
        <xdr:cNvCxnSpPr>
          <a:stCxn id="24" idx="3"/>
          <a:endCxn id="25" idx="3"/>
        </xdr:cNvCxnSpPr>
      </xdr:nvCxnSpPr>
      <xdr:spPr>
        <a:xfrm flipH="1">
          <a:off x="8553450" y="1876425"/>
          <a:ext cx="6350" cy="412750"/>
        </a:xfrm>
        <a:prstGeom prst="bentConnector3">
          <a:avLst>
            <a:gd name="adj1" fmla="val -360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10583</xdr:colOff>
      <xdr:row>1</xdr:row>
      <xdr:rowOff>14110</xdr:rowOff>
    </xdr:from>
    <xdr:to>
      <xdr:col>4</xdr:col>
      <xdr:colOff>1453444</xdr:colOff>
      <xdr:row>3</xdr:row>
      <xdr:rowOff>63500</xdr:rowOff>
    </xdr:to>
    <xdr:sp macro="" textlink="">
      <xdr:nvSpPr>
        <xdr:cNvPr id="2" name="Flecha izquierda 1">
          <a:hlinkClick xmlns:r="http://schemas.openxmlformats.org/officeDocument/2006/relationships" r:id="rId1" tooltip="Regresa a la hoja principal"/>
        </xdr:cNvPr>
        <xdr:cNvSpPr/>
      </xdr:nvSpPr>
      <xdr:spPr>
        <a:xfrm>
          <a:off x="3284361" y="352777"/>
          <a:ext cx="1442861" cy="627945"/>
        </a:xfrm>
        <a:prstGeom prst="leftArrow">
          <a:avLst>
            <a:gd name="adj1" fmla="val 50000"/>
            <a:gd name="adj2" fmla="val 63208"/>
          </a:avLst>
        </a:prstGeom>
        <a:solidFill>
          <a:srgbClr val="0070C0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+mj-lt"/>
            </a:rPr>
            <a:t>Regresar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0</xdr:row>
          <xdr:rowOff>0</xdr:rowOff>
        </xdr:from>
        <xdr:to>
          <xdr:col>8</xdr:col>
          <xdr:colOff>425450</xdr:colOff>
          <xdr:row>0</xdr:row>
          <xdr:rowOff>304800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Alta de Elementos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1</xdr:row>
          <xdr:rowOff>6350</xdr:rowOff>
        </xdr:from>
        <xdr:to>
          <xdr:col>9</xdr:col>
          <xdr:colOff>6350</xdr:colOff>
          <xdr:row>1</xdr:row>
          <xdr:rowOff>273050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Baja de Elementos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158750</xdr:colOff>
      <xdr:row>0</xdr:row>
      <xdr:rowOff>82550</xdr:rowOff>
    </xdr:from>
    <xdr:to>
      <xdr:col>2</xdr:col>
      <xdr:colOff>603250</xdr:colOff>
      <xdr:row>2</xdr:row>
      <xdr:rowOff>273050</xdr:rowOff>
    </xdr:to>
    <xdr:sp macro="" textlink="">
      <xdr:nvSpPr>
        <xdr:cNvPr id="2" name="Flecha izquierda 1">
          <a:hlinkClick xmlns:r="http://schemas.openxmlformats.org/officeDocument/2006/relationships" r:id="rId1" tooltip="Regresa al Panel de Control"/>
        </xdr:cNvPr>
        <xdr:cNvSpPr/>
      </xdr:nvSpPr>
      <xdr:spPr>
        <a:xfrm>
          <a:off x="920750" y="82550"/>
          <a:ext cx="1206500" cy="4508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/>
            <a:t>Regresar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3:I14" totalsRowShown="0" headerRowDxfId="36">
  <autoFilter ref="A3:I14"/>
  <sortState ref="A4:I7">
    <sortCondition ref="A3:A7"/>
  </sortState>
  <tableColumns count="9">
    <tableColumn id="1" name="ID" dataDxfId="35">
      <calculatedColumnFormula>ROW()-3</calculatedColumnFormula>
    </tableColumn>
    <tableColumn id="2" name="Nombre del Proyecto / Cliente"/>
    <tableColumn id="3" name="Dirección / Ubicación"/>
    <tableColumn id="4" name="Supervisor de Obra"/>
    <tableColumn id="8" name="Administrador de Obra"/>
    <tableColumn id="5" name="No. De Edificios"/>
    <tableColumn id="6" name="Tipo de Edificio"/>
    <tableColumn id="7" name="Fecha de Inicio"/>
    <tableColumn id="9" name="Fecha de Fin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J3:K44" totalsRowShown="0" headerRowDxfId="34" dataDxfId="33" headerRowCellStyle="Buena">
  <tableColumns count="2">
    <tableColumn id="1" name="ID" dataDxfId="32"/>
    <tableColumn id="2" name="Dormitorios Generales" dataDxfId="3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M3:N49" totalsRowShown="0" headerRowDxfId="30" headerRowCellStyle="Buena">
  <tableColumns count="2">
    <tableColumn id="1" name="ID" dataDxfId="29"/>
    <tableColumn id="2" name="Comedor" dataDxfId="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P3:Q25" totalsRowShown="0" headerRowDxfId="27" headerRowCellStyle="Buena">
  <tableColumns count="2">
    <tableColumn id="1" name="ID" dataDxfId="26"/>
    <tableColumn id="2" name="Alojamiento De Guardia" dataDxfId="2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S3:T45" totalsRowShown="0" headerRowDxfId="24" headerRowCellStyle="Buena">
  <tableColumns count="2">
    <tableColumn id="1" name="ID" dataDxfId="23"/>
    <tableColumn id="2" name="Sanidad" dataDxfId="2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V3:W23" totalsRowShown="0" headerRowDxfId="21" headerRowCellStyle="Buena">
  <tableColumns count="2">
    <tableColumn id="1" name="ID" dataDxfId="20"/>
    <tableColumn id="2" name="Servicios" dataDxfId="19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Y3:Z41" totalsRowShown="0">
  <tableColumns count="2">
    <tableColumn id="1" name="ID" dataDxfId="18"/>
    <tableColumn id="2" name="Comedor Y Alojamiento Escolta" dataDxfId="17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AB3:AC42" totalsRowShown="0" headerRowDxfId="16" headerRowCellStyle="Buena">
  <tableColumns count="2">
    <tableColumn id="1" name="ID" dataDxfId="15"/>
    <tableColumn id="2" name="Comandancia" dataDxfId="14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Tabla9" displayName="Tabla9" ref="AE3:AF19" totalsRowShown="0" headerRowDxfId="13" headerRowCellStyle="Buena">
  <tableColumns count="2">
    <tableColumn id="1" name="ID" dataDxfId="12"/>
    <tableColumn id="2" name="Mantenimiento" dataDxfId="11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Tabla10" displayName="Tabla10" ref="AH3:AI16" totalsRowShown="0" headerRowDxfId="10" headerRowCellStyle="Buena">
  <tableColumns count="2">
    <tableColumn id="1" name="ID" dataDxfId="9"/>
    <tableColumn id="2" name="Servicios Estatales" dataDxfId="8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2" name="Tabla12" displayName="Tabla12" ref="G3:H13" totalsRowShown="0" headerRowDxfId="4" headerRowCellStyle="Neutral">
  <autoFilter ref="G3:H13"/>
  <tableColumns count="2">
    <tableColumn id="1" name="No.">
      <calculatedColumnFormula>ROW()-3</calculatedColumnFormula>
    </tableColumn>
    <tableColumn id="2" name="trabajo"/>
  </tableColumns>
  <tableStyleInfo name="TableStyleLight19" showFirstColumn="0" showLastColumn="0" showRowStripes="1" showColumnStripes="0"/>
</table>
</file>

<file path=xl/tables/table12.xml><?xml version="1.0" encoding="utf-8"?>
<table xmlns="http://schemas.openxmlformats.org/spreadsheetml/2006/main" id="13" name="Tabla13" displayName="Tabla13" ref="D3:E13" headerRowDxfId="0" headerRowCellStyle="Incorrecto">
  <autoFilter ref="D3:E13"/>
  <tableColumns count="2">
    <tableColumn id="1" name="No.">
      <calculatedColumnFormula>ROW()-3</calculatedColumnFormula>
    </tableColumn>
    <tableColumn id="2" name="Rangos"/>
  </tableColumns>
  <tableStyleInfo name="TableStyleLight17" showFirstColumn="0" showLastColumn="0" showRowStripes="1" showColumnStripes="0"/>
</table>
</file>

<file path=xl/tables/table13.xml><?xml version="1.0" encoding="utf-8"?>
<table xmlns="http://schemas.openxmlformats.org/spreadsheetml/2006/main" id="14" name="tabla14" displayName="tabla14" ref="A3:A18" totalsRowShown="0" headerRowDxfId="3" dataDxfId="2">
  <tableColumns count="1">
    <tableColumn id="1" name="# por concepto" dataDxfId="1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11" name="Tabla11" displayName="Tabla11" ref="AK3:AL7" totalsRowShown="0" headerRowDxfId="7" headerRowCellStyle="Buena">
  <tableColumns count="2">
    <tableColumn id="1" name="ID" dataDxfId="6"/>
    <tableColumn id="2" name="Sala De Conferencias" dataDxfId="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P46"/>
  <sheetViews>
    <sheetView showGridLines="0" workbookViewId="0">
      <selection activeCell="H5" sqref="H5"/>
    </sheetView>
  </sheetViews>
  <sheetFormatPr baseColWidth="10" defaultColWidth="0" defaultRowHeight="14.5" zeroHeight="1" x14ac:dyDescent="0.35"/>
  <cols>
    <col min="1" max="1" width="12.6328125" style="17" customWidth="1"/>
    <col min="2" max="2" width="12.36328125" style="17" customWidth="1"/>
    <col min="3" max="6" width="13.81640625" customWidth="1"/>
    <col min="7" max="7" width="17.81640625" customWidth="1"/>
    <col min="8" max="8" width="19.36328125" customWidth="1"/>
    <col min="9" max="9" width="21" customWidth="1"/>
    <col min="10" max="12" width="13.81640625" style="17" customWidth="1"/>
    <col min="13" max="16" width="13.81640625" hidden="1" customWidth="1"/>
    <col min="17" max="34" width="0" hidden="1" customWidth="1"/>
  </cols>
  <sheetData>
    <row r="1" spans="3:16" ht="14.5" customHeight="1" x14ac:dyDescent="0.35">
      <c r="C1" s="24" t="s">
        <v>1364</v>
      </c>
      <c r="D1" s="24"/>
      <c r="E1" s="24"/>
      <c r="F1" s="24"/>
      <c r="G1" s="24"/>
      <c r="H1" s="24"/>
      <c r="I1" s="24"/>
      <c r="J1" s="18"/>
      <c r="K1" s="19"/>
      <c r="L1" s="19"/>
      <c r="M1" s="19"/>
      <c r="N1" s="19"/>
      <c r="O1" s="19"/>
      <c r="P1" s="4"/>
    </row>
    <row r="2" spans="3:16" ht="14.5" customHeight="1" x14ac:dyDescent="0.35">
      <c r="C2" s="24"/>
      <c r="D2" s="24"/>
      <c r="E2" s="24"/>
      <c r="F2" s="24"/>
      <c r="G2" s="24"/>
      <c r="H2" s="24"/>
      <c r="I2" s="24"/>
      <c r="J2" s="18"/>
      <c r="K2" s="19"/>
      <c r="L2" s="19"/>
      <c r="M2" s="19"/>
      <c r="N2" s="19"/>
      <c r="O2" s="19"/>
      <c r="P2" s="4"/>
    </row>
    <row r="3" spans="3:16" ht="14.5" customHeight="1" x14ac:dyDescent="0.35">
      <c r="C3" s="24"/>
      <c r="D3" s="24"/>
      <c r="E3" s="24"/>
      <c r="F3" s="24"/>
      <c r="G3" s="24"/>
      <c r="H3" s="24"/>
      <c r="I3" s="24"/>
      <c r="J3" s="18"/>
      <c r="K3" s="19"/>
      <c r="L3" s="19"/>
      <c r="M3" s="19"/>
      <c r="N3" s="19"/>
      <c r="O3" s="19"/>
      <c r="P3" s="4"/>
    </row>
    <row r="4" spans="3:16" ht="14.5" customHeight="1" x14ac:dyDescent="0.35">
      <c r="C4" s="24"/>
      <c r="D4" s="24"/>
      <c r="E4" s="24"/>
      <c r="F4" s="24"/>
      <c r="G4" s="24"/>
      <c r="H4" s="24"/>
      <c r="I4" s="24"/>
      <c r="J4" s="18"/>
      <c r="K4" s="19"/>
      <c r="L4" s="19"/>
      <c r="M4" s="19"/>
      <c r="N4" s="19"/>
      <c r="O4" s="19"/>
      <c r="P4" s="4"/>
    </row>
    <row r="5" spans="3:16" x14ac:dyDescent="0.35">
      <c r="C5" s="14"/>
      <c r="D5" s="14"/>
      <c r="E5" s="14"/>
      <c r="F5" s="14"/>
      <c r="G5" s="14"/>
      <c r="H5" s="14"/>
      <c r="I5" s="14"/>
      <c r="M5" s="14"/>
      <c r="N5" s="14"/>
      <c r="O5" s="14"/>
      <c r="P5" s="14"/>
    </row>
    <row r="6" spans="3:16" x14ac:dyDescent="0.35">
      <c r="C6" s="14"/>
      <c r="D6" s="14"/>
      <c r="E6" s="14"/>
      <c r="F6" s="14"/>
      <c r="G6" s="14"/>
      <c r="H6" s="14"/>
      <c r="I6" s="14"/>
      <c r="M6" s="14"/>
      <c r="N6" s="14"/>
      <c r="O6" s="14"/>
      <c r="P6" s="14"/>
    </row>
    <row r="7" spans="3:16" x14ac:dyDescent="0.35">
      <c r="C7" s="14"/>
      <c r="D7" s="14"/>
      <c r="E7" s="14"/>
      <c r="F7" s="14"/>
      <c r="G7" s="14"/>
      <c r="H7" s="14"/>
      <c r="I7" s="14"/>
      <c r="M7" s="14"/>
      <c r="N7" s="14"/>
      <c r="O7" s="14"/>
      <c r="P7" s="14"/>
    </row>
    <row r="8" spans="3:16" x14ac:dyDescent="0.35">
      <c r="C8" s="14"/>
      <c r="D8" s="14"/>
      <c r="E8" s="14"/>
      <c r="F8" s="14"/>
      <c r="G8" s="14"/>
      <c r="H8" s="14"/>
      <c r="I8" s="14"/>
      <c r="M8" s="14"/>
      <c r="N8" s="14"/>
      <c r="O8" s="14"/>
      <c r="P8" s="14"/>
    </row>
    <row r="9" spans="3:16" x14ac:dyDescent="0.35">
      <c r="C9" s="14"/>
      <c r="D9" s="14"/>
      <c r="E9" s="14"/>
      <c r="F9" s="14"/>
      <c r="G9" s="14"/>
      <c r="H9" s="14"/>
      <c r="I9" s="14"/>
      <c r="M9" s="14"/>
      <c r="N9" s="14"/>
      <c r="O9" s="14"/>
      <c r="P9" s="14"/>
    </row>
    <row r="10" spans="3:16" x14ac:dyDescent="0.35">
      <c r="C10" s="14"/>
      <c r="D10" s="14"/>
      <c r="E10" s="14"/>
      <c r="F10" s="14"/>
      <c r="G10" s="14"/>
      <c r="H10" s="14"/>
      <c r="I10" s="14"/>
      <c r="M10" s="14"/>
      <c r="N10" s="14"/>
      <c r="O10" s="14"/>
      <c r="P10" s="14"/>
    </row>
    <row r="11" spans="3:16" x14ac:dyDescent="0.35">
      <c r="C11" s="14"/>
      <c r="D11" s="14"/>
      <c r="E11" s="14"/>
      <c r="F11" s="14"/>
      <c r="G11" s="14"/>
      <c r="H11" s="14"/>
      <c r="I11" s="14"/>
      <c r="M11" s="14"/>
      <c r="N11" s="14"/>
      <c r="O11" s="14"/>
      <c r="P11" s="14"/>
    </row>
    <row r="12" spans="3:16" x14ac:dyDescent="0.35">
      <c r="C12" s="14"/>
      <c r="D12" s="14"/>
      <c r="E12" s="14"/>
      <c r="F12" s="14"/>
      <c r="G12" s="14"/>
      <c r="H12" s="14"/>
      <c r="I12" s="14"/>
      <c r="M12" s="14"/>
      <c r="N12" s="14"/>
      <c r="O12" s="14"/>
      <c r="P12" s="14"/>
    </row>
    <row r="13" spans="3:16" x14ac:dyDescent="0.35">
      <c r="C13" s="14"/>
      <c r="D13" s="14"/>
      <c r="E13" s="14"/>
      <c r="F13" s="14"/>
      <c r="G13" s="14"/>
      <c r="H13" s="14"/>
      <c r="I13" s="14"/>
      <c r="M13" s="14"/>
      <c r="N13" s="14"/>
      <c r="O13" s="14"/>
      <c r="P13" s="14"/>
    </row>
    <row r="14" spans="3:16" x14ac:dyDescent="0.35">
      <c r="C14" s="14"/>
      <c r="D14" s="14"/>
      <c r="E14" s="14"/>
      <c r="F14" s="14"/>
      <c r="G14" s="14"/>
      <c r="H14" s="14"/>
      <c r="I14" s="14"/>
      <c r="M14" s="14"/>
      <c r="N14" s="14"/>
      <c r="O14" s="14"/>
      <c r="P14" s="14"/>
    </row>
    <row r="15" spans="3:16" x14ac:dyDescent="0.35">
      <c r="C15" s="14"/>
      <c r="D15" s="14"/>
      <c r="E15" s="14"/>
      <c r="F15" s="14"/>
      <c r="G15" s="14"/>
      <c r="H15" s="14"/>
      <c r="I15" s="14"/>
      <c r="M15" s="14"/>
      <c r="N15" s="14"/>
      <c r="O15" s="14"/>
      <c r="P15" s="14"/>
    </row>
    <row r="16" spans="3:16" x14ac:dyDescent="0.35">
      <c r="C16" s="14"/>
      <c r="D16" s="14"/>
      <c r="E16" s="14"/>
      <c r="F16" s="14"/>
      <c r="G16" s="14"/>
      <c r="H16" s="14"/>
      <c r="I16" s="14"/>
      <c r="M16" s="14"/>
      <c r="N16" s="14"/>
      <c r="O16" s="14"/>
      <c r="P16" s="14"/>
    </row>
    <row r="17" spans="3:16" x14ac:dyDescent="0.35">
      <c r="C17" s="14"/>
      <c r="D17" s="14"/>
      <c r="E17" s="14"/>
      <c r="F17" s="14"/>
      <c r="G17" s="14"/>
      <c r="H17" s="14"/>
      <c r="I17" s="14"/>
      <c r="M17" s="14"/>
      <c r="N17" s="14"/>
      <c r="O17" s="14"/>
      <c r="P17" s="14"/>
    </row>
    <row r="18" spans="3:16" x14ac:dyDescent="0.35">
      <c r="C18" s="14"/>
      <c r="D18" s="14"/>
      <c r="E18" s="14"/>
      <c r="F18" s="14"/>
      <c r="G18" s="14"/>
      <c r="H18" s="14"/>
      <c r="I18" s="14"/>
      <c r="M18" s="14"/>
      <c r="N18" s="14"/>
      <c r="O18" s="14"/>
      <c r="P18" s="14"/>
    </row>
    <row r="19" spans="3:16" x14ac:dyDescent="0.35">
      <c r="C19" s="14"/>
      <c r="D19" s="14"/>
      <c r="E19" s="14"/>
      <c r="F19" s="14"/>
      <c r="G19" s="14"/>
      <c r="H19" s="14"/>
      <c r="I19" s="14"/>
      <c r="M19" s="14"/>
      <c r="N19" s="14"/>
      <c r="O19" s="14"/>
      <c r="P19" s="14"/>
    </row>
    <row r="20" spans="3:16" x14ac:dyDescent="0.35">
      <c r="C20" s="14"/>
      <c r="D20" s="14"/>
      <c r="E20" s="14"/>
      <c r="F20" s="14"/>
      <c r="G20" s="14"/>
      <c r="H20" s="14"/>
      <c r="I20" s="14"/>
      <c r="M20" s="14"/>
      <c r="N20" s="14"/>
      <c r="O20" s="14"/>
      <c r="P20" s="14"/>
    </row>
    <row r="21" spans="3:16" x14ac:dyDescent="0.35">
      <c r="C21" s="14"/>
      <c r="D21" s="14"/>
      <c r="E21" s="14"/>
      <c r="F21" s="14"/>
      <c r="G21" s="14"/>
      <c r="H21" s="14"/>
      <c r="I21" s="14"/>
      <c r="M21" s="14"/>
      <c r="N21" s="14"/>
      <c r="O21" s="14"/>
      <c r="P21" s="14"/>
    </row>
    <row r="22" spans="3:16" x14ac:dyDescent="0.35">
      <c r="C22" s="14"/>
      <c r="D22" s="14"/>
      <c r="E22" s="14"/>
      <c r="F22" s="14"/>
      <c r="G22" s="14"/>
      <c r="H22" s="14"/>
      <c r="I22" s="14"/>
      <c r="M22" s="14"/>
      <c r="N22" s="14"/>
      <c r="O22" s="14"/>
      <c r="P22" s="14"/>
    </row>
    <row r="23" spans="3:16" s="17" customFormat="1" x14ac:dyDescent="0.35"/>
    <row r="24" spans="3:16" s="17" customFormat="1" x14ac:dyDescent="0.35"/>
    <row r="25" spans="3:16" s="17" customFormat="1" x14ac:dyDescent="0.35"/>
    <row r="26" spans="3:16" s="17" customFormat="1" x14ac:dyDescent="0.35"/>
    <row r="27" spans="3:16" s="17" customFormat="1" hidden="1" x14ac:dyDescent="0.35"/>
    <row r="28" spans="3:16" s="17" customFormat="1" hidden="1" x14ac:dyDescent="0.35"/>
    <row r="29" spans="3:16" s="17" customFormat="1" hidden="1" x14ac:dyDescent="0.35"/>
    <row r="30" spans="3:16" s="17" customFormat="1" hidden="1" x14ac:dyDescent="0.35"/>
    <row r="31" spans="3:16" s="17" customFormat="1" hidden="1" x14ac:dyDescent="0.35"/>
    <row r="32" spans="3:16" s="17" customFormat="1" hidden="1" x14ac:dyDescent="0.35"/>
    <row r="33" s="17" customFormat="1" hidden="1" x14ac:dyDescent="0.35"/>
    <row r="34" s="17" customFormat="1" hidden="1" x14ac:dyDescent="0.35"/>
    <row r="35" s="17" customFormat="1" hidden="1" x14ac:dyDescent="0.35"/>
    <row r="36" s="17" customFormat="1" hidden="1" x14ac:dyDescent="0.35"/>
    <row r="37" s="17" customFormat="1" hidden="1" x14ac:dyDescent="0.35"/>
    <row r="38" s="17" customFormat="1" hidden="1" x14ac:dyDescent="0.35"/>
    <row r="39" s="17" customFormat="1" hidden="1" x14ac:dyDescent="0.35"/>
    <row r="40" s="17" customFormat="1" hidden="1" x14ac:dyDescent="0.35"/>
    <row r="41" s="17" customFormat="1" hidden="1" x14ac:dyDescent="0.35"/>
    <row r="42" s="17" customFormat="1" hidden="1" x14ac:dyDescent="0.35"/>
    <row r="43" s="17" customFormat="1" hidden="1" x14ac:dyDescent="0.35"/>
    <row r="44" s="17" customFormat="1" hidden="1" x14ac:dyDescent="0.35"/>
    <row r="45" s="17" customFormat="1" hidden="1" x14ac:dyDescent="0.35"/>
    <row r="46" s="17" customFormat="1" hidden="1" x14ac:dyDescent="0.35"/>
  </sheetData>
  <mergeCells count="1">
    <mergeCell ref="C1:I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O638"/>
  <sheetViews>
    <sheetView topLeftCell="E1" zoomScale="90" zoomScaleNormal="90" zoomScaleSheetLayoutView="80" workbookViewId="0">
      <selection activeCell="K6" sqref="K6"/>
    </sheetView>
  </sheetViews>
  <sheetFormatPr baseColWidth="10" defaultRowHeight="14.5" x14ac:dyDescent="0.35"/>
  <cols>
    <col min="1" max="1" width="14" customWidth="1"/>
    <col min="2" max="2" width="8" customWidth="1"/>
    <col min="3" max="4" width="12.453125" customWidth="1"/>
    <col min="5" max="5" width="21.26953125" customWidth="1"/>
    <col min="6" max="7" width="14.453125" customWidth="1"/>
    <col min="8" max="8" width="7.7265625" customWidth="1"/>
    <col min="9" max="9" width="6.1796875" customWidth="1"/>
    <col min="10" max="10" width="8.26953125" customWidth="1"/>
    <col min="11" max="13" width="22" customWidth="1"/>
    <col min="14" max="14" width="1.6328125" customWidth="1"/>
  </cols>
  <sheetData>
    <row r="1" spans="1:15" s="2" customFormat="1" ht="26.5" customHeight="1" x14ac:dyDescent="0.35">
      <c r="A1" s="13" t="s">
        <v>1356</v>
      </c>
      <c r="B1" s="25" t="s">
        <v>1385</v>
      </c>
      <c r="C1" s="25"/>
      <c r="D1" s="25"/>
      <c r="E1" s="25"/>
    </row>
    <row r="2" spans="1:15" ht="26.5" customHeight="1" x14ac:dyDescent="0.35">
      <c r="K2" s="20"/>
      <c r="L2" s="20"/>
      <c r="M2" s="20"/>
      <c r="N2" s="20"/>
      <c r="O2" s="20"/>
    </row>
    <row r="3" spans="1:15" ht="19" customHeight="1" x14ac:dyDescent="0.35">
      <c r="G3" s="26" t="s">
        <v>1335</v>
      </c>
      <c r="H3" s="26"/>
      <c r="I3" s="26"/>
      <c r="J3" s="26"/>
      <c r="K3" s="16">
        <v>2</v>
      </c>
      <c r="L3" s="16">
        <v>1</v>
      </c>
      <c r="M3" s="16">
        <v>4</v>
      </c>
      <c r="N3" s="21"/>
      <c r="O3" s="21"/>
    </row>
    <row r="4" spans="1:15" ht="12.5" customHeight="1" x14ac:dyDescent="0.35"/>
    <row r="5" spans="1:15" ht="15.5" x14ac:dyDescent="0.35">
      <c r="A5" s="3" t="s">
        <v>1295</v>
      </c>
      <c r="B5" s="3" t="s">
        <v>1286</v>
      </c>
      <c r="C5" s="3" t="s">
        <v>1287</v>
      </c>
      <c r="D5" s="3" t="s">
        <v>1288</v>
      </c>
      <c r="E5" s="3" t="s">
        <v>1291</v>
      </c>
      <c r="F5" s="3" t="s">
        <v>1289</v>
      </c>
      <c r="G5" s="3" t="s">
        <v>1290</v>
      </c>
      <c r="H5" s="3" t="s">
        <v>1292</v>
      </c>
      <c r="I5" s="3" t="s">
        <v>1293</v>
      </c>
      <c r="J5" s="3" t="s">
        <v>1294</v>
      </c>
      <c r="K5" s="23" t="s">
        <v>1315</v>
      </c>
      <c r="L5" s="23" t="s">
        <v>1298</v>
      </c>
      <c r="M5" s="23" t="s">
        <v>1297</v>
      </c>
      <c r="N5" s="22"/>
      <c r="O5" s="21" t="s">
        <v>1380</v>
      </c>
    </row>
    <row r="6" spans="1:15" x14ac:dyDescent="0.35">
      <c r="A6">
        <v>1</v>
      </c>
      <c r="B6" t="s">
        <v>10</v>
      </c>
      <c r="C6" t="s">
        <v>60</v>
      </c>
      <c r="D6" t="s">
        <v>214</v>
      </c>
      <c r="E6" t="s">
        <v>1</v>
      </c>
      <c r="F6" t="s">
        <v>883</v>
      </c>
      <c r="G6" t="s">
        <v>9</v>
      </c>
      <c r="H6">
        <v>1.9750000000000001</v>
      </c>
      <c r="I6">
        <v>2.7149999999999999</v>
      </c>
      <c r="J6" t="s">
        <v>6</v>
      </c>
      <c r="K6" t="str">
        <f>IFERROR(IFERROR(IF(K$5='Conceptos Desglosados'!$H$4,VLOOKUP($A6,dormitorios,2,0),IF(K$5='Conceptos Desglosados'!$H$5,VLOOKUP($A6,comedor,2,0),IF(K$5='Conceptos Desglosados'!$H$6,VLOOKUP($A6,alojamiento,2,0),IF(K$5='Conceptos Desglosados'!$H$7,VLOOKUP($A6,sanidad,2,0),IF(K$5='Conceptos Desglosados'!$H$8,VLOOKUP($A6,servicios,2,0),IF(K$5='Conceptos Desglosados'!$H$9,VLOOKUP($A6,comyaloj,2,0),IF(K$5='Conceptos Desglosados'!$H$10,VLOOKUP($A6,comandancia,2,0),IF(K$5='Conceptos Desglosados'!$H$11,VLOOKUP($A6,mantenimiento,2,0),IF(K$5='Conceptos Desglosados'!$H$12,VLOOKUP($A6,serestatal,2,0),IF(K$5='Conceptos Desglosados'!$H$13,VLOOKUP($A6,conferencias,2,0),"")))))))))),"")*K$3,"")</f>
        <v/>
      </c>
      <c r="L6" t="str">
        <f>IFERROR(IFERROR(IF(L$5='Conceptos Desglosados'!$H$4,VLOOKUP($A6,dormitorios,2,0),IF(L$5='Conceptos Desglosados'!$H$5,VLOOKUP($A6,comedor,2,0),IF(L$5='Conceptos Desglosados'!$H$6,VLOOKUP($A6,alojamiento,2,0),IF(L$5='Conceptos Desglosados'!$H$7,VLOOKUP($A6,sanidad,2,0),IF(L$5='Conceptos Desglosados'!$H$8,VLOOKUP($A6,servicios,2,0),IF(L$5='Conceptos Desglosados'!$H$9,VLOOKUP($A6,comyaloj,2,0),IF(L$5='Conceptos Desglosados'!$H$10,VLOOKUP($A6,comandancia,2,0),IF(L$5='Conceptos Desglosados'!$H$11,VLOOKUP($A6,mantenimiento,2,0),IF(L$5='Conceptos Desglosados'!$H$12,VLOOKUP($A6,serestatal,2,0),IF(L$5='Conceptos Desglosados'!$H$13,VLOOKUP($A6,conferencias,2,0),"")))))))))),"")*L$3,"")</f>
        <v/>
      </c>
      <c r="M6" t="str">
        <f>IFERROR(IFERROR(IF(M$5='Conceptos Desglosados'!$H$4,VLOOKUP($A6,dormitorios,2,0),IF(M$5='Conceptos Desglosados'!$H$5,VLOOKUP($A6,comedor,2,0),IF(M$5='Conceptos Desglosados'!$H$6,VLOOKUP($A6,alojamiento,2,0),IF(M$5='Conceptos Desglosados'!$H$7,VLOOKUP($A6,sanidad,2,0),IF(M$5='Conceptos Desglosados'!$H$8,VLOOKUP($A6,servicios,2,0),IF(M$5='Conceptos Desglosados'!$H$9,VLOOKUP($A6,comyaloj,2,0),IF(M$5='Conceptos Desglosados'!$H$10,VLOOKUP($A6,comandancia,2,0),IF(M$5='Conceptos Desglosados'!$H$11,VLOOKUP($A6,mantenimiento,2,0),IF(M$5='Conceptos Desglosados'!$H$12,VLOOKUP($A6,serestatal,2,0),IF(M$5='Conceptos Desglosados'!$H$13,VLOOKUP($A6,conferencias,2,0),"")))))))))),"")*M$3,"")</f>
        <v/>
      </c>
      <c r="O6">
        <f>SUM(K6:M6)</f>
        <v>0</v>
      </c>
    </row>
    <row r="7" spans="1:15" x14ac:dyDescent="0.35">
      <c r="A7">
        <v>2</v>
      </c>
      <c r="B7" t="s">
        <v>10</v>
      </c>
      <c r="C7" t="s">
        <v>61</v>
      </c>
      <c r="D7" t="s">
        <v>215</v>
      </c>
      <c r="E7" t="s">
        <v>1</v>
      </c>
      <c r="F7" t="s">
        <v>883</v>
      </c>
      <c r="G7" t="s">
        <v>0</v>
      </c>
      <c r="H7">
        <v>1.9750000000000001</v>
      </c>
      <c r="I7">
        <v>2.7149999999999999</v>
      </c>
      <c r="J7" t="s">
        <v>6</v>
      </c>
      <c r="K7" t="str">
        <f>IFERROR(IFERROR(IF(K$5='Conceptos Desglosados'!$H$4,VLOOKUP($A7,dormitorios,2,0),IF(K$5='Conceptos Desglosados'!$H$5,VLOOKUP($A7,comedor,2,0),IF(K$5='Conceptos Desglosados'!$H$6,VLOOKUP($A7,alojamiento,2,0),IF(K$5='Conceptos Desglosados'!$H$7,VLOOKUP($A7,sanidad,2,0),IF(K$5='Conceptos Desglosados'!$H$8,VLOOKUP($A7,servicios,2,0),IF(K$5='Conceptos Desglosados'!$H$9,VLOOKUP($A7,comyaloj,2,0),IF(K$5='Conceptos Desglosados'!$H$10,VLOOKUP($A7,comandancia,2,0),IF(K$5='Conceptos Desglosados'!$H$11,VLOOKUP($A7,mantenimiento,2,0),IF(K$5='Conceptos Desglosados'!$H$12,VLOOKUP($A7,serestatal,2,0),IF(K$5='Conceptos Desglosados'!$H$13,VLOOKUP($A7,conferencias,2,0),"")))))))))),"")*K$3,"")</f>
        <v/>
      </c>
      <c r="L7" t="str">
        <f>IFERROR(IFERROR(IF(L$5='Conceptos Desglosados'!$H$4,VLOOKUP($A7,dormitorios,2,0),IF(L$5='Conceptos Desglosados'!$H$5,VLOOKUP($A7,comedor,2,0),IF(L$5='Conceptos Desglosados'!$H$6,VLOOKUP($A7,alojamiento,2,0),IF(L$5='Conceptos Desglosados'!$H$7,VLOOKUP($A7,sanidad,2,0),IF(L$5='Conceptos Desglosados'!$H$8,VLOOKUP($A7,servicios,2,0),IF(L$5='Conceptos Desglosados'!$H$9,VLOOKUP($A7,comyaloj,2,0),IF(L$5='Conceptos Desglosados'!$H$10,VLOOKUP($A7,comandancia,2,0),IF(L$5='Conceptos Desglosados'!$H$11,VLOOKUP($A7,mantenimiento,2,0),IF(L$5='Conceptos Desglosados'!$H$12,VLOOKUP($A7,serestatal,2,0),IF(L$5='Conceptos Desglosados'!$H$13,VLOOKUP($A7,conferencias,2,0),"")))))))))),"")*L$3,"")</f>
        <v/>
      </c>
      <c r="M7">
        <f>IFERROR(IFERROR(IF(M$5='Conceptos Desglosados'!$H$4,VLOOKUP($A7,dormitorios,2,0),IF(M$5='Conceptos Desglosados'!$H$5,VLOOKUP($A7,comedor,2,0),IF(M$5='Conceptos Desglosados'!$H$6,VLOOKUP($A7,alojamiento,2,0),IF(M$5='Conceptos Desglosados'!$H$7,VLOOKUP($A7,sanidad,2,0),IF(M$5='Conceptos Desglosados'!$H$8,VLOOKUP($A7,servicios,2,0),IF(M$5='Conceptos Desglosados'!$H$9,VLOOKUP($A7,comyaloj,2,0),IF(M$5='Conceptos Desglosados'!$H$10,VLOOKUP($A7,comandancia,2,0),IF(M$5='Conceptos Desglosados'!$H$11,VLOOKUP($A7,mantenimiento,2,0),IF(M$5='Conceptos Desglosados'!$H$12,VLOOKUP($A7,serestatal,2,0),IF(M$5='Conceptos Desglosados'!$H$13,VLOOKUP($A7,conferencias,2,0),"")))))))))),"")*M$3,"")</f>
        <v>4</v>
      </c>
      <c r="O7">
        <f>SUM(K7:M7)</f>
        <v>4</v>
      </c>
    </row>
    <row r="8" spans="1:15" x14ac:dyDescent="0.35">
      <c r="A8">
        <v>3</v>
      </c>
      <c r="B8" t="s">
        <v>10</v>
      </c>
      <c r="C8" t="s">
        <v>62</v>
      </c>
      <c r="D8" t="s">
        <v>184</v>
      </c>
      <c r="E8" t="s">
        <v>1</v>
      </c>
      <c r="F8" t="s">
        <v>883</v>
      </c>
      <c r="G8" t="s">
        <v>0</v>
      </c>
      <c r="H8">
        <v>2.02</v>
      </c>
      <c r="I8">
        <v>2.7149999999999999</v>
      </c>
      <c r="J8" t="s">
        <v>6</v>
      </c>
      <c r="K8">
        <f>IFERROR(IFERROR(IF(K$5='Conceptos Desglosados'!$H$4,VLOOKUP($A8,dormitorios,2,0),IF(K$5='Conceptos Desglosados'!$H$5,VLOOKUP($A8,comedor,2,0),IF(K$5='Conceptos Desglosados'!$H$6,VLOOKUP($A8,alojamiento,2,0),IF(K$5='Conceptos Desglosados'!$H$7,VLOOKUP($A8,sanidad,2,0),IF(K$5='Conceptos Desglosados'!$H$8,VLOOKUP($A8,servicios,2,0),IF(K$5='Conceptos Desglosados'!$H$9,VLOOKUP($A8,comyaloj,2,0),IF(K$5='Conceptos Desglosados'!$H$10,VLOOKUP($A8,comandancia,2,0),IF(K$5='Conceptos Desglosados'!$H$11,VLOOKUP($A8,mantenimiento,2,0),IF(K$5='Conceptos Desglosados'!$H$12,VLOOKUP($A8,serestatal,2,0),IF(K$5='Conceptos Desglosados'!$H$13,VLOOKUP($A8,conferencias,2,0),"")))))))))),"")*K$3,"")</f>
        <v>14</v>
      </c>
      <c r="L8" t="str">
        <f>IFERROR(IFERROR(IF(L$5='Conceptos Desglosados'!$H$4,VLOOKUP($A8,dormitorios,2,0),IF(L$5='Conceptos Desglosados'!$H$5,VLOOKUP($A8,comedor,2,0),IF(L$5='Conceptos Desglosados'!$H$6,VLOOKUP($A8,alojamiento,2,0),IF(L$5='Conceptos Desglosados'!$H$7,VLOOKUP($A8,sanidad,2,0),IF(L$5='Conceptos Desglosados'!$H$8,VLOOKUP($A8,servicios,2,0),IF(L$5='Conceptos Desglosados'!$H$9,VLOOKUP($A8,comyaloj,2,0),IF(L$5='Conceptos Desglosados'!$H$10,VLOOKUP($A8,comandancia,2,0),IF(L$5='Conceptos Desglosados'!$H$11,VLOOKUP($A8,mantenimiento,2,0),IF(L$5='Conceptos Desglosados'!$H$12,VLOOKUP($A8,serestatal,2,0),IF(L$5='Conceptos Desglosados'!$H$13,VLOOKUP($A8,conferencias,2,0),"")))))))))),"")*L$3,"")</f>
        <v/>
      </c>
      <c r="M8">
        <f>IFERROR(IFERROR(IF(M$5='Conceptos Desglosados'!$H$4,VLOOKUP($A8,dormitorios,2,0),IF(M$5='Conceptos Desglosados'!$H$5,VLOOKUP($A8,comedor,2,0),IF(M$5='Conceptos Desglosados'!$H$6,VLOOKUP($A8,alojamiento,2,0),IF(M$5='Conceptos Desglosados'!$H$7,VLOOKUP($A8,sanidad,2,0),IF(M$5='Conceptos Desglosados'!$H$8,VLOOKUP($A8,servicios,2,0),IF(M$5='Conceptos Desglosados'!$H$9,VLOOKUP($A8,comyaloj,2,0),IF(M$5='Conceptos Desglosados'!$H$10,VLOOKUP($A8,comandancia,2,0),IF(M$5='Conceptos Desglosados'!$H$11,VLOOKUP($A8,mantenimiento,2,0),IF(M$5='Conceptos Desglosados'!$H$12,VLOOKUP($A8,serestatal,2,0),IF(M$5='Conceptos Desglosados'!$H$13,VLOOKUP($A8,conferencias,2,0),"")))))))))),"")*M$3,"")</f>
        <v>4</v>
      </c>
      <c r="O8">
        <f>SUM(K8:M8)</f>
        <v>18</v>
      </c>
    </row>
    <row r="9" spans="1:15" x14ac:dyDescent="0.35">
      <c r="A9">
        <v>4</v>
      </c>
      <c r="B9" t="s">
        <v>10</v>
      </c>
      <c r="C9" t="s">
        <v>63</v>
      </c>
      <c r="D9" t="s">
        <v>185</v>
      </c>
      <c r="E9" t="s">
        <v>1</v>
      </c>
      <c r="F9" t="s">
        <v>883</v>
      </c>
      <c r="G9" t="s">
        <v>2</v>
      </c>
      <c r="H9">
        <v>1.99</v>
      </c>
      <c r="I9">
        <v>2.7149999999999999</v>
      </c>
      <c r="J9" t="s">
        <v>6</v>
      </c>
      <c r="K9" t="str">
        <f>IFERROR(IFERROR(IF(K$5='Conceptos Desglosados'!$H$4,VLOOKUP($A9,dormitorios,2,0),IF(K$5='Conceptos Desglosados'!$H$5,VLOOKUP($A9,comedor,2,0),IF(K$5='Conceptos Desglosados'!$H$6,VLOOKUP($A9,alojamiento,2,0),IF(K$5='Conceptos Desglosados'!$H$7,VLOOKUP($A9,sanidad,2,0),IF(K$5='Conceptos Desglosados'!$H$8,VLOOKUP($A9,servicios,2,0),IF(K$5='Conceptos Desglosados'!$H$9,VLOOKUP($A9,comyaloj,2,0),IF(K$5='Conceptos Desglosados'!$H$10,VLOOKUP($A9,comandancia,2,0),IF(K$5='Conceptos Desglosados'!$H$11,VLOOKUP($A9,mantenimiento,2,0),IF(K$5='Conceptos Desglosados'!$H$12,VLOOKUP($A9,serestatal,2,0),IF(K$5='Conceptos Desglosados'!$H$13,VLOOKUP($A9,conferencias,2,0),"")))))))))),"")*K$3,"")</f>
        <v/>
      </c>
      <c r="L9" t="str">
        <f>IFERROR(IFERROR(IF(L$5='Conceptos Desglosados'!$H$4,VLOOKUP($A9,dormitorios,2,0),IF(L$5='Conceptos Desglosados'!$H$5,VLOOKUP($A9,comedor,2,0),IF(L$5='Conceptos Desglosados'!$H$6,VLOOKUP($A9,alojamiento,2,0),IF(L$5='Conceptos Desglosados'!$H$7,VLOOKUP($A9,sanidad,2,0),IF(L$5='Conceptos Desglosados'!$H$8,VLOOKUP($A9,servicios,2,0),IF(L$5='Conceptos Desglosados'!$H$9,VLOOKUP($A9,comyaloj,2,0),IF(L$5='Conceptos Desglosados'!$H$10,VLOOKUP($A9,comandancia,2,0),IF(L$5='Conceptos Desglosados'!$H$11,VLOOKUP($A9,mantenimiento,2,0),IF(L$5='Conceptos Desglosados'!$H$12,VLOOKUP($A9,serestatal,2,0),IF(L$5='Conceptos Desglosados'!$H$13,VLOOKUP($A9,conferencias,2,0),"")))))))))),"")*L$3,"")</f>
        <v/>
      </c>
      <c r="M9" t="str">
        <f>IFERROR(IFERROR(IF(M$5='Conceptos Desglosados'!$H$4,VLOOKUP($A9,dormitorios,2,0),IF(M$5='Conceptos Desglosados'!$H$5,VLOOKUP($A9,comedor,2,0),IF(M$5='Conceptos Desglosados'!$H$6,VLOOKUP($A9,alojamiento,2,0),IF(M$5='Conceptos Desglosados'!$H$7,VLOOKUP($A9,sanidad,2,0),IF(M$5='Conceptos Desglosados'!$H$8,VLOOKUP($A9,servicios,2,0),IF(M$5='Conceptos Desglosados'!$H$9,VLOOKUP($A9,comyaloj,2,0),IF(M$5='Conceptos Desglosados'!$H$10,VLOOKUP($A9,comandancia,2,0),IF(M$5='Conceptos Desglosados'!$H$11,VLOOKUP($A9,mantenimiento,2,0),IF(M$5='Conceptos Desglosados'!$H$12,VLOOKUP($A9,serestatal,2,0),IF(M$5='Conceptos Desglosados'!$H$13,VLOOKUP($A9,conferencias,2,0),"")))))))))),"")*M$3,"")</f>
        <v/>
      </c>
      <c r="O9">
        <f>SUM(K9:M9)</f>
        <v>0</v>
      </c>
    </row>
    <row r="10" spans="1:15" x14ac:dyDescent="0.35">
      <c r="A10">
        <v>5</v>
      </c>
      <c r="B10" t="s">
        <v>10</v>
      </c>
      <c r="C10" t="s">
        <v>64</v>
      </c>
      <c r="D10" t="s">
        <v>186</v>
      </c>
      <c r="E10" t="s">
        <v>1</v>
      </c>
      <c r="F10" t="s">
        <v>883</v>
      </c>
      <c r="G10" t="s">
        <v>2</v>
      </c>
      <c r="H10">
        <v>1.93</v>
      </c>
      <c r="I10">
        <v>2.7149999999999999</v>
      </c>
      <c r="J10" t="s">
        <v>6</v>
      </c>
      <c r="K10" t="str">
        <f>IFERROR(IFERROR(IF(K$5='Conceptos Desglosados'!$H$4,VLOOKUP($A10,dormitorios,2,0),IF(K$5='Conceptos Desglosados'!$H$5,VLOOKUP($A10,comedor,2,0),IF(K$5='Conceptos Desglosados'!$H$6,VLOOKUP($A10,alojamiento,2,0),IF(K$5='Conceptos Desglosados'!$H$7,VLOOKUP($A10,sanidad,2,0),IF(K$5='Conceptos Desglosados'!$H$8,VLOOKUP($A10,servicios,2,0),IF(K$5='Conceptos Desglosados'!$H$9,VLOOKUP($A10,comyaloj,2,0),IF(K$5='Conceptos Desglosados'!$H$10,VLOOKUP($A10,comandancia,2,0),IF(K$5='Conceptos Desglosados'!$H$11,VLOOKUP($A10,mantenimiento,2,0),IF(K$5='Conceptos Desglosados'!$H$12,VLOOKUP($A10,serestatal,2,0),IF(K$5='Conceptos Desglosados'!$H$13,VLOOKUP($A10,conferencias,2,0),"")))))))))),"")*K$3,"")</f>
        <v/>
      </c>
      <c r="L10">
        <f>IFERROR(IFERROR(IF(L$5='Conceptos Desglosados'!$H$4,VLOOKUP($A10,dormitorios,2,0),IF(L$5='Conceptos Desglosados'!$H$5,VLOOKUP($A10,comedor,2,0),IF(L$5='Conceptos Desglosados'!$H$6,VLOOKUP($A10,alojamiento,2,0),IF(L$5='Conceptos Desglosados'!$H$7,VLOOKUP($A10,sanidad,2,0),IF(L$5='Conceptos Desglosados'!$H$8,VLOOKUP($A10,servicios,2,0),IF(L$5='Conceptos Desglosados'!$H$9,VLOOKUP($A10,comyaloj,2,0),IF(L$5='Conceptos Desglosados'!$H$10,VLOOKUP($A10,comandancia,2,0),IF(L$5='Conceptos Desglosados'!$H$11,VLOOKUP($A10,mantenimiento,2,0),IF(L$5='Conceptos Desglosados'!$H$12,VLOOKUP($A10,serestatal,2,0),IF(L$5='Conceptos Desglosados'!$H$13,VLOOKUP($A10,conferencias,2,0),"")))))))))),"")*L$3,"")</f>
        <v>2</v>
      </c>
      <c r="M10" t="str">
        <f>IFERROR(IFERROR(IF(M$5='Conceptos Desglosados'!$H$4,VLOOKUP($A10,dormitorios,2,0),IF(M$5='Conceptos Desglosados'!$H$5,VLOOKUP($A10,comedor,2,0),IF(M$5='Conceptos Desglosados'!$H$6,VLOOKUP($A10,alojamiento,2,0),IF(M$5='Conceptos Desglosados'!$H$7,VLOOKUP($A10,sanidad,2,0),IF(M$5='Conceptos Desglosados'!$H$8,VLOOKUP($A10,servicios,2,0),IF(M$5='Conceptos Desglosados'!$H$9,VLOOKUP($A10,comyaloj,2,0),IF(M$5='Conceptos Desglosados'!$H$10,VLOOKUP($A10,comandancia,2,0),IF(M$5='Conceptos Desglosados'!$H$11,VLOOKUP($A10,mantenimiento,2,0),IF(M$5='Conceptos Desglosados'!$H$12,VLOOKUP($A10,serestatal,2,0),IF(M$5='Conceptos Desglosados'!$H$13,VLOOKUP($A10,conferencias,2,0),"")))))))))),"")*M$3,"")</f>
        <v/>
      </c>
      <c r="O10">
        <f>SUM(K10:M10)</f>
        <v>2</v>
      </c>
    </row>
    <row r="11" spans="1:15" x14ac:dyDescent="0.35">
      <c r="A11">
        <v>6</v>
      </c>
      <c r="B11" t="s">
        <v>10</v>
      </c>
      <c r="C11" t="s">
        <v>65</v>
      </c>
      <c r="D11" t="s">
        <v>187</v>
      </c>
      <c r="E11" t="s">
        <v>1</v>
      </c>
      <c r="F11" t="s">
        <v>883</v>
      </c>
      <c r="G11" t="s">
        <v>2</v>
      </c>
      <c r="H11">
        <v>1.95</v>
      </c>
      <c r="I11">
        <v>2.7149999999999999</v>
      </c>
      <c r="J11" t="s">
        <v>6</v>
      </c>
      <c r="K11" t="str">
        <f>IFERROR(IFERROR(IF(K$5='Conceptos Desglosados'!$H$4,VLOOKUP($A11,dormitorios,2,0),IF(K$5='Conceptos Desglosados'!$H$5,VLOOKUP($A11,comedor,2,0),IF(K$5='Conceptos Desglosados'!$H$6,VLOOKUP($A11,alojamiento,2,0),IF(K$5='Conceptos Desglosados'!$H$7,VLOOKUP($A11,sanidad,2,0),IF(K$5='Conceptos Desglosados'!$H$8,VLOOKUP($A11,servicios,2,0),IF(K$5='Conceptos Desglosados'!$H$9,VLOOKUP($A11,comyaloj,2,0),IF(K$5='Conceptos Desglosados'!$H$10,VLOOKUP($A11,comandancia,2,0),IF(K$5='Conceptos Desglosados'!$H$11,VLOOKUP($A11,mantenimiento,2,0),IF(K$5='Conceptos Desglosados'!$H$12,VLOOKUP($A11,serestatal,2,0),IF(K$5='Conceptos Desglosados'!$H$13,VLOOKUP($A11,conferencias,2,0),"")))))))))),"")*K$3,"")</f>
        <v/>
      </c>
      <c r="L11" t="str">
        <f>IFERROR(IFERROR(IF(L$5='Conceptos Desglosados'!$H$4,VLOOKUP($A11,dormitorios,2,0),IF(L$5='Conceptos Desglosados'!$H$5,VLOOKUP($A11,comedor,2,0),IF(L$5='Conceptos Desglosados'!$H$6,VLOOKUP($A11,alojamiento,2,0),IF(L$5='Conceptos Desglosados'!$H$7,VLOOKUP($A11,sanidad,2,0),IF(L$5='Conceptos Desglosados'!$H$8,VLOOKUP($A11,servicios,2,0),IF(L$5='Conceptos Desglosados'!$H$9,VLOOKUP($A11,comyaloj,2,0),IF(L$5='Conceptos Desglosados'!$H$10,VLOOKUP($A11,comandancia,2,0),IF(L$5='Conceptos Desglosados'!$H$11,VLOOKUP($A11,mantenimiento,2,0),IF(L$5='Conceptos Desglosados'!$H$12,VLOOKUP($A11,serestatal,2,0),IF(L$5='Conceptos Desglosados'!$H$13,VLOOKUP($A11,conferencias,2,0),"")))))))))),"")*L$3,"")</f>
        <v/>
      </c>
      <c r="M11" t="str">
        <f>IFERROR(IFERROR(IF(M$5='Conceptos Desglosados'!$H$4,VLOOKUP($A11,dormitorios,2,0),IF(M$5='Conceptos Desglosados'!$H$5,VLOOKUP($A11,comedor,2,0),IF(M$5='Conceptos Desglosados'!$H$6,VLOOKUP($A11,alojamiento,2,0),IF(M$5='Conceptos Desglosados'!$H$7,VLOOKUP($A11,sanidad,2,0),IF(M$5='Conceptos Desglosados'!$H$8,VLOOKUP($A11,servicios,2,0),IF(M$5='Conceptos Desglosados'!$H$9,VLOOKUP($A11,comyaloj,2,0),IF(M$5='Conceptos Desglosados'!$H$10,VLOOKUP($A11,comandancia,2,0),IF(M$5='Conceptos Desglosados'!$H$11,VLOOKUP($A11,mantenimiento,2,0),IF(M$5='Conceptos Desglosados'!$H$12,VLOOKUP($A11,serestatal,2,0),IF(M$5='Conceptos Desglosados'!$H$13,VLOOKUP($A11,conferencias,2,0),"")))))))))),"")*M$3,"")</f>
        <v/>
      </c>
      <c r="O11">
        <f>SUM(K11:M11)</f>
        <v>0</v>
      </c>
    </row>
    <row r="12" spans="1:15" x14ac:dyDescent="0.35">
      <c r="A12">
        <v>7</v>
      </c>
      <c r="B12" t="s">
        <v>10</v>
      </c>
      <c r="C12" t="s">
        <v>66</v>
      </c>
      <c r="D12" t="s">
        <v>188</v>
      </c>
      <c r="E12" t="s">
        <v>1</v>
      </c>
      <c r="F12" t="s">
        <v>883</v>
      </c>
      <c r="G12" t="s">
        <v>0</v>
      </c>
      <c r="H12">
        <v>1.95</v>
      </c>
      <c r="I12">
        <v>2.7149999999999999</v>
      </c>
      <c r="J12" t="s">
        <v>6</v>
      </c>
      <c r="K12" t="str">
        <f>IFERROR(IFERROR(IF(K$5='Conceptos Desglosados'!$H$4,VLOOKUP($A12,dormitorios,2,0),IF(K$5='Conceptos Desglosados'!$H$5,VLOOKUP($A12,comedor,2,0),IF(K$5='Conceptos Desglosados'!$H$6,VLOOKUP($A12,alojamiento,2,0),IF(K$5='Conceptos Desglosados'!$H$7,VLOOKUP($A12,sanidad,2,0),IF(K$5='Conceptos Desglosados'!$H$8,VLOOKUP($A12,servicios,2,0),IF(K$5='Conceptos Desglosados'!$H$9,VLOOKUP($A12,comyaloj,2,0),IF(K$5='Conceptos Desglosados'!$H$10,VLOOKUP($A12,comandancia,2,0),IF(K$5='Conceptos Desglosados'!$H$11,VLOOKUP($A12,mantenimiento,2,0),IF(K$5='Conceptos Desglosados'!$H$12,VLOOKUP($A12,serestatal,2,0),IF(K$5='Conceptos Desglosados'!$H$13,VLOOKUP($A12,conferencias,2,0),"")))))))))),"")*K$3,"")</f>
        <v/>
      </c>
      <c r="L12" t="str">
        <f>IFERROR(IFERROR(IF(L$5='Conceptos Desglosados'!$H$4,VLOOKUP($A12,dormitorios,2,0),IF(L$5='Conceptos Desglosados'!$H$5,VLOOKUP($A12,comedor,2,0),IF(L$5='Conceptos Desglosados'!$H$6,VLOOKUP($A12,alojamiento,2,0),IF(L$5='Conceptos Desglosados'!$H$7,VLOOKUP($A12,sanidad,2,0),IF(L$5='Conceptos Desglosados'!$H$8,VLOOKUP($A12,servicios,2,0),IF(L$5='Conceptos Desglosados'!$H$9,VLOOKUP($A12,comyaloj,2,0),IF(L$5='Conceptos Desglosados'!$H$10,VLOOKUP($A12,comandancia,2,0),IF(L$5='Conceptos Desglosados'!$H$11,VLOOKUP($A12,mantenimiento,2,0),IF(L$5='Conceptos Desglosados'!$H$12,VLOOKUP($A12,serestatal,2,0),IF(L$5='Conceptos Desglosados'!$H$13,VLOOKUP($A12,conferencias,2,0),"")))))))))),"")*L$3,"")</f>
        <v/>
      </c>
      <c r="M12" t="str">
        <f>IFERROR(IFERROR(IF(M$5='Conceptos Desglosados'!$H$4,VLOOKUP($A12,dormitorios,2,0),IF(M$5='Conceptos Desglosados'!$H$5,VLOOKUP($A12,comedor,2,0),IF(M$5='Conceptos Desglosados'!$H$6,VLOOKUP($A12,alojamiento,2,0),IF(M$5='Conceptos Desglosados'!$H$7,VLOOKUP($A12,sanidad,2,0),IF(M$5='Conceptos Desglosados'!$H$8,VLOOKUP($A12,servicios,2,0),IF(M$5='Conceptos Desglosados'!$H$9,VLOOKUP($A12,comyaloj,2,0),IF(M$5='Conceptos Desglosados'!$H$10,VLOOKUP($A12,comandancia,2,0),IF(M$5='Conceptos Desglosados'!$H$11,VLOOKUP($A12,mantenimiento,2,0),IF(M$5='Conceptos Desglosados'!$H$12,VLOOKUP($A12,serestatal,2,0),IF(M$5='Conceptos Desglosados'!$H$13,VLOOKUP($A12,conferencias,2,0),"")))))))))),"")*M$3,"")</f>
        <v/>
      </c>
      <c r="O12">
        <f>SUM(K12:M12)</f>
        <v>0</v>
      </c>
    </row>
    <row r="13" spans="1:15" x14ac:dyDescent="0.35">
      <c r="A13">
        <v>8</v>
      </c>
      <c r="B13" t="s">
        <v>10</v>
      </c>
      <c r="C13" t="s">
        <v>67</v>
      </c>
      <c r="D13" t="s">
        <v>189</v>
      </c>
      <c r="E13" t="s">
        <v>1</v>
      </c>
      <c r="F13" t="s">
        <v>883</v>
      </c>
      <c r="G13" t="s">
        <v>0</v>
      </c>
      <c r="H13">
        <v>0.88500000000000001</v>
      </c>
      <c r="I13">
        <v>2.7149999999999999</v>
      </c>
      <c r="J13" t="s">
        <v>6</v>
      </c>
      <c r="K13" t="str">
        <f>IFERROR(IFERROR(IF(K$5='Conceptos Desglosados'!$H$4,VLOOKUP($A13,dormitorios,2,0),IF(K$5='Conceptos Desglosados'!$H$5,VLOOKUP($A13,comedor,2,0),IF(K$5='Conceptos Desglosados'!$H$6,VLOOKUP($A13,alojamiento,2,0),IF(K$5='Conceptos Desglosados'!$H$7,VLOOKUP($A13,sanidad,2,0),IF(K$5='Conceptos Desglosados'!$H$8,VLOOKUP($A13,servicios,2,0),IF(K$5='Conceptos Desglosados'!$H$9,VLOOKUP($A13,comyaloj,2,0),IF(K$5='Conceptos Desglosados'!$H$10,VLOOKUP($A13,comandancia,2,0),IF(K$5='Conceptos Desglosados'!$H$11,VLOOKUP($A13,mantenimiento,2,0),IF(K$5='Conceptos Desglosados'!$H$12,VLOOKUP($A13,serestatal,2,0),IF(K$5='Conceptos Desglosados'!$H$13,VLOOKUP($A13,conferencias,2,0),"")))))))))),"")*K$3,"")</f>
        <v/>
      </c>
      <c r="L13" t="str">
        <f>IFERROR(IFERROR(IF(L$5='Conceptos Desglosados'!$H$4,VLOOKUP($A13,dormitorios,2,0),IF(L$5='Conceptos Desglosados'!$H$5,VLOOKUP($A13,comedor,2,0),IF(L$5='Conceptos Desglosados'!$H$6,VLOOKUP($A13,alojamiento,2,0),IF(L$5='Conceptos Desglosados'!$H$7,VLOOKUP($A13,sanidad,2,0),IF(L$5='Conceptos Desglosados'!$H$8,VLOOKUP($A13,servicios,2,0),IF(L$5='Conceptos Desglosados'!$H$9,VLOOKUP($A13,comyaloj,2,0),IF(L$5='Conceptos Desglosados'!$H$10,VLOOKUP($A13,comandancia,2,0),IF(L$5='Conceptos Desglosados'!$H$11,VLOOKUP($A13,mantenimiento,2,0),IF(L$5='Conceptos Desglosados'!$H$12,VLOOKUP($A13,serestatal,2,0),IF(L$5='Conceptos Desglosados'!$H$13,VLOOKUP($A13,conferencias,2,0),"")))))))))),"")*L$3,"")</f>
        <v/>
      </c>
      <c r="M13" t="str">
        <f>IFERROR(IFERROR(IF(M$5='Conceptos Desglosados'!$H$4,VLOOKUP($A13,dormitorios,2,0),IF(M$5='Conceptos Desglosados'!$H$5,VLOOKUP($A13,comedor,2,0),IF(M$5='Conceptos Desglosados'!$H$6,VLOOKUP($A13,alojamiento,2,0),IF(M$5='Conceptos Desglosados'!$H$7,VLOOKUP($A13,sanidad,2,0),IF(M$5='Conceptos Desglosados'!$H$8,VLOOKUP($A13,servicios,2,0),IF(M$5='Conceptos Desglosados'!$H$9,VLOOKUP($A13,comyaloj,2,0),IF(M$5='Conceptos Desglosados'!$H$10,VLOOKUP($A13,comandancia,2,0),IF(M$5='Conceptos Desglosados'!$H$11,VLOOKUP($A13,mantenimiento,2,0),IF(M$5='Conceptos Desglosados'!$H$12,VLOOKUP($A13,serestatal,2,0),IF(M$5='Conceptos Desglosados'!$H$13,VLOOKUP($A13,conferencias,2,0),"")))))))))),"")*M$3,"")</f>
        <v/>
      </c>
      <c r="O13">
        <f>SUM(K13:M13)</f>
        <v>0</v>
      </c>
    </row>
    <row r="14" spans="1:15" x14ac:dyDescent="0.35">
      <c r="A14">
        <v>9</v>
      </c>
      <c r="B14" t="s">
        <v>10</v>
      </c>
      <c r="C14" t="s">
        <v>68</v>
      </c>
      <c r="D14" t="s">
        <v>190</v>
      </c>
      <c r="E14" t="s">
        <v>1</v>
      </c>
      <c r="F14" t="s">
        <v>883</v>
      </c>
      <c r="G14" t="s">
        <v>0</v>
      </c>
      <c r="H14">
        <v>0.57999999999999996</v>
      </c>
      <c r="I14">
        <v>2.7149999999999999</v>
      </c>
      <c r="J14" t="s">
        <v>6</v>
      </c>
      <c r="K14" t="str">
        <f>IFERROR(IFERROR(IF(K$5='Conceptos Desglosados'!$H$4,VLOOKUP($A14,dormitorios,2,0),IF(K$5='Conceptos Desglosados'!$H$5,VLOOKUP($A14,comedor,2,0),IF(K$5='Conceptos Desglosados'!$H$6,VLOOKUP($A14,alojamiento,2,0),IF(K$5='Conceptos Desglosados'!$H$7,VLOOKUP($A14,sanidad,2,0),IF(K$5='Conceptos Desglosados'!$H$8,VLOOKUP($A14,servicios,2,0),IF(K$5='Conceptos Desglosados'!$H$9,VLOOKUP($A14,comyaloj,2,0),IF(K$5='Conceptos Desglosados'!$H$10,VLOOKUP($A14,comandancia,2,0),IF(K$5='Conceptos Desglosados'!$H$11,VLOOKUP($A14,mantenimiento,2,0),IF(K$5='Conceptos Desglosados'!$H$12,VLOOKUP($A14,serestatal,2,0),IF(K$5='Conceptos Desglosados'!$H$13,VLOOKUP($A14,conferencias,2,0),"")))))))))),"")*K$3,"")</f>
        <v/>
      </c>
      <c r="L14" t="str">
        <f>IFERROR(IFERROR(IF(L$5='Conceptos Desglosados'!$H$4,VLOOKUP($A14,dormitorios,2,0),IF(L$5='Conceptos Desglosados'!$H$5,VLOOKUP($A14,comedor,2,0),IF(L$5='Conceptos Desglosados'!$H$6,VLOOKUP($A14,alojamiento,2,0),IF(L$5='Conceptos Desglosados'!$H$7,VLOOKUP($A14,sanidad,2,0),IF(L$5='Conceptos Desglosados'!$H$8,VLOOKUP($A14,servicios,2,0),IF(L$5='Conceptos Desglosados'!$H$9,VLOOKUP($A14,comyaloj,2,0),IF(L$5='Conceptos Desglosados'!$H$10,VLOOKUP($A14,comandancia,2,0),IF(L$5='Conceptos Desglosados'!$H$11,VLOOKUP($A14,mantenimiento,2,0),IF(L$5='Conceptos Desglosados'!$H$12,VLOOKUP($A14,serestatal,2,0),IF(L$5='Conceptos Desglosados'!$H$13,VLOOKUP($A14,conferencias,2,0),"")))))))))),"")*L$3,"")</f>
        <v/>
      </c>
      <c r="M14" t="str">
        <f>IFERROR(IFERROR(IF(M$5='Conceptos Desglosados'!$H$4,VLOOKUP($A14,dormitorios,2,0),IF(M$5='Conceptos Desglosados'!$H$5,VLOOKUP($A14,comedor,2,0),IF(M$5='Conceptos Desglosados'!$H$6,VLOOKUP($A14,alojamiento,2,0),IF(M$5='Conceptos Desglosados'!$H$7,VLOOKUP($A14,sanidad,2,0),IF(M$5='Conceptos Desglosados'!$H$8,VLOOKUP($A14,servicios,2,0),IF(M$5='Conceptos Desglosados'!$H$9,VLOOKUP($A14,comyaloj,2,0),IF(M$5='Conceptos Desglosados'!$H$10,VLOOKUP($A14,comandancia,2,0),IF(M$5='Conceptos Desglosados'!$H$11,VLOOKUP($A14,mantenimiento,2,0),IF(M$5='Conceptos Desglosados'!$H$12,VLOOKUP($A14,serestatal,2,0),IF(M$5='Conceptos Desglosados'!$H$13,VLOOKUP($A14,conferencias,2,0),"")))))))))),"")*M$3,"")</f>
        <v/>
      </c>
      <c r="O14">
        <f>SUM(K14:M14)</f>
        <v>0</v>
      </c>
    </row>
    <row r="15" spans="1:15" x14ac:dyDescent="0.35">
      <c r="A15">
        <v>10</v>
      </c>
      <c r="B15" t="s">
        <v>10</v>
      </c>
      <c r="C15" t="s">
        <v>69</v>
      </c>
      <c r="D15" t="s">
        <v>191</v>
      </c>
      <c r="E15" t="s">
        <v>1</v>
      </c>
      <c r="F15" t="s">
        <v>883</v>
      </c>
      <c r="G15" t="s">
        <v>0</v>
      </c>
      <c r="H15">
        <v>0.94</v>
      </c>
      <c r="I15">
        <v>2.7149999999999999</v>
      </c>
      <c r="J15" t="s">
        <v>6</v>
      </c>
      <c r="K15" t="str">
        <f>IFERROR(IFERROR(IF(K$5='Conceptos Desglosados'!$H$4,VLOOKUP($A15,dormitorios,2,0),IF(K$5='Conceptos Desglosados'!$H$5,VLOOKUP($A15,comedor,2,0),IF(K$5='Conceptos Desglosados'!$H$6,VLOOKUP($A15,alojamiento,2,0),IF(K$5='Conceptos Desglosados'!$H$7,VLOOKUP($A15,sanidad,2,0),IF(K$5='Conceptos Desglosados'!$H$8,VLOOKUP($A15,servicios,2,0),IF(K$5='Conceptos Desglosados'!$H$9,VLOOKUP($A15,comyaloj,2,0),IF(K$5='Conceptos Desglosados'!$H$10,VLOOKUP($A15,comandancia,2,0),IF(K$5='Conceptos Desglosados'!$H$11,VLOOKUP($A15,mantenimiento,2,0),IF(K$5='Conceptos Desglosados'!$H$12,VLOOKUP($A15,serestatal,2,0),IF(K$5='Conceptos Desglosados'!$H$13,VLOOKUP($A15,conferencias,2,0),"")))))))))),"")*K$3,"")</f>
        <v/>
      </c>
      <c r="L15" t="str">
        <f>IFERROR(IFERROR(IF(L$5='Conceptos Desglosados'!$H$4,VLOOKUP($A15,dormitorios,2,0),IF(L$5='Conceptos Desglosados'!$H$5,VLOOKUP($A15,comedor,2,0),IF(L$5='Conceptos Desglosados'!$H$6,VLOOKUP($A15,alojamiento,2,0),IF(L$5='Conceptos Desglosados'!$H$7,VLOOKUP($A15,sanidad,2,0),IF(L$5='Conceptos Desglosados'!$H$8,VLOOKUP($A15,servicios,2,0),IF(L$5='Conceptos Desglosados'!$H$9,VLOOKUP($A15,comyaloj,2,0),IF(L$5='Conceptos Desglosados'!$H$10,VLOOKUP($A15,comandancia,2,0),IF(L$5='Conceptos Desglosados'!$H$11,VLOOKUP($A15,mantenimiento,2,0),IF(L$5='Conceptos Desglosados'!$H$12,VLOOKUP($A15,serestatal,2,0),IF(L$5='Conceptos Desglosados'!$H$13,VLOOKUP($A15,conferencias,2,0),"")))))))))),"")*L$3,"")</f>
        <v/>
      </c>
      <c r="M15" t="str">
        <f>IFERROR(IFERROR(IF(M$5='Conceptos Desglosados'!$H$4,VLOOKUP($A15,dormitorios,2,0),IF(M$5='Conceptos Desglosados'!$H$5,VLOOKUP($A15,comedor,2,0),IF(M$5='Conceptos Desglosados'!$H$6,VLOOKUP($A15,alojamiento,2,0),IF(M$5='Conceptos Desglosados'!$H$7,VLOOKUP($A15,sanidad,2,0),IF(M$5='Conceptos Desglosados'!$H$8,VLOOKUP($A15,servicios,2,0),IF(M$5='Conceptos Desglosados'!$H$9,VLOOKUP($A15,comyaloj,2,0),IF(M$5='Conceptos Desglosados'!$H$10,VLOOKUP($A15,comandancia,2,0),IF(M$5='Conceptos Desglosados'!$H$11,VLOOKUP($A15,mantenimiento,2,0),IF(M$5='Conceptos Desglosados'!$H$12,VLOOKUP($A15,serestatal,2,0),IF(M$5='Conceptos Desglosados'!$H$13,VLOOKUP($A15,conferencias,2,0),"")))))))))),"")*M$3,"")</f>
        <v/>
      </c>
      <c r="O15">
        <f>SUM(K15:M15)</f>
        <v>0</v>
      </c>
    </row>
    <row r="16" spans="1:15" x14ac:dyDescent="0.35">
      <c r="A16">
        <v>11</v>
      </c>
      <c r="B16" t="s">
        <v>10</v>
      </c>
      <c r="C16" t="s">
        <v>70</v>
      </c>
      <c r="D16" t="s">
        <v>192</v>
      </c>
      <c r="E16" t="s">
        <v>1</v>
      </c>
      <c r="F16" t="s">
        <v>883</v>
      </c>
      <c r="G16" t="s">
        <v>2</v>
      </c>
      <c r="H16">
        <v>0.94</v>
      </c>
      <c r="I16">
        <v>2.7149999999999999</v>
      </c>
      <c r="J16" t="s">
        <v>6</v>
      </c>
      <c r="K16" t="str">
        <f>IFERROR(IFERROR(IF(K$5='Conceptos Desglosados'!$H$4,VLOOKUP($A16,dormitorios,2,0),IF(K$5='Conceptos Desglosados'!$H$5,VLOOKUP($A16,comedor,2,0),IF(K$5='Conceptos Desglosados'!$H$6,VLOOKUP($A16,alojamiento,2,0),IF(K$5='Conceptos Desglosados'!$H$7,VLOOKUP($A16,sanidad,2,0),IF(K$5='Conceptos Desglosados'!$H$8,VLOOKUP($A16,servicios,2,0),IF(K$5='Conceptos Desglosados'!$H$9,VLOOKUP($A16,comyaloj,2,0),IF(K$5='Conceptos Desglosados'!$H$10,VLOOKUP($A16,comandancia,2,0),IF(K$5='Conceptos Desglosados'!$H$11,VLOOKUP($A16,mantenimiento,2,0),IF(K$5='Conceptos Desglosados'!$H$12,VLOOKUP($A16,serestatal,2,0),IF(K$5='Conceptos Desglosados'!$H$13,VLOOKUP($A16,conferencias,2,0),"")))))))))),"")*K$3,"")</f>
        <v/>
      </c>
      <c r="L16" t="str">
        <f>IFERROR(IFERROR(IF(L$5='Conceptos Desglosados'!$H$4,VLOOKUP($A16,dormitorios,2,0),IF(L$5='Conceptos Desglosados'!$H$5,VLOOKUP($A16,comedor,2,0),IF(L$5='Conceptos Desglosados'!$H$6,VLOOKUP($A16,alojamiento,2,0),IF(L$5='Conceptos Desglosados'!$H$7,VLOOKUP($A16,sanidad,2,0),IF(L$5='Conceptos Desglosados'!$H$8,VLOOKUP($A16,servicios,2,0),IF(L$5='Conceptos Desglosados'!$H$9,VLOOKUP($A16,comyaloj,2,0),IF(L$5='Conceptos Desglosados'!$H$10,VLOOKUP($A16,comandancia,2,0),IF(L$5='Conceptos Desglosados'!$H$11,VLOOKUP($A16,mantenimiento,2,0),IF(L$5='Conceptos Desglosados'!$H$12,VLOOKUP($A16,serestatal,2,0),IF(L$5='Conceptos Desglosados'!$H$13,VLOOKUP($A16,conferencias,2,0),"")))))))))),"")*L$3,"")</f>
        <v/>
      </c>
      <c r="M16" t="str">
        <f>IFERROR(IFERROR(IF(M$5='Conceptos Desglosados'!$H$4,VLOOKUP($A16,dormitorios,2,0),IF(M$5='Conceptos Desglosados'!$H$5,VLOOKUP($A16,comedor,2,0),IF(M$5='Conceptos Desglosados'!$H$6,VLOOKUP($A16,alojamiento,2,0),IF(M$5='Conceptos Desglosados'!$H$7,VLOOKUP($A16,sanidad,2,0),IF(M$5='Conceptos Desglosados'!$H$8,VLOOKUP($A16,servicios,2,0),IF(M$5='Conceptos Desglosados'!$H$9,VLOOKUP($A16,comyaloj,2,0),IF(M$5='Conceptos Desglosados'!$H$10,VLOOKUP($A16,comandancia,2,0),IF(M$5='Conceptos Desglosados'!$H$11,VLOOKUP($A16,mantenimiento,2,0),IF(M$5='Conceptos Desglosados'!$H$12,VLOOKUP($A16,serestatal,2,0),IF(M$5='Conceptos Desglosados'!$H$13,VLOOKUP($A16,conferencias,2,0),"")))))))))),"")*M$3,"")</f>
        <v/>
      </c>
      <c r="O16">
        <f>SUM(K16:M16)</f>
        <v>0</v>
      </c>
    </row>
    <row r="17" spans="1:15" x14ac:dyDescent="0.35">
      <c r="A17">
        <v>12</v>
      </c>
      <c r="B17" t="s">
        <v>10</v>
      </c>
      <c r="C17" t="s">
        <v>71</v>
      </c>
      <c r="D17" t="s">
        <v>193</v>
      </c>
      <c r="E17" t="s">
        <v>1</v>
      </c>
      <c r="F17" t="s">
        <v>883</v>
      </c>
      <c r="G17" t="s">
        <v>2</v>
      </c>
      <c r="H17">
        <v>0.8</v>
      </c>
      <c r="I17">
        <v>2.7149999999999999</v>
      </c>
      <c r="J17" t="s">
        <v>6</v>
      </c>
      <c r="K17" t="str">
        <f>IFERROR(IFERROR(IF(K$5='Conceptos Desglosados'!$H$4,VLOOKUP($A17,dormitorios,2,0),IF(K$5='Conceptos Desglosados'!$H$5,VLOOKUP($A17,comedor,2,0),IF(K$5='Conceptos Desglosados'!$H$6,VLOOKUP($A17,alojamiento,2,0),IF(K$5='Conceptos Desglosados'!$H$7,VLOOKUP($A17,sanidad,2,0),IF(K$5='Conceptos Desglosados'!$H$8,VLOOKUP($A17,servicios,2,0),IF(K$5='Conceptos Desglosados'!$H$9,VLOOKUP($A17,comyaloj,2,0),IF(K$5='Conceptos Desglosados'!$H$10,VLOOKUP($A17,comandancia,2,0),IF(K$5='Conceptos Desglosados'!$H$11,VLOOKUP($A17,mantenimiento,2,0),IF(K$5='Conceptos Desglosados'!$H$12,VLOOKUP($A17,serestatal,2,0),IF(K$5='Conceptos Desglosados'!$H$13,VLOOKUP($A17,conferencias,2,0),"")))))))))),"")*K$3,"")</f>
        <v/>
      </c>
      <c r="L17" t="str">
        <f>IFERROR(IFERROR(IF(L$5='Conceptos Desglosados'!$H$4,VLOOKUP($A17,dormitorios,2,0),IF(L$5='Conceptos Desglosados'!$H$5,VLOOKUP($A17,comedor,2,0),IF(L$5='Conceptos Desglosados'!$H$6,VLOOKUP($A17,alojamiento,2,0),IF(L$5='Conceptos Desglosados'!$H$7,VLOOKUP($A17,sanidad,2,0),IF(L$5='Conceptos Desglosados'!$H$8,VLOOKUP($A17,servicios,2,0),IF(L$5='Conceptos Desglosados'!$H$9,VLOOKUP($A17,comyaloj,2,0),IF(L$5='Conceptos Desglosados'!$H$10,VLOOKUP($A17,comandancia,2,0),IF(L$5='Conceptos Desglosados'!$H$11,VLOOKUP($A17,mantenimiento,2,0),IF(L$5='Conceptos Desglosados'!$H$12,VLOOKUP($A17,serestatal,2,0),IF(L$5='Conceptos Desglosados'!$H$13,VLOOKUP($A17,conferencias,2,0),"")))))))))),"")*L$3,"")</f>
        <v/>
      </c>
      <c r="M17" t="str">
        <f>IFERROR(IFERROR(IF(M$5='Conceptos Desglosados'!$H$4,VLOOKUP($A17,dormitorios,2,0),IF(M$5='Conceptos Desglosados'!$H$5,VLOOKUP($A17,comedor,2,0),IF(M$5='Conceptos Desglosados'!$H$6,VLOOKUP($A17,alojamiento,2,0),IF(M$5='Conceptos Desglosados'!$H$7,VLOOKUP($A17,sanidad,2,0),IF(M$5='Conceptos Desglosados'!$H$8,VLOOKUP($A17,servicios,2,0),IF(M$5='Conceptos Desglosados'!$H$9,VLOOKUP($A17,comyaloj,2,0),IF(M$5='Conceptos Desglosados'!$H$10,VLOOKUP($A17,comandancia,2,0),IF(M$5='Conceptos Desglosados'!$H$11,VLOOKUP($A17,mantenimiento,2,0),IF(M$5='Conceptos Desglosados'!$H$12,VLOOKUP($A17,serestatal,2,0),IF(M$5='Conceptos Desglosados'!$H$13,VLOOKUP($A17,conferencias,2,0),"")))))))))),"")*M$3,"")</f>
        <v/>
      </c>
      <c r="O17">
        <f>SUM(K17:M17)</f>
        <v>0</v>
      </c>
    </row>
    <row r="18" spans="1:15" x14ac:dyDescent="0.35">
      <c r="A18">
        <v>13</v>
      </c>
      <c r="B18" t="s">
        <v>10</v>
      </c>
      <c r="C18" t="s">
        <v>119</v>
      </c>
      <c r="D18" t="s">
        <v>194</v>
      </c>
      <c r="E18" t="s">
        <v>1</v>
      </c>
      <c r="F18" t="s">
        <v>883</v>
      </c>
      <c r="G18" t="s">
        <v>0</v>
      </c>
      <c r="H18">
        <v>1.91</v>
      </c>
      <c r="I18">
        <v>2.7149999999999999</v>
      </c>
      <c r="J18" t="s">
        <v>6</v>
      </c>
      <c r="K18" t="str">
        <f>IFERROR(IFERROR(IF(K$5='Conceptos Desglosados'!$H$4,VLOOKUP($A18,dormitorios,2,0),IF(K$5='Conceptos Desglosados'!$H$5,VLOOKUP($A18,comedor,2,0),IF(K$5='Conceptos Desglosados'!$H$6,VLOOKUP($A18,alojamiento,2,0),IF(K$5='Conceptos Desglosados'!$H$7,VLOOKUP($A18,sanidad,2,0),IF(K$5='Conceptos Desglosados'!$H$8,VLOOKUP($A18,servicios,2,0),IF(K$5='Conceptos Desglosados'!$H$9,VLOOKUP($A18,comyaloj,2,0),IF(K$5='Conceptos Desglosados'!$H$10,VLOOKUP($A18,comandancia,2,0),IF(K$5='Conceptos Desglosados'!$H$11,VLOOKUP($A18,mantenimiento,2,0),IF(K$5='Conceptos Desglosados'!$H$12,VLOOKUP($A18,serestatal,2,0),IF(K$5='Conceptos Desglosados'!$H$13,VLOOKUP($A18,conferencias,2,0),"")))))))))),"")*K$3,"")</f>
        <v/>
      </c>
      <c r="L18" t="str">
        <f>IFERROR(IFERROR(IF(L$5='Conceptos Desglosados'!$H$4,VLOOKUP($A18,dormitorios,2,0),IF(L$5='Conceptos Desglosados'!$H$5,VLOOKUP($A18,comedor,2,0),IF(L$5='Conceptos Desglosados'!$H$6,VLOOKUP($A18,alojamiento,2,0),IF(L$5='Conceptos Desglosados'!$H$7,VLOOKUP($A18,sanidad,2,0),IF(L$5='Conceptos Desglosados'!$H$8,VLOOKUP($A18,servicios,2,0),IF(L$5='Conceptos Desglosados'!$H$9,VLOOKUP($A18,comyaloj,2,0),IF(L$5='Conceptos Desglosados'!$H$10,VLOOKUP($A18,comandancia,2,0),IF(L$5='Conceptos Desglosados'!$H$11,VLOOKUP($A18,mantenimiento,2,0),IF(L$5='Conceptos Desglosados'!$H$12,VLOOKUP($A18,serestatal,2,0),IF(L$5='Conceptos Desglosados'!$H$13,VLOOKUP($A18,conferencias,2,0),"")))))))))),"")*L$3,"")</f>
        <v/>
      </c>
      <c r="M18" t="str">
        <f>IFERROR(IFERROR(IF(M$5='Conceptos Desglosados'!$H$4,VLOOKUP($A18,dormitorios,2,0),IF(M$5='Conceptos Desglosados'!$H$5,VLOOKUP($A18,comedor,2,0),IF(M$5='Conceptos Desglosados'!$H$6,VLOOKUP($A18,alojamiento,2,0),IF(M$5='Conceptos Desglosados'!$H$7,VLOOKUP($A18,sanidad,2,0),IF(M$5='Conceptos Desglosados'!$H$8,VLOOKUP($A18,servicios,2,0),IF(M$5='Conceptos Desglosados'!$H$9,VLOOKUP($A18,comyaloj,2,0),IF(M$5='Conceptos Desglosados'!$H$10,VLOOKUP($A18,comandancia,2,0),IF(M$5='Conceptos Desglosados'!$H$11,VLOOKUP($A18,mantenimiento,2,0),IF(M$5='Conceptos Desglosados'!$H$12,VLOOKUP($A18,serestatal,2,0),IF(M$5='Conceptos Desglosados'!$H$13,VLOOKUP($A18,conferencias,2,0),"")))))))))),"")*M$3,"")</f>
        <v/>
      </c>
      <c r="O18">
        <f>SUM(K18:M18)</f>
        <v>0</v>
      </c>
    </row>
    <row r="19" spans="1:15" x14ac:dyDescent="0.35">
      <c r="A19">
        <v>14</v>
      </c>
      <c r="B19" t="s">
        <v>10</v>
      </c>
      <c r="C19" t="s">
        <v>85</v>
      </c>
      <c r="D19" t="s">
        <v>195</v>
      </c>
      <c r="E19" t="s">
        <v>1</v>
      </c>
      <c r="F19" t="s">
        <v>883</v>
      </c>
      <c r="G19" t="s">
        <v>2</v>
      </c>
      <c r="H19">
        <v>1.06</v>
      </c>
      <c r="I19">
        <v>2.7149999999999999</v>
      </c>
      <c r="J19" t="s">
        <v>6</v>
      </c>
      <c r="K19" t="str">
        <f>IFERROR(IFERROR(IF(K$5='Conceptos Desglosados'!$H$4,VLOOKUP($A19,dormitorios,2,0),IF(K$5='Conceptos Desglosados'!$H$5,VLOOKUP($A19,comedor,2,0),IF(K$5='Conceptos Desglosados'!$H$6,VLOOKUP($A19,alojamiento,2,0),IF(K$5='Conceptos Desglosados'!$H$7,VLOOKUP($A19,sanidad,2,0),IF(K$5='Conceptos Desglosados'!$H$8,VLOOKUP($A19,servicios,2,0),IF(K$5='Conceptos Desglosados'!$H$9,VLOOKUP($A19,comyaloj,2,0),IF(K$5='Conceptos Desglosados'!$H$10,VLOOKUP($A19,comandancia,2,0),IF(K$5='Conceptos Desglosados'!$H$11,VLOOKUP($A19,mantenimiento,2,0),IF(K$5='Conceptos Desglosados'!$H$12,VLOOKUP($A19,serestatal,2,0),IF(K$5='Conceptos Desglosados'!$H$13,VLOOKUP($A19,conferencias,2,0),"")))))))))),"")*K$3,"")</f>
        <v/>
      </c>
      <c r="L19" t="str">
        <f>IFERROR(IFERROR(IF(L$5='Conceptos Desglosados'!$H$4,VLOOKUP($A19,dormitorios,2,0),IF(L$5='Conceptos Desglosados'!$H$5,VLOOKUP($A19,comedor,2,0),IF(L$5='Conceptos Desglosados'!$H$6,VLOOKUP($A19,alojamiento,2,0),IF(L$5='Conceptos Desglosados'!$H$7,VLOOKUP($A19,sanidad,2,0),IF(L$5='Conceptos Desglosados'!$H$8,VLOOKUP($A19,servicios,2,0),IF(L$5='Conceptos Desglosados'!$H$9,VLOOKUP($A19,comyaloj,2,0),IF(L$5='Conceptos Desglosados'!$H$10,VLOOKUP($A19,comandancia,2,0),IF(L$5='Conceptos Desglosados'!$H$11,VLOOKUP($A19,mantenimiento,2,0),IF(L$5='Conceptos Desglosados'!$H$12,VLOOKUP($A19,serestatal,2,0),IF(L$5='Conceptos Desglosados'!$H$13,VLOOKUP($A19,conferencias,2,0),"")))))))))),"")*L$3,"")</f>
        <v/>
      </c>
      <c r="M19" t="str">
        <f>IFERROR(IFERROR(IF(M$5='Conceptos Desglosados'!$H$4,VLOOKUP($A19,dormitorios,2,0),IF(M$5='Conceptos Desglosados'!$H$5,VLOOKUP($A19,comedor,2,0),IF(M$5='Conceptos Desglosados'!$H$6,VLOOKUP($A19,alojamiento,2,0),IF(M$5='Conceptos Desglosados'!$H$7,VLOOKUP($A19,sanidad,2,0),IF(M$5='Conceptos Desglosados'!$H$8,VLOOKUP($A19,servicios,2,0),IF(M$5='Conceptos Desglosados'!$H$9,VLOOKUP($A19,comyaloj,2,0),IF(M$5='Conceptos Desglosados'!$H$10,VLOOKUP($A19,comandancia,2,0),IF(M$5='Conceptos Desglosados'!$H$11,VLOOKUP($A19,mantenimiento,2,0),IF(M$5='Conceptos Desglosados'!$H$12,VLOOKUP($A19,serestatal,2,0),IF(M$5='Conceptos Desglosados'!$H$13,VLOOKUP($A19,conferencias,2,0),"")))))))))),"")*M$3,"")</f>
        <v/>
      </c>
      <c r="O19">
        <f>SUM(K19:M19)</f>
        <v>0</v>
      </c>
    </row>
    <row r="20" spans="1:15" x14ac:dyDescent="0.35">
      <c r="A20">
        <v>15</v>
      </c>
      <c r="B20" t="s">
        <v>10</v>
      </c>
      <c r="C20" t="s">
        <v>86</v>
      </c>
      <c r="D20" t="s">
        <v>196</v>
      </c>
      <c r="E20" t="s">
        <v>1</v>
      </c>
      <c r="F20" t="s">
        <v>883</v>
      </c>
      <c r="G20" t="s">
        <v>0</v>
      </c>
      <c r="H20">
        <v>0.77</v>
      </c>
      <c r="I20">
        <v>2.7149999999999999</v>
      </c>
      <c r="J20" t="s">
        <v>6</v>
      </c>
      <c r="K20" t="str">
        <f>IFERROR(IFERROR(IF(K$5='Conceptos Desglosados'!$H$4,VLOOKUP($A20,dormitorios,2,0),IF(K$5='Conceptos Desglosados'!$H$5,VLOOKUP($A20,comedor,2,0),IF(K$5='Conceptos Desglosados'!$H$6,VLOOKUP($A20,alojamiento,2,0),IF(K$5='Conceptos Desglosados'!$H$7,VLOOKUP($A20,sanidad,2,0),IF(K$5='Conceptos Desglosados'!$H$8,VLOOKUP($A20,servicios,2,0),IF(K$5='Conceptos Desglosados'!$H$9,VLOOKUP($A20,comyaloj,2,0),IF(K$5='Conceptos Desglosados'!$H$10,VLOOKUP($A20,comandancia,2,0),IF(K$5='Conceptos Desglosados'!$H$11,VLOOKUP($A20,mantenimiento,2,0),IF(K$5='Conceptos Desglosados'!$H$12,VLOOKUP($A20,serestatal,2,0),IF(K$5='Conceptos Desglosados'!$H$13,VLOOKUP($A20,conferencias,2,0),"")))))))))),"")*K$3,"")</f>
        <v/>
      </c>
      <c r="L20" t="str">
        <f>IFERROR(IFERROR(IF(L$5='Conceptos Desglosados'!$H$4,VLOOKUP($A20,dormitorios,2,0),IF(L$5='Conceptos Desglosados'!$H$5,VLOOKUP($A20,comedor,2,0),IF(L$5='Conceptos Desglosados'!$H$6,VLOOKUP($A20,alojamiento,2,0),IF(L$5='Conceptos Desglosados'!$H$7,VLOOKUP($A20,sanidad,2,0),IF(L$5='Conceptos Desglosados'!$H$8,VLOOKUP($A20,servicios,2,0),IF(L$5='Conceptos Desglosados'!$H$9,VLOOKUP($A20,comyaloj,2,0),IF(L$5='Conceptos Desglosados'!$H$10,VLOOKUP($A20,comandancia,2,0),IF(L$5='Conceptos Desglosados'!$H$11,VLOOKUP($A20,mantenimiento,2,0),IF(L$5='Conceptos Desglosados'!$H$12,VLOOKUP($A20,serestatal,2,0),IF(L$5='Conceptos Desglosados'!$H$13,VLOOKUP($A20,conferencias,2,0),"")))))))))),"")*L$3,"")</f>
        <v/>
      </c>
      <c r="M20" t="str">
        <f>IFERROR(IFERROR(IF(M$5='Conceptos Desglosados'!$H$4,VLOOKUP($A20,dormitorios,2,0),IF(M$5='Conceptos Desglosados'!$H$5,VLOOKUP($A20,comedor,2,0),IF(M$5='Conceptos Desglosados'!$H$6,VLOOKUP($A20,alojamiento,2,0),IF(M$5='Conceptos Desglosados'!$H$7,VLOOKUP($A20,sanidad,2,0),IF(M$5='Conceptos Desglosados'!$H$8,VLOOKUP($A20,servicios,2,0),IF(M$5='Conceptos Desglosados'!$H$9,VLOOKUP($A20,comyaloj,2,0),IF(M$5='Conceptos Desglosados'!$H$10,VLOOKUP($A20,comandancia,2,0),IF(M$5='Conceptos Desglosados'!$H$11,VLOOKUP($A20,mantenimiento,2,0),IF(M$5='Conceptos Desglosados'!$H$12,VLOOKUP($A20,serestatal,2,0),IF(M$5='Conceptos Desglosados'!$H$13,VLOOKUP($A20,conferencias,2,0),"")))))))))),"")*M$3,"")</f>
        <v/>
      </c>
      <c r="O20">
        <f>SUM(K20:M20)</f>
        <v>0</v>
      </c>
    </row>
    <row r="21" spans="1:15" x14ac:dyDescent="0.35">
      <c r="A21">
        <v>16</v>
      </c>
      <c r="B21" t="s">
        <v>10</v>
      </c>
      <c r="C21" t="s">
        <v>87</v>
      </c>
      <c r="D21" t="s">
        <v>197</v>
      </c>
      <c r="E21" t="s">
        <v>1</v>
      </c>
      <c r="F21" t="s">
        <v>883</v>
      </c>
      <c r="G21" t="s">
        <v>0</v>
      </c>
      <c r="H21">
        <v>1.38</v>
      </c>
      <c r="I21">
        <v>2.7149999999999999</v>
      </c>
      <c r="J21" t="s">
        <v>6</v>
      </c>
      <c r="K21" t="str">
        <f>IFERROR(IFERROR(IF(K$5='Conceptos Desglosados'!$H$4,VLOOKUP($A21,dormitorios,2,0),IF(K$5='Conceptos Desglosados'!$H$5,VLOOKUP($A21,comedor,2,0),IF(K$5='Conceptos Desglosados'!$H$6,VLOOKUP($A21,alojamiento,2,0),IF(K$5='Conceptos Desglosados'!$H$7,VLOOKUP($A21,sanidad,2,0),IF(K$5='Conceptos Desglosados'!$H$8,VLOOKUP($A21,servicios,2,0),IF(K$5='Conceptos Desglosados'!$H$9,VLOOKUP($A21,comyaloj,2,0),IF(K$5='Conceptos Desglosados'!$H$10,VLOOKUP($A21,comandancia,2,0),IF(K$5='Conceptos Desglosados'!$H$11,VLOOKUP($A21,mantenimiento,2,0),IF(K$5='Conceptos Desglosados'!$H$12,VLOOKUP($A21,serestatal,2,0),IF(K$5='Conceptos Desglosados'!$H$13,VLOOKUP($A21,conferencias,2,0),"")))))))))),"")*K$3,"")</f>
        <v/>
      </c>
      <c r="L21" t="str">
        <f>IFERROR(IFERROR(IF(L$5='Conceptos Desglosados'!$H$4,VLOOKUP($A21,dormitorios,2,0),IF(L$5='Conceptos Desglosados'!$H$5,VLOOKUP($A21,comedor,2,0),IF(L$5='Conceptos Desglosados'!$H$6,VLOOKUP($A21,alojamiento,2,0),IF(L$5='Conceptos Desglosados'!$H$7,VLOOKUP($A21,sanidad,2,0),IF(L$5='Conceptos Desglosados'!$H$8,VLOOKUP($A21,servicios,2,0),IF(L$5='Conceptos Desglosados'!$H$9,VLOOKUP($A21,comyaloj,2,0),IF(L$5='Conceptos Desglosados'!$H$10,VLOOKUP($A21,comandancia,2,0),IF(L$5='Conceptos Desglosados'!$H$11,VLOOKUP($A21,mantenimiento,2,0),IF(L$5='Conceptos Desglosados'!$H$12,VLOOKUP($A21,serestatal,2,0),IF(L$5='Conceptos Desglosados'!$H$13,VLOOKUP($A21,conferencias,2,0),"")))))))))),"")*L$3,"")</f>
        <v/>
      </c>
      <c r="M21" t="str">
        <f>IFERROR(IFERROR(IF(M$5='Conceptos Desglosados'!$H$4,VLOOKUP($A21,dormitorios,2,0),IF(M$5='Conceptos Desglosados'!$H$5,VLOOKUP($A21,comedor,2,0),IF(M$5='Conceptos Desglosados'!$H$6,VLOOKUP($A21,alojamiento,2,0),IF(M$5='Conceptos Desglosados'!$H$7,VLOOKUP($A21,sanidad,2,0),IF(M$5='Conceptos Desglosados'!$H$8,VLOOKUP($A21,servicios,2,0),IF(M$5='Conceptos Desglosados'!$H$9,VLOOKUP($A21,comyaloj,2,0),IF(M$5='Conceptos Desglosados'!$H$10,VLOOKUP($A21,comandancia,2,0),IF(M$5='Conceptos Desglosados'!$H$11,VLOOKUP($A21,mantenimiento,2,0),IF(M$5='Conceptos Desglosados'!$H$12,VLOOKUP($A21,serestatal,2,0),IF(M$5='Conceptos Desglosados'!$H$13,VLOOKUP($A21,conferencias,2,0),"")))))))))),"")*M$3,"")</f>
        <v/>
      </c>
      <c r="O21">
        <f>SUM(K21:M21)</f>
        <v>0</v>
      </c>
    </row>
    <row r="22" spans="1:15" x14ac:dyDescent="0.35">
      <c r="A22">
        <v>17</v>
      </c>
      <c r="B22" t="s">
        <v>10</v>
      </c>
      <c r="C22" t="s">
        <v>88</v>
      </c>
      <c r="D22" t="s">
        <v>198</v>
      </c>
      <c r="E22" t="s">
        <v>1</v>
      </c>
      <c r="F22" t="s">
        <v>883</v>
      </c>
      <c r="G22" t="s">
        <v>0</v>
      </c>
      <c r="H22">
        <v>1.4</v>
      </c>
      <c r="I22">
        <v>2.7149999999999999</v>
      </c>
      <c r="J22" t="s">
        <v>6</v>
      </c>
      <c r="K22" t="str">
        <f>IFERROR(IFERROR(IF(K$5='Conceptos Desglosados'!$H$4,VLOOKUP($A22,dormitorios,2,0),IF(K$5='Conceptos Desglosados'!$H$5,VLOOKUP($A22,comedor,2,0),IF(K$5='Conceptos Desglosados'!$H$6,VLOOKUP($A22,alojamiento,2,0),IF(K$5='Conceptos Desglosados'!$H$7,VLOOKUP($A22,sanidad,2,0),IF(K$5='Conceptos Desglosados'!$H$8,VLOOKUP($A22,servicios,2,0),IF(K$5='Conceptos Desglosados'!$H$9,VLOOKUP($A22,comyaloj,2,0),IF(K$5='Conceptos Desglosados'!$H$10,VLOOKUP($A22,comandancia,2,0),IF(K$5='Conceptos Desglosados'!$H$11,VLOOKUP($A22,mantenimiento,2,0),IF(K$5='Conceptos Desglosados'!$H$12,VLOOKUP($A22,serestatal,2,0),IF(K$5='Conceptos Desglosados'!$H$13,VLOOKUP($A22,conferencias,2,0),"")))))))))),"")*K$3,"")</f>
        <v/>
      </c>
      <c r="L22" t="str">
        <f>IFERROR(IFERROR(IF(L$5='Conceptos Desglosados'!$H$4,VLOOKUP($A22,dormitorios,2,0),IF(L$5='Conceptos Desglosados'!$H$5,VLOOKUP($A22,comedor,2,0),IF(L$5='Conceptos Desglosados'!$H$6,VLOOKUP($A22,alojamiento,2,0),IF(L$5='Conceptos Desglosados'!$H$7,VLOOKUP($A22,sanidad,2,0),IF(L$5='Conceptos Desglosados'!$H$8,VLOOKUP($A22,servicios,2,0),IF(L$5='Conceptos Desglosados'!$H$9,VLOOKUP($A22,comyaloj,2,0),IF(L$5='Conceptos Desglosados'!$H$10,VLOOKUP($A22,comandancia,2,0),IF(L$5='Conceptos Desglosados'!$H$11,VLOOKUP($A22,mantenimiento,2,0),IF(L$5='Conceptos Desglosados'!$H$12,VLOOKUP($A22,serestatal,2,0),IF(L$5='Conceptos Desglosados'!$H$13,VLOOKUP($A22,conferencias,2,0),"")))))))))),"")*L$3,"")</f>
        <v/>
      </c>
      <c r="M22" t="str">
        <f>IFERROR(IFERROR(IF(M$5='Conceptos Desglosados'!$H$4,VLOOKUP($A22,dormitorios,2,0),IF(M$5='Conceptos Desglosados'!$H$5,VLOOKUP($A22,comedor,2,0),IF(M$5='Conceptos Desglosados'!$H$6,VLOOKUP($A22,alojamiento,2,0),IF(M$5='Conceptos Desglosados'!$H$7,VLOOKUP($A22,sanidad,2,0),IF(M$5='Conceptos Desglosados'!$H$8,VLOOKUP($A22,servicios,2,0),IF(M$5='Conceptos Desglosados'!$H$9,VLOOKUP($A22,comyaloj,2,0),IF(M$5='Conceptos Desglosados'!$H$10,VLOOKUP($A22,comandancia,2,0),IF(M$5='Conceptos Desglosados'!$H$11,VLOOKUP($A22,mantenimiento,2,0),IF(M$5='Conceptos Desglosados'!$H$12,VLOOKUP($A22,serestatal,2,0),IF(M$5='Conceptos Desglosados'!$H$13,VLOOKUP($A22,conferencias,2,0),"")))))))))),"")*M$3,"")</f>
        <v/>
      </c>
      <c r="O22">
        <f>SUM(K22:M22)</f>
        <v>0</v>
      </c>
    </row>
    <row r="23" spans="1:15" x14ac:dyDescent="0.35">
      <c r="A23">
        <v>18</v>
      </c>
      <c r="B23" t="s">
        <v>10</v>
      </c>
      <c r="C23" t="s">
        <v>89</v>
      </c>
      <c r="D23" t="s">
        <v>199</v>
      </c>
      <c r="E23" t="s">
        <v>1</v>
      </c>
      <c r="F23" t="s">
        <v>883</v>
      </c>
      <c r="G23" t="s">
        <v>2</v>
      </c>
      <c r="H23">
        <v>1.9750000000000001</v>
      </c>
      <c r="I23">
        <v>2.7149999999999999</v>
      </c>
      <c r="J23" t="s">
        <v>6</v>
      </c>
      <c r="K23" t="str">
        <f>IFERROR(IFERROR(IF(K$5='Conceptos Desglosados'!$H$4,VLOOKUP($A23,dormitorios,2,0),IF(K$5='Conceptos Desglosados'!$H$5,VLOOKUP($A23,comedor,2,0),IF(K$5='Conceptos Desglosados'!$H$6,VLOOKUP($A23,alojamiento,2,0),IF(K$5='Conceptos Desglosados'!$H$7,VLOOKUP($A23,sanidad,2,0),IF(K$5='Conceptos Desglosados'!$H$8,VLOOKUP($A23,servicios,2,0),IF(K$5='Conceptos Desglosados'!$H$9,VLOOKUP($A23,comyaloj,2,0),IF(K$5='Conceptos Desglosados'!$H$10,VLOOKUP($A23,comandancia,2,0),IF(K$5='Conceptos Desglosados'!$H$11,VLOOKUP($A23,mantenimiento,2,0),IF(K$5='Conceptos Desglosados'!$H$12,VLOOKUP($A23,serestatal,2,0),IF(K$5='Conceptos Desglosados'!$H$13,VLOOKUP($A23,conferencias,2,0),"")))))))))),"")*K$3,"")</f>
        <v/>
      </c>
      <c r="L23">
        <f>IFERROR(IFERROR(IF(L$5='Conceptos Desglosados'!$H$4,VLOOKUP($A23,dormitorios,2,0),IF(L$5='Conceptos Desglosados'!$H$5,VLOOKUP($A23,comedor,2,0),IF(L$5='Conceptos Desglosados'!$H$6,VLOOKUP($A23,alojamiento,2,0),IF(L$5='Conceptos Desglosados'!$H$7,VLOOKUP($A23,sanidad,2,0),IF(L$5='Conceptos Desglosados'!$H$8,VLOOKUP($A23,servicios,2,0),IF(L$5='Conceptos Desglosados'!$H$9,VLOOKUP($A23,comyaloj,2,0),IF(L$5='Conceptos Desglosados'!$H$10,VLOOKUP($A23,comandancia,2,0),IF(L$5='Conceptos Desglosados'!$H$11,VLOOKUP($A23,mantenimiento,2,0),IF(L$5='Conceptos Desglosados'!$H$12,VLOOKUP($A23,serestatal,2,0),IF(L$5='Conceptos Desglosados'!$H$13,VLOOKUP($A23,conferencias,2,0),"")))))))))),"")*L$3,"")</f>
        <v>2</v>
      </c>
      <c r="M23" t="str">
        <f>IFERROR(IFERROR(IF(M$5='Conceptos Desglosados'!$H$4,VLOOKUP($A23,dormitorios,2,0),IF(M$5='Conceptos Desglosados'!$H$5,VLOOKUP($A23,comedor,2,0),IF(M$5='Conceptos Desglosados'!$H$6,VLOOKUP($A23,alojamiento,2,0),IF(M$5='Conceptos Desglosados'!$H$7,VLOOKUP($A23,sanidad,2,0),IF(M$5='Conceptos Desglosados'!$H$8,VLOOKUP($A23,servicios,2,0),IF(M$5='Conceptos Desglosados'!$H$9,VLOOKUP($A23,comyaloj,2,0),IF(M$5='Conceptos Desglosados'!$H$10,VLOOKUP($A23,comandancia,2,0),IF(M$5='Conceptos Desglosados'!$H$11,VLOOKUP($A23,mantenimiento,2,0),IF(M$5='Conceptos Desglosados'!$H$12,VLOOKUP($A23,serestatal,2,0),IF(M$5='Conceptos Desglosados'!$H$13,VLOOKUP($A23,conferencias,2,0),"")))))))))),"")*M$3,"")</f>
        <v/>
      </c>
      <c r="O23">
        <f>SUM(K23:M23)</f>
        <v>2</v>
      </c>
    </row>
    <row r="24" spans="1:15" x14ac:dyDescent="0.35">
      <c r="A24">
        <v>19</v>
      </c>
      <c r="B24" t="s">
        <v>10</v>
      </c>
      <c r="C24" t="s">
        <v>90</v>
      </c>
      <c r="D24" t="s">
        <v>200</v>
      </c>
      <c r="E24" t="s">
        <v>1</v>
      </c>
      <c r="F24" t="s">
        <v>883</v>
      </c>
      <c r="G24" t="s">
        <v>0</v>
      </c>
      <c r="H24">
        <v>1.53</v>
      </c>
      <c r="I24">
        <v>2.7149999999999999</v>
      </c>
      <c r="J24" t="s">
        <v>6</v>
      </c>
      <c r="K24" t="str">
        <f>IFERROR(IFERROR(IF(K$5='Conceptos Desglosados'!$H$4,VLOOKUP($A24,dormitorios,2,0),IF(K$5='Conceptos Desglosados'!$H$5,VLOOKUP($A24,comedor,2,0),IF(K$5='Conceptos Desglosados'!$H$6,VLOOKUP($A24,alojamiento,2,0),IF(K$5='Conceptos Desglosados'!$H$7,VLOOKUP($A24,sanidad,2,0),IF(K$5='Conceptos Desglosados'!$H$8,VLOOKUP($A24,servicios,2,0),IF(K$5='Conceptos Desglosados'!$H$9,VLOOKUP($A24,comyaloj,2,0),IF(K$5='Conceptos Desglosados'!$H$10,VLOOKUP($A24,comandancia,2,0),IF(K$5='Conceptos Desglosados'!$H$11,VLOOKUP($A24,mantenimiento,2,0),IF(K$5='Conceptos Desglosados'!$H$12,VLOOKUP($A24,serestatal,2,0),IF(K$5='Conceptos Desglosados'!$H$13,VLOOKUP($A24,conferencias,2,0),"")))))))))),"")*K$3,"")</f>
        <v/>
      </c>
      <c r="L24" t="str">
        <f>IFERROR(IFERROR(IF(L$5='Conceptos Desglosados'!$H$4,VLOOKUP($A24,dormitorios,2,0),IF(L$5='Conceptos Desglosados'!$H$5,VLOOKUP($A24,comedor,2,0),IF(L$5='Conceptos Desglosados'!$H$6,VLOOKUP($A24,alojamiento,2,0),IF(L$5='Conceptos Desglosados'!$H$7,VLOOKUP($A24,sanidad,2,0),IF(L$5='Conceptos Desglosados'!$H$8,VLOOKUP($A24,servicios,2,0),IF(L$5='Conceptos Desglosados'!$H$9,VLOOKUP($A24,comyaloj,2,0),IF(L$5='Conceptos Desglosados'!$H$10,VLOOKUP($A24,comandancia,2,0),IF(L$5='Conceptos Desglosados'!$H$11,VLOOKUP($A24,mantenimiento,2,0),IF(L$5='Conceptos Desglosados'!$H$12,VLOOKUP($A24,serestatal,2,0),IF(L$5='Conceptos Desglosados'!$H$13,VLOOKUP($A24,conferencias,2,0),"")))))))))),"")*L$3,"")</f>
        <v/>
      </c>
      <c r="M24" t="str">
        <f>IFERROR(IFERROR(IF(M$5='Conceptos Desglosados'!$H$4,VLOOKUP($A24,dormitorios,2,0),IF(M$5='Conceptos Desglosados'!$H$5,VLOOKUP($A24,comedor,2,0),IF(M$5='Conceptos Desglosados'!$H$6,VLOOKUP($A24,alojamiento,2,0),IF(M$5='Conceptos Desglosados'!$H$7,VLOOKUP($A24,sanidad,2,0),IF(M$5='Conceptos Desglosados'!$H$8,VLOOKUP($A24,servicios,2,0),IF(M$5='Conceptos Desglosados'!$H$9,VLOOKUP($A24,comyaloj,2,0),IF(M$5='Conceptos Desglosados'!$H$10,VLOOKUP($A24,comandancia,2,0),IF(M$5='Conceptos Desglosados'!$H$11,VLOOKUP($A24,mantenimiento,2,0),IF(M$5='Conceptos Desglosados'!$H$12,VLOOKUP($A24,serestatal,2,0),IF(M$5='Conceptos Desglosados'!$H$13,VLOOKUP($A24,conferencias,2,0),"")))))))))),"")*M$3,"")</f>
        <v/>
      </c>
      <c r="O24">
        <f>SUM(K24:M24)</f>
        <v>0</v>
      </c>
    </row>
    <row r="25" spans="1:15" x14ac:dyDescent="0.35">
      <c r="A25">
        <v>20</v>
      </c>
      <c r="B25" t="s">
        <v>10</v>
      </c>
      <c r="C25" t="s">
        <v>91</v>
      </c>
      <c r="D25" t="s">
        <v>201</v>
      </c>
      <c r="E25" t="s">
        <v>1</v>
      </c>
      <c r="F25" t="s">
        <v>883</v>
      </c>
      <c r="G25" t="s">
        <v>2</v>
      </c>
      <c r="H25">
        <v>0.98</v>
      </c>
      <c r="I25">
        <v>2.7149999999999999</v>
      </c>
      <c r="J25" t="s">
        <v>6</v>
      </c>
      <c r="K25" t="str">
        <f>IFERROR(IFERROR(IF(K$5='Conceptos Desglosados'!$H$4,VLOOKUP($A25,dormitorios,2,0),IF(K$5='Conceptos Desglosados'!$H$5,VLOOKUP($A25,comedor,2,0),IF(K$5='Conceptos Desglosados'!$H$6,VLOOKUP($A25,alojamiento,2,0),IF(K$5='Conceptos Desglosados'!$H$7,VLOOKUP($A25,sanidad,2,0),IF(K$5='Conceptos Desglosados'!$H$8,VLOOKUP($A25,servicios,2,0),IF(K$5='Conceptos Desglosados'!$H$9,VLOOKUP($A25,comyaloj,2,0),IF(K$5='Conceptos Desglosados'!$H$10,VLOOKUP($A25,comandancia,2,0),IF(K$5='Conceptos Desglosados'!$H$11,VLOOKUP($A25,mantenimiento,2,0),IF(K$5='Conceptos Desglosados'!$H$12,VLOOKUP($A25,serestatal,2,0),IF(K$5='Conceptos Desglosados'!$H$13,VLOOKUP($A25,conferencias,2,0),"")))))))))),"")*K$3,"")</f>
        <v/>
      </c>
      <c r="L25" t="str">
        <f>IFERROR(IFERROR(IF(L$5='Conceptos Desglosados'!$H$4,VLOOKUP($A25,dormitorios,2,0),IF(L$5='Conceptos Desglosados'!$H$5,VLOOKUP($A25,comedor,2,0),IF(L$5='Conceptos Desglosados'!$H$6,VLOOKUP($A25,alojamiento,2,0),IF(L$5='Conceptos Desglosados'!$H$7,VLOOKUP($A25,sanidad,2,0),IF(L$5='Conceptos Desglosados'!$H$8,VLOOKUP($A25,servicios,2,0),IF(L$5='Conceptos Desglosados'!$H$9,VLOOKUP($A25,comyaloj,2,0),IF(L$5='Conceptos Desglosados'!$H$10,VLOOKUP($A25,comandancia,2,0),IF(L$5='Conceptos Desglosados'!$H$11,VLOOKUP($A25,mantenimiento,2,0),IF(L$5='Conceptos Desglosados'!$H$12,VLOOKUP($A25,serestatal,2,0),IF(L$5='Conceptos Desglosados'!$H$13,VLOOKUP($A25,conferencias,2,0),"")))))))))),"")*L$3,"")</f>
        <v/>
      </c>
      <c r="M25" t="str">
        <f>IFERROR(IFERROR(IF(M$5='Conceptos Desglosados'!$H$4,VLOOKUP($A25,dormitorios,2,0),IF(M$5='Conceptos Desglosados'!$H$5,VLOOKUP($A25,comedor,2,0),IF(M$5='Conceptos Desglosados'!$H$6,VLOOKUP($A25,alojamiento,2,0),IF(M$5='Conceptos Desglosados'!$H$7,VLOOKUP($A25,sanidad,2,0),IF(M$5='Conceptos Desglosados'!$H$8,VLOOKUP($A25,servicios,2,0),IF(M$5='Conceptos Desglosados'!$H$9,VLOOKUP($A25,comyaloj,2,0),IF(M$5='Conceptos Desglosados'!$H$10,VLOOKUP($A25,comandancia,2,0),IF(M$5='Conceptos Desglosados'!$H$11,VLOOKUP($A25,mantenimiento,2,0),IF(M$5='Conceptos Desglosados'!$H$12,VLOOKUP($A25,serestatal,2,0),IF(M$5='Conceptos Desglosados'!$H$13,VLOOKUP($A25,conferencias,2,0),"")))))))))),"")*M$3,"")</f>
        <v/>
      </c>
      <c r="O25">
        <f>SUM(K25:M25)</f>
        <v>0</v>
      </c>
    </row>
    <row r="26" spans="1:15" x14ac:dyDescent="0.35">
      <c r="A26">
        <v>21</v>
      </c>
      <c r="B26" t="s">
        <v>10</v>
      </c>
      <c r="C26" t="s">
        <v>92</v>
      </c>
      <c r="D26" t="s">
        <v>202</v>
      </c>
      <c r="E26" t="s">
        <v>1</v>
      </c>
      <c r="F26" t="s">
        <v>883</v>
      </c>
      <c r="G26" t="s">
        <v>2</v>
      </c>
      <c r="H26">
        <v>1.7</v>
      </c>
      <c r="I26">
        <v>2.7149999999999999</v>
      </c>
      <c r="J26" t="s">
        <v>6</v>
      </c>
      <c r="K26" t="str">
        <f>IFERROR(IFERROR(IF(K$5='Conceptos Desglosados'!$H$4,VLOOKUP($A26,dormitorios,2,0),IF(K$5='Conceptos Desglosados'!$H$5,VLOOKUP($A26,comedor,2,0),IF(K$5='Conceptos Desglosados'!$H$6,VLOOKUP($A26,alojamiento,2,0),IF(K$5='Conceptos Desglosados'!$H$7,VLOOKUP($A26,sanidad,2,0),IF(K$5='Conceptos Desglosados'!$H$8,VLOOKUP($A26,servicios,2,0),IF(K$5='Conceptos Desglosados'!$H$9,VLOOKUP($A26,comyaloj,2,0),IF(K$5='Conceptos Desglosados'!$H$10,VLOOKUP($A26,comandancia,2,0),IF(K$5='Conceptos Desglosados'!$H$11,VLOOKUP($A26,mantenimiento,2,0),IF(K$5='Conceptos Desglosados'!$H$12,VLOOKUP($A26,serestatal,2,0),IF(K$5='Conceptos Desglosados'!$H$13,VLOOKUP($A26,conferencias,2,0),"")))))))))),"")*K$3,"")</f>
        <v/>
      </c>
      <c r="L26" t="str">
        <f>IFERROR(IFERROR(IF(L$5='Conceptos Desglosados'!$H$4,VLOOKUP($A26,dormitorios,2,0),IF(L$5='Conceptos Desglosados'!$H$5,VLOOKUP($A26,comedor,2,0),IF(L$5='Conceptos Desglosados'!$H$6,VLOOKUP($A26,alojamiento,2,0),IF(L$5='Conceptos Desglosados'!$H$7,VLOOKUP($A26,sanidad,2,0),IF(L$5='Conceptos Desglosados'!$H$8,VLOOKUP($A26,servicios,2,0),IF(L$5='Conceptos Desglosados'!$H$9,VLOOKUP($A26,comyaloj,2,0),IF(L$5='Conceptos Desglosados'!$H$10,VLOOKUP($A26,comandancia,2,0),IF(L$5='Conceptos Desglosados'!$H$11,VLOOKUP($A26,mantenimiento,2,0),IF(L$5='Conceptos Desglosados'!$H$12,VLOOKUP($A26,serestatal,2,0),IF(L$5='Conceptos Desglosados'!$H$13,VLOOKUP($A26,conferencias,2,0),"")))))))))),"")*L$3,"")</f>
        <v/>
      </c>
      <c r="M26" t="str">
        <f>IFERROR(IFERROR(IF(M$5='Conceptos Desglosados'!$H$4,VLOOKUP($A26,dormitorios,2,0),IF(M$5='Conceptos Desglosados'!$H$5,VLOOKUP($A26,comedor,2,0),IF(M$5='Conceptos Desglosados'!$H$6,VLOOKUP($A26,alojamiento,2,0),IF(M$5='Conceptos Desglosados'!$H$7,VLOOKUP($A26,sanidad,2,0),IF(M$5='Conceptos Desglosados'!$H$8,VLOOKUP($A26,servicios,2,0),IF(M$5='Conceptos Desglosados'!$H$9,VLOOKUP($A26,comyaloj,2,0),IF(M$5='Conceptos Desglosados'!$H$10,VLOOKUP($A26,comandancia,2,0),IF(M$5='Conceptos Desglosados'!$H$11,VLOOKUP($A26,mantenimiento,2,0),IF(M$5='Conceptos Desglosados'!$H$12,VLOOKUP($A26,serestatal,2,0),IF(M$5='Conceptos Desglosados'!$H$13,VLOOKUP($A26,conferencias,2,0),"")))))))))),"")*M$3,"")</f>
        <v/>
      </c>
      <c r="O26">
        <f>SUM(K26:M26)</f>
        <v>0</v>
      </c>
    </row>
    <row r="27" spans="1:15" x14ac:dyDescent="0.35">
      <c r="A27">
        <v>22</v>
      </c>
      <c r="B27" t="s">
        <v>10</v>
      </c>
      <c r="C27" t="s">
        <v>93</v>
      </c>
      <c r="D27" t="s">
        <v>203</v>
      </c>
      <c r="E27" t="s">
        <v>1</v>
      </c>
      <c r="F27" t="s">
        <v>883</v>
      </c>
      <c r="G27" t="s">
        <v>0</v>
      </c>
      <c r="H27">
        <v>1.05</v>
      </c>
      <c r="I27">
        <v>2.7149999999999999</v>
      </c>
      <c r="J27" t="s">
        <v>6</v>
      </c>
      <c r="K27" t="str">
        <f>IFERROR(IFERROR(IF(K$5='Conceptos Desglosados'!$H$4,VLOOKUP($A27,dormitorios,2,0),IF(K$5='Conceptos Desglosados'!$H$5,VLOOKUP($A27,comedor,2,0),IF(K$5='Conceptos Desglosados'!$H$6,VLOOKUP($A27,alojamiento,2,0),IF(K$5='Conceptos Desglosados'!$H$7,VLOOKUP($A27,sanidad,2,0),IF(K$5='Conceptos Desglosados'!$H$8,VLOOKUP($A27,servicios,2,0),IF(K$5='Conceptos Desglosados'!$H$9,VLOOKUP($A27,comyaloj,2,0),IF(K$5='Conceptos Desglosados'!$H$10,VLOOKUP($A27,comandancia,2,0),IF(K$5='Conceptos Desglosados'!$H$11,VLOOKUP($A27,mantenimiento,2,0),IF(K$5='Conceptos Desglosados'!$H$12,VLOOKUP($A27,serestatal,2,0),IF(K$5='Conceptos Desglosados'!$H$13,VLOOKUP($A27,conferencias,2,0),"")))))))))),"")*K$3,"")</f>
        <v/>
      </c>
      <c r="L27" t="str">
        <f>IFERROR(IFERROR(IF(L$5='Conceptos Desglosados'!$H$4,VLOOKUP($A27,dormitorios,2,0),IF(L$5='Conceptos Desglosados'!$H$5,VLOOKUP($A27,comedor,2,0),IF(L$5='Conceptos Desglosados'!$H$6,VLOOKUP($A27,alojamiento,2,0),IF(L$5='Conceptos Desglosados'!$H$7,VLOOKUP($A27,sanidad,2,0),IF(L$5='Conceptos Desglosados'!$H$8,VLOOKUP($A27,servicios,2,0),IF(L$5='Conceptos Desglosados'!$H$9,VLOOKUP($A27,comyaloj,2,0),IF(L$5='Conceptos Desglosados'!$H$10,VLOOKUP($A27,comandancia,2,0),IF(L$5='Conceptos Desglosados'!$H$11,VLOOKUP($A27,mantenimiento,2,0),IF(L$5='Conceptos Desglosados'!$H$12,VLOOKUP($A27,serestatal,2,0),IF(L$5='Conceptos Desglosados'!$H$13,VLOOKUP($A27,conferencias,2,0),"")))))))))),"")*L$3,"")</f>
        <v/>
      </c>
      <c r="M27" t="str">
        <f>IFERROR(IFERROR(IF(M$5='Conceptos Desglosados'!$H$4,VLOOKUP($A27,dormitorios,2,0),IF(M$5='Conceptos Desglosados'!$H$5,VLOOKUP($A27,comedor,2,0),IF(M$5='Conceptos Desglosados'!$H$6,VLOOKUP($A27,alojamiento,2,0),IF(M$5='Conceptos Desglosados'!$H$7,VLOOKUP($A27,sanidad,2,0),IF(M$5='Conceptos Desglosados'!$H$8,VLOOKUP($A27,servicios,2,0),IF(M$5='Conceptos Desglosados'!$H$9,VLOOKUP($A27,comyaloj,2,0),IF(M$5='Conceptos Desglosados'!$H$10,VLOOKUP($A27,comandancia,2,0),IF(M$5='Conceptos Desglosados'!$H$11,VLOOKUP($A27,mantenimiento,2,0),IF(M$5='Conceptos Desglosados'!$H$12,VLOOKUP($A27,serestatal,2,0),IF(M$5='Conceptos Desglosados'!$H$13,VLOOKUP($A27,conferencias,2,0),"")))))))))),"")*M$3,"")</f>
        <v/>
      </c>
      <c r="O27">
        <f>SUM(K27:M27)</f>
        <v>0</v>
      </c>
    </row>
    <row r="28" spans="1:15" x14ac:dyDescent="0.35">
      <c r="A28">
        <v>23</v>
      </c>
      <c r="B28" t="s">
        <v>10</v>
      </c>
      <c r="C28" t="s">
        <v>94</v>
      </c>
      <c r="D28" t="s">
        <v>204</v>
      </c>
      <c r="E28" t="s">
        <v>1</v>
      </c>
      <c r="F28" t="s">
        <v>883</v>
      </c>
      <c r="G28" t="s">
        <v>0</v>
      </c>
      <c r="H28">
        <v>1.18</v>
      </c>
      <c r="I28">
        <v>2.7149999999999999</v>
      </c>
      <c r="J28" t="s">
        <v>6</v>
      </c>
      <c r="K28" t="str">
        <f>IFERROR(IFERROR(IF(K$5='Conceptos Desglosados'!$H$4,VLOOKUP($A28,dormitorios,2,0),IF(K$5='Conceptos Desglosados'!$H$5,VLOOKUP($A28,comedor,2,0),IF(K$5='Conceptos Desglosados'!$H$6,VLOOKUP($A28,alojamiento,2,0),IF(K$5='Conceptos Desglosados'!$H$7,VLOOKUP($A28,sanidad,2,0),IF(K$5='Conceptos Desglosados'!$H$8,VLOOKUP($A28,servicios,2,0),IF(K$5='Conceptos Desglosados'!$H$9,VLOOKUP($A28,comyaloj,2,0),IF(K$5='Conceptos Desglosados'!$H$10,VLOOKUP($A28,comandancia,2,0),IF(K$5='Conceptos Desglosados'!$H$11,VLOOKUP($A28,mantenimiento,2,0),IF(K$5='Conceptos Desglosados'!$H$12,VLOOKUP($A28,serestatal,2,0),IF(K$5='Conceptos Desglosados'!$H$13,VLOOKUP($A28,conferencias,2,0),"")))))))))),"")*K$3,"")</f>
        <v/>
      </c>
      <c r="L28" t="str">
        <f>IFERROR(IFERROR(IF(L$5='Conceptos Desglosados'!$H$4,VLOOKUP($A28,dormitorios,2,0),IF(L$5='Conceptos Desglosados'!$H$5,VLOOKUP($A28,comedor,2,0),IF(L$5='Conceptos Desglosados'!$H$6,VLOOKUP($A28,alojamiento,2,0),IF(L$5='Conceptos Desglosados'!$H$7,VLOOKUP($A28,sanidad,2,0),IF(L$5='Conceptos Desglosados'!$H$8,VLOOKUP($A28,servicios,2,0),IF(L$5='Conceptos Desglosados'!$H$9,VLOOKUP($A28,comyaloj,2,0),IF(L$5='Conceptos Desglosados'!$H$10,VLOOKUP($A28,comandancia,2,0),IF(L$5='Conceptos Desglosados'!$H$11,VLOOKUP($A28,mantenimiento,2,0),IF(L$5='Conceptos Desglosados'!$H$12,VLOOKUP($A28,serestatal,2,0),IF(L$5='Conceptos Desglosados'!$H$13,VLOOKUP($A28,conferencias,2,0),"")))))))))),"")*L$3,"")</f>
        <v/>
      </c>
      <c r="M28" t="str">
        <f>IFERROR(IFERROR(IF(M$5='Conceptos Desglosados'!$H$4,VLOOKUP($A28,dormitorios,2,0),IF(M$5='Conceptos Desglosados'!$H$5,VLOOKUP($A28,comedor,2,0),IF(M$5='Conceptos Desglosados'!$H$6,VLOOKUP($A28,alojamiento,2,0),IF(M$5='Conceptos Desglosados'!$H$7,VLOOKUP($A28,sanidad,2,0),IF(M$5='Conceptos Desglosados'!$H$8,VLOOKUP($A28,servicios,2,0),IF(M$5='Conceptos Desglosados'!$H$9,VLOOKUP($A28,comyaloj,2,0),IF(M$5='Conceptos Desglosados'!$H$10,VLOOKUP($A28,comandancia,2,0),IF(M$5='Conceptos Desglosados'!$H$11,VLOOKUP($A28,mantenimiento,2,0),IF(M$5='Conceptos Desglosados'!$H$12,VLOOKUP($A28,serestatal,2,0),IF(M$5='Conceptos Desglosados'!$H$13,VLOOKUP($A28,conferencias,2,0),"")))))))))),"")*M$3,"")</f>
        <v/>
      </c>
      <c r="O28">
        <f>SUM(K28:M28)</f>
        <v>0</v>
      </c>
    </row>
    <row r="29" spans="1:15" x14ac:dyDescent="0.35">
      <c r="A29">
        <v>24</v>
      </c>
      <c r="B29" t="s">
        <v>10</v>
      </c>
      <c r="C29" t="s">
        <v>105</v>
      </c>
      <c r="D29" t="s">
        <v>205</v>
      </c>
      <c r="E29" t="s">
        <v>1</v>
      </c>
      <c r="F29" t="s">
        <v>883</v>
      </c>
      <c r="G29" t="s">
        <v>0</v>
      </c>
      <c r="H29">
        <v>1.1599999999999999</v>
      </c>
      <c r="I29">
        <v>2.7149999999999999</v>
      </c>
      <c r="J29" t="s">
        <v>6</v>
      </c>
      <c r="K29" t="str">
        <f>IFERROR(IFERROR(IF(K$5='Conceptos Desglosados'!$H$4,VLOOKUP($A29,dormitorios,2,0),IF(K$5='Conceptos Desglosados'!$H$5,VLOOKUP($A29,comedor,2,0),IF(K$5='Conceptos Desglosados'!$H$6,VLOOKUP($A29,alojamiento,2,0),IF(K$5='Conceptos Desglosados'!$H$7,VLOOKUP($A29,sanidad,2,0),IF(K$5='Conceptos Desglosados'!$H$8,VLOOKUP($A29,servicios,2,0),IF(K$5='Conceptos Desglosados'!$H$9,VLOOKUP($A29,comyaloj,2,0),IF(K$5='Conceptos Desglosados'!$H$10,VLOOKUP($A29,comandancia,2,0),IF(K$5='Conceptos Desglosados'!$H$11,VLOOKUP($A29,mantenimiento,2,0),IF(K$5='Conceptos Desglosados'!$H$12,VLOOKUP($A29,serestatal,2,0),IF(K$5='Conceptos Desglosados'!$H$13,VLOOKUP($A29,conferencias,2,0),"")))))))))),"")*K$3,"")</f>
        <v/>
      </c>
      <c r="L29" t="str">
        <f>IFERROR(IFERROR(IF(L$5='Conceptos Desglosados'!$H$4,VLOOKUP($A29,dormitorios,2,0),IF(L$5='Conceptos Desglosados'!$H$5,VLOOKUP($A29,comedor,2,0),IF(L$5='Conceptos Desglosados'!$H$6,VLOOKUP($A29,alojamiento,2,0),IF(L$5='Conceptos Desglosados'!$H$7,VLOOKUP($A29,sanidad,2,0),IF(L$5='Conceptos Desglosados'!$H$8,VLOOKUP($A29,servicios,2,0),IF(L$5='Conceptos Desglosados'!$H$9,VLOOKUP($A29,comyaloj,2,0),IF(L$5='Conceptos Desglosados'!$H$10,VLOOKUP($A29,comandancia,2,0),IF(L$5='Conceptos Desglosados'!$H$11,VLOOKUP($A29,mantenimiento,2,0),IF(L$5='Conceptos Desglosados'!$H$12,VLOOKUP($A29,serestatal,2,0),IF(L$5='Conceptos Desglosados'!$H$13,VLOOKUP($A29,conferencias,2,0),"")))))))))),"")*L$3,"")</f>
        <v/>
      </c>
      <c r="M29" t="str">
        <f>IFERROR(IFERROR(IF(M$5='Conceptos Desglosados'!$H$4,VLOOKUP($A29,dormitorios,2,0),IF(M$5='Conceptos Desglosados'!$H$5,VLOOKUP($A29,comedor,2,0),IF(M$5='Conceptos Desglosados'!$H$6,VLOOKUP($A29,alojamiento,2,0),IF(M$5='Conceptos Desglosados'!$H$7,VLOOKUP($A29,sanidad,2,0),IF(M$5='Conceptos Desglosados'!$H$8,VLOOKUP($A29,servicios,2,0),IF(M$5='Conceptos Desglosados'!$H$9,VLOOKUP($A29,comyaloj,2,0),IF(M$5='Conceptos Desglosados'!$H$10,VLOOKUP($A29,comandancia,2,0),IF(M$5='Conceptos Desglosados'!$H$11,VLOOKUP($A29,mantenimiento,2,0),IF(M$5='Conceptos Desglosados'!$H$12,VLOOKUP($A29,serestatal,2,0),IF(M$5='Conceptos Desglosados'!$H$13,VLOOKUP($A29,conferencias,2,0),"")))))))))),"")*M$3,"")</f>
        <v/>
      </c>
      <c r="O29">
        <f>SUM(K29:M29)</f>
        <v>0</v>
      </c>
    </row>
    <row r="30" spans="1:15" x14ac:dyDescent="0.35">
      <c r="A30">
        <v>25</v>
      </c>
      <c r="B30" t="s">
        <v>10</v>
      </c>
      <c r="C30" t="s">
        <v>106</v>
      </c>
      <c r="D30" t="s">
        <v>206</v>
      </c>
      <c r="E30" t="s">
        <v>1</v>
      </c>
      <c r="F30" t="s">
        <v>883</v>
      </c>
      <c r="G30" t="s">
        <v>2</v>
      </c>
      <c r="H30">
        <v>0.91</v>
      </c>
      <c r="I30">
        <v>2.7149999999999999</v>
      </c>
      <c r="J30" t="s">
        <v>6</v>
      </c>
      <c r="K30" t="str">
        <f>IFERROR(IFERROR(IF(K$5='Conceptos Desglosados'!$H$4,VLOOKUP($A30,dormitorios,2,0),IF(K$5='Conceptos Desglosados'!$H$5,VLOOKUP($A30,comedor,2,0),IF(K$5='Conceptos Desglosados'!$H$6,VLOOKUP($A30,alojamiento,2,0),IF(K$5='Conceptos Desglosados'!$H$7,VLOOKUP($A30,sanidad,2,0),IF(K$5='Conceptos Desglosados'!$H$8,VLOOKUP($A30,servicios,2,0),IF(K$5='Conceptos Desglosados'!$H$9,VLOOKUP($A30,comyaloj,2,0),IF(K$5='Conceptos Desglosados'!$H$10,VLOOKUP($A30,comandancia,2,0),IF(K$5='Conceptos Desglosados'!$H$11,VLOOKUP($A30,mantenimiento,2,0),IF(K$5='Conceptos Desglosados'!$H$12,VLOOKUP($A30,serestatal,2,0),IF(K$5='Conceptos Desglosados'!$H$13,VLOOKUP($A30,conferencias,2,0),"")))))))))),"")*K$3,"")</f>
        <v/>
      </c>
      <c r="L30" t="str">
        <f>IFERROR(IFERROR(IF(L$5='Conceptos Desglosados'!$H$4,VLOOKUP($A30,dormitorios,2,0),IF(L$5='Conceptos Desglosados'!$H$5,VLOOKUP($A30,comedor,2,0),IF(L$5='Conceptos Desglosados'!$H$6,VLOOKUP($A30,alojamiento,2,0),IF(L$5='Conceptos Desglosados'!$H$7,VLOOKUP($A30,sanidad,2,0),IF(L$5='Conceptos Desglosados'!$H$8,VLOOKUP($A30,servicios,2,0),IF(L$5='Conceptos Desglosados'!$H$9,VLOOKUP($A30,comyaloj,2,0),IF(L$5='Conceptos Desglosados'!$H$10,VLOOKUP($A30,comandancia,2,0),IF(L$5='Conceptos Desglosados'!$H$11,VLOOKUP($A30,mantenimiento,2,0),IF(L$5='Conceptos Desglosados'!$H$12,VLOOKUP($A30,serestatal,2,0),IF(L$5='Conceptos Desglosados'!$H$13,VLOOKUP($A30,conferencias,2,0),"")))))))))),"")*L$3,"")</f>
        <v/>
      </c>
      <c r="M30" t="str">
        <f>IFERROR(IFERROR(IF(M$5='Conceptos Desglosados'!$H$4,VLOOKUP($A30,dormitorios,2,0),IF(M$5='Conceptos Desglosados'!$H$5,VLOOKUP($A30,comedor,2,0),IF(M$5='Conceptos Desglosados'!$H$6,VLOOKUP($A30,alojamiento,2,0),IF(M$5='Conceptos Desglosados'!$H$7,VLOOKUP($A30,sanidad,2,0),IF(M$5='Conceptos Desglosados'!$H$8,VLOOKUP($A30,servicios,2,0),IF(M$5='Conceptos Desglosados'!$H$9,VLOOKUP($A30,comyaloj,2,0),IF(M$5='Conceptos Desglosados'!$H$10,VLOOKUP($A30,comandancia,2,0),IF(M$5='Conceptos Desglosados'!$H$11,VLOOKUP($A30,mantenimiento,2,0),IF(M$5='Conceptos Desglosados'!$H$12,VLOOKUP($A30,serestatal,2,0),IF(M$5='Conceptos Desglosados'!$H$13,VLOOKUP($A30,conferencias,2,0),"")))))))))),"")*M$3,"")</f>
        <v/>
      </c>
      <c r="O30">
        <f>SUM(K30:M30)</f>
        <v>0</v>
      </c>
    </row>
    <row r="31" spans="1:15" x14ac:dyDescent="0.35">
      <c r="A31">
        <v>26</v>
      </c>
      <c r="B31" t="s">
        <v>10</v>
      </c>
      <c r="C31" t="s">
        <v>107</v>
      </c>
      <c r="D31" t="s">
        <v>207</v>
      </c>
      <c r="E31" t="s">
        <v>1</v>
      </c>
      <c r="F31" t="s">
        <v>883</v>
      </c>
      <c r="G31" t="s">
        <v>0</v>
      </c>
      <c r="H31">
        <v>0.91</v>
      </c>
      <c r="I31">
        <v>2.7149999999999999</v>
      </c>
      <c r="J31" t="s">
        <v>6</v>
      </c>
      <c r="K31" t="str">
        <f>IFERROR(IFERROR(IF(K$5='Conceptos Desglosados'!$H$4,VLOOKUP($A31,dormitorios,2,0),IF(K$5='Conceptos Desglosados'!$H$5,VLOOKUP($A31,comedor,2,0),IF(K$5='Conceptos Desglosados'!$H$6,VLOOKUP($A31,alojamiento,2,0),IF(K$5='Conceptos Desglosados'!$H$7,VLOOKUP($A31,sanidad,2,0),IF(K$5='Conceptos Desglosados'!$H$8,VLOOKUP($A31,servicios,2,0),IF(K$5='Conceptos Desglosados'!$H$9,VLOOKUP($A31,comyaloj,2,0),IF(K$5='Conceptos Desglosados'!$H$10,VLOOKUP($A31,comandancia,2,0),IF(K$5='Conceptos Desglosados'!$H$11,VLOOKUP($A31,mantenimiento,2,0),IF(K$5='Conceptos Desglosados'!$H$12,VLOOKUP($A31,serestatal,2,0),IF(K$5='Conceptos Desglosados'!$H$13,VLOOKUP($A31,conferencias,2,0),"")))))))))),"")*K$3,"")</f>
        <v/>
      </c>
      <c r="L31" t="str">
        <f>IFERROR(IFERROR(IF(L$5='Conceptos Desglosados'!$H$4,VLOOKUP($A31,dormitorios,2,0),IF(L$5='Conceptos Desglosados'!$H$5,VLOOKUP($A31,comedor,2,0),IF(L$5='Conceptos Desglosados'!$H$6,VLOOKUP($A31,alojamiento,2,0),IF(L$5='Conceptos Desglosados'!$H$7,VLOOKUP($A31,sanidad,2,0),IF(L$5='Conceptos Desglosados'!$H$8,VLOOKUP($A31,servicios,2,0),IF(L$5='Conceptos Desglosados'!$H$9,VLOOKUP($A31,comyaloj,2,0),IF(L$5='Conceptos Desglosados'!$H$10,VLOOKUP($A31,comandancia,2,0),IF(L$5='Conceptos Desglosados'!$H$11,VLOOKUP($A31,mantenimiento,2,0),IF(L$5='Conceptos Desglosados'!$H$12,VLOOKUP($A31,serestatal,2,0),IF(L$5='Conceptos Desglosados'!$H$13,VLOOKUP($A31,conferencias,2,0),"")))))))))),"")*L$3,"")</f>
        <v/>
      </c>
      <c r="M31" t="str">
        <f>IFERROR(IFERROR(IF(M$5='Conceptos Desglosados'!$H$4,VLOOKUP($A31,dormitorios,2,0),IF(M$5='Conceptos Desglosados'!$H$5,VLOOKUP($A31,comedor,2,0),IF(M$5='Conceptos Desglosados'!$H$6,VLOOKUP($A31,alojamiento,2,0),IF(M$5='Conceptos Desglosados'!$H$7,VLOOKUP($A31,sanidad,2,0),IF(M$5='Conceptos Desglosados'!$H$8,VLOOKUP($A31,servicios,2,0),IF(M$5='Conceptos Desglosados'!$H$9,VLOOKUP($A31,comyaloj,2,0),IF(M$5='Conceptos Desglosados'!$H$10,VLOOKUP($A31,comandancia,2,0),IF(M$5='Conceptos Desglosados'!$H$11,VLOOKUP($A31,mantenimiento,2,0),IF(M$5='Conceptos Desglosados'!$H$12,VLOOKUP($A31,serestatal,2,0),IF(M$5='Conceptos Desglosados'!$H$13,VLOOKUP($A31,conferencias,2,0),"")))))))))),"")*M$3,"")</f>
        <v/>
      </c>
      <c r="O31">
        <f>SUM(K31:M31)</f>
        <v>0</v>
      </c>
    </row>
    <row r="32" spans="1:15" x14ac:dyDescent="0.35">
      <c r="A32">
        <v>27</v>
      </c>
      <c r="B32" t="s">
        <v>10</v>
      </c>
      <c r="C32" t="s">
        <v>108</v>
      </c>
      <c r="D32" t="s">
        <v>208</v>
      </c>
      <c r="E32" t="s">
        <v>1</v>
      </c>
      <c r="F32" t="s">
        <v>883</v>
      </c>
      <c r="G32" t="s">
        <v>2</v>
      </c>
      <c r="H32">
        <v>2.02</v>
      </c>
      <c r="I32">
        <v>2.7149999999999999</v>
      </c>
      <c r="J32" t="s">
        <v>6</v>
      </c>
      <c r="K32" t="str">
        <f>IFERROR(IFERROR(IF(K$5='Conceptos Desglosados'!$H$4,VLOOKUP($A32,dormitorios,2,0),IF(K$5='Conceptos Desglosados'!$H$5,VLOOKUP($A32,comedor,2,0),IF(K$5='Conceptos Desglosados'!$H$6,VLOOKUP($A32,alojamiento,2,0),IF(K$5='Conceptos Desglosados'!$H$7,VLOOKUP($A32,sanidad,2,0),IF(K$5='Conceptos Desglosados'!$H$8,VLOOKUP($A32,servicios,2,0),IF(K$5='Conceptos Desglosados'!$H$9,VLOOKUP($A32,comyaloj,2,0),IF(K$5='Conceptos Desglosados'!$H$10,VLOOKUP($A32,comandancia,2,0),IF(K$5='Conceptos Desglosados'!$H$11,VLOOKUP($A32,mantenimiento,2,0),IF(K$5='Conceptos Desglosados'!$H$12,VLOOKUP($A32,serestatal,2,0),IF(K$5='Conceptos Desglosados'!$H$13,VLOOKUP($A32,conferencias,2,0),"")))))))))),"")*K$3,"")</f>
        <v/>
      </c>
      <c r="L32">
        <f>IFERROR(IFERROR(IF(L$5='Conceptos Desglosados'!$H$4,VLOOKUP($A32,dormitorios,2,0),IF(L$5='Conceptos Desglosados'!$H$5,VLOOKUP($A32,comedor,2,0),IF(L$5='Conceptos Desglosados'!$H$6,VLOOKUP($A32,alojamiento,2,0),IF(L$5='Conceptos Desglosados'!$H$7,VLOOKUP($A32,sanidad,2,0),IF(L$5='Conceptos Desglosados'!$H$8,VLOOKUP($A32,servicios,2,0),IF(L$5='Conceptos Desglosados'!$H$9,VLOOKUP($A32,comyaloj,2,0),IF(L$5='Conceptos Desglosados'!$H$10,VLOOKUP($A32,comandancia,2,0),IF(L$5='Conceptos Desglosados'!$H$11,VLOOKUP($A32,mantenimiento,2,0),IF(L$5='Conceptos Desglosados'!$H$12,VLOOKUP($A32,serestatal,2,0),IF(L$5='Conceptos Desglosados'!$H$13,VLOOKUP($A32,conferencias,2,0),"")))))))))),"")*L$3,"")</f>
        <v>1</v>
      </c>
      <c r="M32" t="str">
        <f>IFERROR(IFERROR(IF(M$5='Conceptos Desglosados'!$H$4,VLOOKUP($A32,dormitorios,2,0),IF(M$5='Conceptos Desglosados'!$H$5,VLOOKUP($A32,comedor,2,0),IF(M$5='Conceptos Desglosados'!$H$6,VLOOKUP($A32,alojamiento,2,0),IF(M$5='Conceptos Desglosados'!$H$7,VLOOKUP($A32,sanidad,2,0),IF(M$5='Conceptos Desglosados'!$H$8,VLOOKUP($A32,servicios,2,0),IF(M$5='Conceptos Desglosados'!$H$9,VLOOKUP($A32,comyaloj,2,0),IF(M$5='Conceptos Desglosados'!$H$10,VLOOKUP($A32,comandancia,2,0),IF(M$5='Conceptos Desglosados'!$H$11,VLOOKUP($A32,mantenimiento,2,0),IF(M$5='Conceptos Desglosados'!$H$12,VLOOKUP($A32,serestatal,2,0),IF(M$5='Conceptos Desglosados'!$H$13,VLOOKUP($A32,conferencias,2,0),"")))))))))),"")*M$3,"")</f>
        <v/>
      </c>
      <c r="O32">
        <f>SUM(K32:M32)</f>
        <v>1</v>
      </c>
    </row>
    <row r="33" spans="1:15" x14ac:dyDescent="0.35">
      <c r="A33">
        <v>28</v>
      </c>
      <c r="B33" t="s">
        <v>10</v>
      </c>
      <c r="C33" t="s">
        <v>109</v>
      </c>
      <c r="D33" t="s">
        <v>209</v>
      </c>
      <c r="E33" t="s">
        <v>1</v>
      </c>
      <c r="F33" t="s">
        <v>883</v>
      </c>
      <c r="G33" t="s">
        <v>0</v>
      </c>
      <c r="H33">
        <v>1.85</v>
      </c>
      <c r="I33">
        <v>2.7149999999999999</v>
      </c>
      <c r="J33" t="s">
        <v>6</v>
      </c>
      <c r="K33" t="str">
        <f>IFERROR(IFERROR(IF(K$5='Conceptos Desglosados'!$H$4,VLOOKUP($A33,dormitorios,2,0),IF(K$5='Conceptos Desglosados'!$H$5,VLOOKUP($A33,comedor,2,0),IF(K$5='Conceptos Desglosados'!$H$6,VLOOKUP($A33,alojamiento,2,0),IF(K$5='Conceptos Desglosados'!$H$7,VLOOKUP($A33,sanidad,2,0),IF(K$5='Conceptos Desglosados'!$H$8,VLOOKUP($A33,servicios,2,0),IF(K$5='Conceptos Desglosados'!$H$9,VLOOKUP($A33,comyaloj,2,0),IF(K$5='Conceptos Desglosados'!$H$10,VLOOKUP($A33,comandancia,2,0),IF(K$5='Conceptos Desglosados'!$H$11,VLOOKUP($A33,mantenimiento,2,0),IF(K$5='Conceptos Desglosados'!$H$12,VLOOKUP($A33,serestatal,2,0),IF(K$5='Conceptos Desglosados'!$H$13,VLOOKUP($A33,conferencias,2,0),"")))))))))),"")*K$3,"")</f>
        <v/>
      </c>
      <c r="L33" t="str">
        <f>IFERROR(IFERROR(IF(L$5='Conceptos Desglosados'!$H$4,VLOOKUP($A33,dormitorios,2,0),IF(L$5='Conceptos Desglosados'!$H$5,VLOOKUP($A33,comedor,2,0),IF(L$5='Conceptos Desglosados'!$H$6,VLOOKUP($A33,alojamiento,2,0),IF(L$5='Conceptos Desglosados'!$H$7,VLOOKUP($A33,sanidad,2,0),IF(L$5='Conceptos Desglosados'!$H$8,VLOOKUP($A33,servicios,2,0),IF(L$5='Conceptos Desglosados'!$H$9,VLOOKUP($A33,comyaloj,2,0),IF(L$5='Conceptos Desglosados'!$H$10,VLOOKUP($A33,comandancia,2,0),IF(L$5='Conceptos Desglosados'!$H$11,VLOOKUP($A33,mantenimiento,2,0),IF(L$5='Conceptos Desglosados'!$H$12,VLOOKUP($A33,serestatal,2,0),IF(L$5='Conceptos Desglosados'!$H$13,VLOOKUP($A33,conferencias,2,0),"")))))))))),"")*L$3,"")</f>
        <v/>
      </c>
      <c r="M33" t="str">
        <f>IFERROR(IFERROR(IF(M$5='Conceptos Desglosados'!$H$4,VLOOKUP($A33,dormitorios,2,0),IF(M$5='Conceptos Desglosados'!$H$5,VLOOKUP($A33,comedor,2,0),IF(M$5='Conceptos Desglosados'!$H$6,VLOOKUP($A33,alojamiento,2,0),IF(M$5='Conceptos Desglosados'!$H$7,VLOOKUP($A33,sanidad,2,0),IF(M$5='Conceptos Desglosados'!$H$8,VLOOKUP($A33,servicios,2,0),IF(M$5='Conceptos Desglosados'!$H$9,VLOOKUP($A33,comyaloj,2,0),IF(M$5='Conceptos Desglosados'!$H$10,VLOOKUP($A33,comandancia,2,0),IF(M$5='Conceptos Desglosados'!$H$11,VLOOKUP($A33,mantenimiento,2,0),IF(M$5='Conceptos Desglosados'!$H$12,VLOOKUP($A33,serestatal,2,0),IF(M$5='Conceptos Desglosados'!$H$13,VLOOKUP($A33,conferencias,2,0),"")))))))))),"")*M$3,"")</f>
        <v/>
      </c>
      <c r="O33">
        <f>SUM(K33:M33)</f>
        <v>0</v>
      </c>
    </row>
    <row r="34" spans="1:15" x14ac:dyDescent="0.35">
      <c r="A34">
        <v>29</v>
      </c>
      <c r="B34" t="s">
        <v>10</v>
      </c>
      <c r="C34" t="s">
        <v>110</v>
      </c>
      <c r="D34" t="s">
        <v>210</v>
      </c>
      <c r="E34" t="s">
        <v>1</v>
      </c>
      <c r="F34" t="s">
        <v>883</v>
      </c>
      <c r="G34" t="s">
        <v>2</v>
      </c>
      <c r="H34">
        <v>1.87</v>
      </c>
      <c r="I34">
        <v>2.7149999999999999</v>
      </c>
      <c r="J34" t="s">
        <v>6</v>
      </c>
      <c r="K34" t="str">
        <f>IFERROR(IFERROR(IF(K$5='Conceptos Desglosados'!$H$4,VLOOKUP($A34,dormitorios,2,0),IF(K$5='Conceptos Desglosados'!$H$5,VLOOKUP($A34,comedor,2,0),IF(K$5='Conceptos Desglosados'!$H$6,VLOOKUP($A34,alojamiento,2,0),IF(K$5='Conceptos Desglosados'!$H$7,VLOOKUP($A34,sanidad,2,0),IF(K$5='Conceptos Desglosados'!$H$8,VLOOKUP($A34,servicios,2,0),IF(K$5='Conceptos Desglosados'!$H$9,VLOOKUP($A34,comyaloj,2,0),IF(K$5='Conceptos Desglosados'!$H$10,VLOOKUP($A34,comandancia,2,0),IF(K$5='Conceptos Desglosados'!$H$11,VLOOKUP($A34,mantenimiento,2,0),IF(K$5='Conceptos Desglosados'!$H$12,VLOOKUP($A34,serestatal,2,0),IF(K$5='Conceptos Desglosados'!$H$13,VLOOKUP($A34,conferencias,2,0),"")))))))))),"")*K$3,"")</f>
        <v/>
      </c>
      <c r="L34" t="str">
        <f>IFERROR(IFERROR(IF(L$5='Conceptos Desglosados'!$H$4,VLOOKUP($A34,dormitorios,2,0),IF(L$5='Conceptos Desglosados'!$H$5,VLOOKUP($A34,comedor,2,0),IF(L$5='Conceptos Desglosados'!$H$6,VLOOKUP($A34,alojamiento,2,0),IF(L$5='Conceptos Desglosados'!$H$7,VLOOKUP($A34,sanidad,2,0),IF(L$5='Conceptos Desglosados'!$H$8,VLOOKUP($A34,servicios,2,0),IF(L$5='Conceptos Desglosados'!$H$9,VLOOKUP($A34,comyaloj,2,0),IF(L$5='Conceptos Desglosados'!$H$10,VLOOKUP($A34,comandancia,2,0),IF(L$5='Conceptos Desglosados'!$H$11,VLOOKUP($A34,mantenimiento,2,0),IF(L$5='Conceptos Desglosados'!$H$12,VLOOKUP($A34,serestatal,2,0),IF(L$5='Conceptos Desglosados'!$H$13,VLOOKUP($A34,conferencias,2,0),"")))))))))),"")*L$3,"")</f>
        <v/>
      </c>
      <c r="M34" t="str">
        <f>IFERROR(IFERROR(IF(M$5='Conceptos Desglosados'!$H$4,VLOOKUP($A34,dormitorios,2,0),IF(M$5='Conceptos Desglosados'!$H$5,VLOOKUP($A34,comedor,2,0),IF(M$5='Conceptos Desglosados'!$H$6,VLOOKUP($A34,alojamiento,2,0),IF(M$5='Conceptos Desglosados'!$H$7,VLOOKUP($A34,sanidad,2,0),IF(M$5='Conceptos Desglosados'!$H$8,VLOOKUP($A34,servicios,2,0),IF(M$5='Conceptos Desglosados'!$H$9,VLOOKUP($A34,comyaloj,2,0),IF(M$5='Conceptos Desglosados'!$H$10,VLOOKUP($A34,comandancia,2,0),IF(M$5='Conceptos Desglosados'!$H$11,VLOOKUP($A34,mantenimiento,2,0),IF(M$5='Conceptos Desglosados'!$H$12,VLOOKUP($A34,serestatal,2,0),IF(M$5='Conceptos Desglosados'!$H$13,VLOOKUP($A34,conferencias,2,0),"")))))))))),"")*M$3,"")</f>
        <v/>
      </c>
      <c r="O34">
        <f>SUM(K34:M34)</f>
        <v>0</v>
      </c>
    </row>
    <row r="35" spans="1:15" x14ac:dyDescent="0.35">
      <c r="A35">
        <v>30</v>
      </c>
      <c r="B35" t="s">
        <v>10</v>
      </c>
      <c r="C35" t="s">
        <v>111</v>
      </c>
      <c r="D35" t="s">
        <v>211</v>
      </c>
      <c r="E35" t="s">
        <v>1</v>
      </c>
      <c r="F35" t="s">
        <v>883</v>
      </c>
      <c r="G35" t="s">
        <v>0</v>
      </c>
      <c r="H35">
        <v>1.26</v>
      </c>
      <c r="I35">
        <v>2.7149999999999999</v>
      </c>
      <c r="J35" t="s">
        <v>6</v>
      </c>
      <c r="K35" t="str">
        <f>IFERROR(IFERROR(IF(K$5='Conceptos Desglosados'!$H$4,VLOOKUP($A35,dormitorios,2,0),IF(K$5='Conceptos Desglosados'!$H$5,VLOOKUP($A35,comedor,2,0),IF(K$5='Conceptos Desglosados'!$H$6,VLOOKUP($A35,alojamiento,2,0),IF(K$5='Conceptos Desglosados'!$H$7,VLOOKUP($A35,sanidad,2,0),IF(K$5='Conceptos Desglosados'!$H$8,VLOOKUP($A35,servicios,2,0),IF(K$5='Conceptos Desglosados'!$H$9,VLOOKUP($A35,comyaloj,2,0),IF(K$5='Conceptos Desglosados'!$H$10,VLOOKUP($A35,comandancia,2,0),IF(K$5='Conceptos Desglosados'!$H$11,VLOOKUP($A35,mantenimiento,2,0),IF(K$5='Conceptos Desglosados'!$H$12,VLOOKUP($A35,serestatal,2,0),IF(K$5='Conceptos Desglosados'!$H$13,VLOOKUP($A35,conferencias,2,0),"")))))))))),"")*K$3,"")</f>
        <v/>
      </c>
      <c r="L35" t="str">
        <f>IFERROR(IFERROR(IF(L$5='Conceptos Desglosados'!$H$4,VLOOKUP($A35,dormitorios,2,0),IF(L$5='Conceptos Desglosados'!$H$5,VLOOKUP($A35,comedor,2,0),IF(L$5='Conceptos Desglosados'!$H$6,VLOOKUP($A35,alojamiento,2,0),IF(L$5='Conceptos Desglosados'!$H$7,VLOOKUP($A35,sanidad,2,0),IF(L$5='Conceptos Desglosados'!$H$8,VLOOKUP($A35,servicios,2,0),IF(L$5='Conceptos Desglosados'!$H$9,VLOOKUP($A35,comyaloj,2,0),IF(L$5='Conceptos Desglosados'!$H$10,VLOOKUP($A35,comandancia,2,0),IF(L$5='Conceptos Desglosados'!$H$11,VLOOKUP($A35,mantenimiento,2,0),IF(L$5='Conceptos Desglosados'!$H$12,VLOOKUP($A35,serestatal,2,0),IF(L$5='Conceptos Desglosados'!$H$13,VLOOKUP($A35,conferencias,2,0),"")))))))))),"")*L$3,"")</f>
        <v/>
      </c>
      <c r="M35" t="str">
        <f>IFERROR(IFERROR(IF(M$5='Conceptos Desglosados'!$H$4,VLOOKUP($A35,dormitorios,2,0),IF(M$5='Conceptos Desglosados'!$H$5,VLOOKUP($A35,comedor,2,0),IF(M$5='Conceptos Desglosados'!$H$6,VLOOKUP($A35,alojamiento,2,0),IF(M$5='Conceptos Desglosados'!$H$7,VLOOKUP($A35,sanidad,2,0),IF(M$5='Conceptos Desglosados'!$H$8,VLOOKUP($A35,servicios,2,0),IF(M$5='Conceptos Desglosados'!$H$9,VLOOKUP($A35,comyaloj,2,0),IF(M$5='Conceptos Desglosados'!$H$10,VLOOKUP($A35,comandancia,2,0),IF(M$5='Conceptos Desglosados'!$H$11,VLOOKUP($A35,mantenimiento,2,0),IF(M$5='Conceptos Desglosados'!$H$12,VLOOKUP($A35,serestatal,2,0),IF(M$5='Conceptos Desglosados'!$H$13,VLOOKUP($A35,conferencias,2,0),"")))))))))),"")*M$3,"")</f>
        <v/>
      </c>
      <c r="O35">
        <f>SUM(K35:M35)</f>
        <v>0</v>
      </c>
    </row>
    <row r="36" spans="1:15" x14ac:dyDescent="0.35">
      <c r="A36">
        <v>31</v>
      </c>
      <c r="B36" t="s">
        <v>10</v>
      </c>
      <c r="C36" t="s">
        <v>160</v>
      </c>
      <c r="D36" t="s">
        <v>212</v>
      </c>
      <c r="E36" t="s">
        <v>1</v>
      </c>
      <c r="F36" t="s">
        <v>883</v>
      </c>
      <c r="G36" t="s">
        <v>0</v>
      </c>
      <c r="H36">
        <v>2.16</v>
      </c>
      <c r="I36">
        <v>2.7149999999999999</v>
      </c>
      <c r="J36" t="s">
        <v>6</v>
      </c>
      <c r="K36" t="str">
        <f>IFERROR(IFERROR(IF(K$5='Conceptos Desglosados'!$H$4,VLOOKUP($A36,dormitorios,2,0),IF(K$5='Conceptos Desglosados'!$H$5,VLOOKUP($A36,comedor,2,0),IF(K$5='Conceptos Desglosados'!$H$6,VLOOKUP($A36,alojamiento,2,0),IF(K$5='Conceptos Desglosados'!$H$7,VLOOKUP($A36,sanidad,2,0),IF(K$5='Conceptos Desglosados'!$H$8,VLOOKUP($A36,servicios,2,0),IF(K$5='Conceptos Desglosados'!$H$9,VLOOKUP($A36,comyaloj,2,0),IF(K$5='Conceptos Desglosados'!$H$10,VLOOKUP($A36,comandancia,2,0),IF(K$5='Conceptos Desglosados'!$H$11,VLOOKUP($A36,mantenimiento,2,0),IF(K$5='Conceptos Desglosados'!$H$12,VLOOKUP($A36,serestatal,2,0),IF(K$5='Conceptos Desglosados'!$H$13,VLOOKUP($A36,conferencias,2,0),"")))))))))),"")*K$3,"")</f>
        <v/>
      </c>
      <c r="L36">
        <f>IFERROR(IFERROR(IF(L$5='Conceptos Desglosados'!$H$4,VLOOKUP($A36,dormitorios,2,0),IF(L$5='Conceptos Desglosados'!$H$5,VLOOKUP($A36,comedor,2,0),IF(L$5='Conceptos Desglosados'!$H$6,VLOOKUP($A36,alojamiento,2,0),IF(L$5='Conceptos Desglosados'!$H$7,VLOOKUP($A36,sanidad,2,0),IF(L$5='Conceptos Desglosados'!$H$8,VLOOKUP($A36,servicios,2,0),IF(L$5='Conceptos Desglosados'!$H$9,VLOOKUP($A36,comyaloj,2,0),IF(L$5='Conceptos Desglosados'!$H$10,VLOOKUP($A36,comandancia,2,0),IF(L$5='Conceptos Desglosados'!$H$11,VLOOKUP($A36,mantenimiento,2,0),IF(L$5='Conceptos Desglosados'!$H$12,VLOOKUP($A36,serestatal,2,0),IF(L$5='Conceptos Desglosados'!$H$13,VLOOKUP($A36,conferencias,2,0),"")))))))))),"")*L$3,"")</f>
        <v>1</v>
      </c>
      <c r="M36" t="str">
        <f>IFERROR(IFERROR(IF(M$5='Conceptos Desglosados'!$H$4,VLOOKUP($A36,dormitorios,2,0),IF(M$5='Conceptos Desglosados'!$H$5,VLOOKUP($A36,comedor,2,0),IF(M$5='Conceptos Desglosados'!$H$6,VLOOKUP($A36,alojamiento,2,0),IF(M$5='Conceptos Desglosados'!$H$7,VLOOKUP($A36,sanidad,2,0),IF(M$5='Conceptos Desglosados'!$H$8,VLOOKUP($A36,servicios,2,0),IF(M$5='Conceptos Desglosados'!$H$9,VLOOKUP($A36,comyaloj,2,0),IF(M$5='Conceptos Desglosados'!$H$10,VLOOKUP($A36,comandancia,2,0),IF(M$5='Conceptos Desglosados'!$H$11,VLOOKUP($A36,mantenimiento,2,0),IF(M$5='Conceptos Desglosados'!$H$12,VLOOKUP($A36,serestatal,2,0),IF(M$5='Conceptos Desglosados'!$H$13,VLOOKUP($A36,conferencias,2,0),"")))))))))),"")*M$3,"")</f>
        <v/>
      </c>
      <c r="O36">
        <f>SUM(K36:M36)</f>
        <v>1</v>
      </c>
    </row>
    <row r="37" spans="1:15" x14ac:dyDescent="0.35">
      <c r="A37">
        <v>32</v>
      </c>
      <c r="B37" t="s">
        <v>10</v>
      </c>
      <c r="C37" t="s">
        <v>161</v>
      </c>
      <c r="D37" t="s">
        <v>213</v>
      </c>
      <c r="E37" t="s">
        <v>1</v>
      </c>
      <c r="F37" t="s">
        <v>883</v>
      </c>
      <c r="G37" t="s">
        <v>0</v>
      </c>
      <c r="H37">
        <v>1.56</v>
      </c>
      <c r="I37">
        <v>2.7149999999999999</v>
      </c>
      <c r="J37" t="s">
        <v>6</v>
      </c>
      <c r="K37" t="str">
        <f>IFERROR(IFERROR(IF(K$5='Conceptos Desglosados'!$H$4,VLOOKUP($A37,dormitorios,2,0),IF(K$5='Conceptos Desglosados'!$H$5,VLOOKUP($A37,comedor,2,0),IF(K$5='Conceptos Desglosados'!$H$6,VLOOKUP($A37,alojamiento,2,0),IF(K$5='Conceptos Desglosados'!$H$7,VLOOKUP($A37,sanidad,2,0),IF(K$5='Conceptos Desglosados'!$H$8,VLOOKUP($A37,servicios,2,0),IF(K$5='Conceptos Desglosados'!$H$9,VLOOKUP($A37,comyaloj,2,0),IF(K$5='Conceptos Desglosados'!$H$10,VLOOKUP($A37,comandancia,2,0),IF(K$5='Conceptos Desglosados'!$H$11,VLOOKUP($A37,mantenimiento,2,0),IF(K$5='Conceptos Desglosados'!$H$12,VLOOKUP($A37,serestatal,2,0),IF(K$5='Conceptos Desglosados'!$H$13,VLOOKUP($A37,conferencias,2,0),"")))))))))),"")*K$3,"")</f>
        <v/>
      </c>
      <c r="L37" t="str">
        <f>IFERROR(IFERROR(IF(L$5='Conceptos Desglosados'!$H$4,VLOOKUP($A37,dormitorios,2,0),IF(L$5='Conceptos Desglosados'!$H$5,VLOOKUP($A37,comedor,2,0),IF(L$5='Conceptos Desglosados'!$H$6,VLOOKUP($A37,alojamiento,2,0),IF(L$5='Conceptos Desglosados'!$H$7,VLOOKUP($A37,sanidad,2,0),IF(L$5='Conceptos Desglosados'!$H$8,VLOOKUP($A37,servicios,2,0),IF(L$5='Conceptos Desglosados'!$H$9,VLOOKUP($A37,comyaloj,2,0),IF(L$5='Conceptos Desglosados'!$H$10,VLOOKUP($A37,comandancia,2,0),IF(L$5='Conceptos Desglosados'!$H$11,VLOOKUP($A37,mantenimiento,2,0),IF(L$5='Conceptos Desglosados'!$H$12,VLOOKUP($A37,serestatal,2,0),IF(L$5='Conceptos Desglosados'!$H$13,VLOOKUP($A37,conferencias,2,0),"")))))))))),"")*L$3,"")</f>
        <v/>
      </c>
      <c r="M37" t="str">
        <f>IFERROR(IFERROR(IF(M$5='Conceptos Desglosados'!$H$4,VLOOKUP($A37,dormitorios,2,0),IF(M$5='Conceptos Desglosados'!$H$5,VLOOKUP($A37,comedor,2,0),IF(M$5='Conceptos Desglosados'!$H$6,VLOOKUP($A37,alojamiento,2,0),IF(M$5='Conceptos Desglosados'!$H$7,VLOOKUP($A37,sanidad,2,0),IF(M$5='Conceptos Desglosados'!$H$8,VLOOKUP($A37,servicios,2,0),IF(M$5='Conceptos Desglosados'!$H$9,VLOOKUP($A37,comyaloj,2,0),IF(M$5='Conceptos Desglosados'!$H$10,VLOOKUP($A37,comandancia,2,0),IF(M$5='Conceptos Desglosados'!$H$11,VLOOKUP($A37,mantenimiento,2,0),IF(M$5='Conceptos Desglosados'!$H$12,VLOOKUP($A37,serestatal,2,0),IF(M$5='Conceptos Desglosados'!$H$13,VLOOKUP($A37,conferencias,2,0),"")))))))))),"")*M$3,"")</f>
        <v/>
      </c>
      <c r="O37">
        <f>SUM(K37:M37)</f>
        <v>0</v>
      </c>
    </row>
    <row r="38" spans="1:15" x14ac:dyDescent="0.35">
      <c r="A38">
        <v>33</v>
      </c>
      <c r="B38" t="s">
        <v>10</v>
      </c>
      <c r="C38" t="s">
        <v>162</v>
      </c>
      <c r="D38" t="s">
        <v>216</v>
      </c>
      <c r="E38" t="s">
        <v>1</v>
      </c>
      <c r="F38" t="s">
        <v>883</v>
      </c>
      <c r="G38" t="s">
        <v>0</v>
      </c>
      <c r="H38">
        <v>2.5499999999999998</v>
      </c>
      <c r="I38">
        <v>2.7149999999999999</v>
      </c>
      <c r="J38" t="s">
        <v>6</v>
      </c>
      <c r="K38" t="str">
        <f>IFERROR(IFERROR(IF(K$5='Conceptos Desglosados'!$H$4,VLOOKUP($A38,dormitorios,2,0),IF(K$5='Conceptos Desglosados'!$H$5,VLOOKUP($A38,comedor,2,0),IF(K$5='Conceptos Desglosados'!$H$6,VLOOKUP($A38,alojamiento,2,0),IF(K$5='Conceptos Desglosados'!$H$7,VLOOKUP($A38,sanidad,2,0),IF(K$5='Conceptos Desglosados'!$H$8,VLOOKUP($A38,servicios,2,0),IF(K$5='Conceptos Desglosados'!$H$9,VLOOKUP($A38,comyaloj,2,0),IF(K$5='Conceptos Desglosados'!$H$10,VLOOKUP($A38,comandancia,2,0),IF(K$5='Conceptos Desglosados'!$H$11,VLOOKUP($A38,mantenimiento,2,0),IF(K$5='Conceptos Desglosados'!$H$12,VLOOKUP($A38,serestatal,2,0),IF(K$5='Conceptos Desglosados'!$H$13,VLOOKUP($A38,conferencias,2,0),"")))))))))),"")*K$3,"")</f>
        <v/>
      </c>
      <c r="L38" t="str">
        <f>IFERROR(IFERROR(IF(L$5='Conceptos Desglosados'!$H$4,VLOOKUP($A38,dormitorios,2,0),IF(L$5='Conceptos Desglosados'!$H$5,VLOOKUP($A38,comedor,2,0),IF(L$5='Conceptos Desglosados'!$H$6,VLOOKUP($A38,alojamiento,2,0),IF(L$5='Conceptos Desglosados'!$H$7,VLOOKUP($A38,sanidad,2,0),IF(L$5='Conceptos Desglosados'!$H$8,VLOOKUP($A38,servicios,2,0),IF(L$5='Conceptos Desglosados'!$H$9,VLOOKUP($A38,comyaloj,2,0),IF(L$5='Conceptos Desglosados'!$H$10,VLOOKUP($A38,comandancia,2,0),IF(L$5='Conceptos Desglosados'!$H$11,VLOOKUP($A38,mantenimiento,2,0),IF(L$5='Conceptos Desglosados'!$H$12,VLOOKUP($A38,serestatal,2,0),IF(L$5='Conceptos Desglosados'!$H$13,VLOOKUP($A38,conferencias,2,0),"")))))))))),"")*L$3,"")</f>
        <v/>
      </c>
      <c r="M38" t="str">
        <f>IFERROR(IFERROR(IF(M$5='Conceptos Desglosados'!$H$4,VLOOKUP($A38,dormitorios,2,0),IF(M$5='Conceptos Desglosados'!$H$5,VLOOKUP($A38,comedor,2,0),IF(M$5='Conceptos Desglosados'!$H$6,VLOOKUP($A38,alojamiento,2,0),IF(M$5='Conceptos Desglosados'!$H$7,VLOOKUP($A38,sanidad,2,0),IF(M$5='Conceptos Desglosados'!$H$8,VLOOKUP($A38,servicios,2,0),IF(M$5='Conceptos Desglosados'!$H$9,VLOOKUP($A38,comyaloj,2,0),IF(M$5='Conceptos Desglosados'!$H$10,VLOOKUP($A38,comandancia,2,0),IF(M$5='Conceptos Desglosados'!$H$11,VLOOKUP($A38,mantenimiento,2,0),IF(M$5='Conceptos Desglosados'!$H$12,VLOOKUP($A38,serestatal,2,0),IF(M$5='Conceptos Desglosados'!$H$13,VLOOKUP($A38,conferencias,2,0),"")))))))))),"")*M$3,"")</f>
        <v/>
      </c>
      <c r="O38">
        <f>SUM(K38:M38)</f>
        <v>0</v>
      </c>
    </row>
    <row r="39" spans="1:15" x14ac:dyDescent="0.35">
      <c r="A39">
        <v>34</v>
      </c>
      <c r="B39" t="s">
        <v>10</v>
      </c>
      <c r="C39" t="s">
        <v>163</v>
      </c>
      <c r="D39" t="s">
        <v>217</v>
      </c>
      <c r="E39" t="s">
        <v>1</v>
      </c>
      <c r="F39" t="s">
        <v>883</v>
      </c>
      <c r="G39" t="s">
        <v>9</v>
      </c>
      <c r="H39">
        <v>2.31</v>
      </c>
      <c r="I39">
        <v>2.7149999999999999</v>
      </c>
      <c r="J39" t="s">
        <v>6</v>
      </c>
      <c r="K39" t="str">
        <f>IFERROR(IFERROR(IF(K$5='Conceptos Desglosados'!$H$4,VLOOKUP($A39,dormitorios,2,0),IF(K$5='Conceptos Desglosados'!$H$5,VLOOKUP($A39,comedor,2,0),IF(K$5='Conceptos Desglosados'!$H$6,VLOOKUP($A39,alojamiento,2,0),IF(K$5='Conceptos Desglosados'!$H$7,VLOOKUP($A39,sanidad,2,0),IF(K$5='Conceptos Desglosados'!$H$8,VLOOKUP($A39,servicios,2,0),IF(K$5='Conceptos Desglosados'!$H$9,VLOOKUP($A39,comyaloj,2,0),IF(K$5='Conceptos Desglosados'!$H$10,VLOOKUP($A39,comandancia,2,0),IF(K$5='Conceptos Desglosados'!$H$11,VLOOKUP($A39,mantenimiento,2,0),IF(K$5='Conceptos Desglosados'!$H$12,VLOOKUP($A39,serestatal,2,0),IF(K$5='Conceptos Desglosados'!$H$13,VLOOKUP($A39,conferencias,2,0),"")))))))))),"")*K$3,"")</f>
        <v/>
      </c>
      <c r="L39" t="str">
        <f>IFERROR(IFERROR(IF(L$5='Conceptos Desglosados'!$H$4,VLOOKUP($A39,dormitorios,2,0),IF(L$5='Conceptos Desglosados'!$H$5,VLOOKUP($A39,comedor,2,0),IF(L$5='Conceptos Desglosados'!$H$6,VLOOKUP($A39,alojamiento,2,0),IF(L$5='Conceptos Desglosados'!$H$7,VLOOKUP($A39,sanidad,2,0),IF(L$5='Conceptos Desglosados'!$H$8,VLOOKUP($A39,servicios,2,0),IF(L$5='Conceptos Desglosados'!$H$9,VLOOKUP($A39,comyaloj,2,0),IF(L$5='Conceptos Desglosados'!$H$10,VLOOKUP($A39,comandancia,2,0),IF(L$5='Conceptos Desglosados'!$H$11,VLOOKUP($A39,mantenimiento,2,0),IF(L$5='Conceptos Desglosados'!$H$12,VLOOKUP($A39,serestatal,2,0),IF(L$5='Conceptos Desglosados'!$H$13,VLOOKUP($A39,conferencias,2,0),"")))))))))),"")*L$3,"")</f>
        <v/>
      </c>
      <c r="M39" t="str">
        <f>IFERROR(IFERROR(IF(M$5='Conceptos Desglosados'!$H$4,VLOOKUP($A39,dormitorios,2,0),IF(M$5='Conceptos Desglosados'!$H$5,VLOOKUP($A39,comedor,2,0),IF(M$5='Conceptos Desglosados'!$H$6,VLOOKUP($A39,alojamiento,2,0),IF(M$5='Conceptos Desglosados'!$H$7,VLOOKUP($A39,sanidad,2,0),IF(M$5='Conceptos Desglosados'!$H$8,VLOOKUP($A39,servicios,2,0),IF(M$5='Conceptos Desglosados'!$H$9,VLOOKUP($A39,comyaloj,2,0),IF(M$5='Conceptos Desglosados'!$H$10,VLOOKUP($A39,comandancia,2,0),IF(M$5='Conceptos Desglosados'!$H$11,VLOOKUP($A39,mantenimiento,2,0),IF(M$5='Conceptos Desglosados'!$H$12,VLOOKUP($A39,serestatal,2,0),IF(M$5='Conceptos Desglosados'!$H$13,VLOOKUP($A39,conferencias,2,0),"")))))))))),"")*M$3,"")</f>
        <v/>
      </c>
      <c r="O39">
        <f>SUM(K39:M39)</f>
        <v>0</v>
      </c>
    </row>
    <row r="40" spans="1:15" x14ac:dyDescent="0.35">
      <c r="A40">
        <v>35</v>
      </c>
      <c r="B40" t="s">
        <v>10</v>
      </c>
      <c r="C40" t="s">
        <v>164</v>
      </c>
      <c r="D40" t="s">
        <v>218</v>
      </c>
      <c r="E40" t="s">
        <v>1</v>
      </c>
      <c r="F40" t="s">
        <v>883</v>
      </c>
      <c r="G40" t="s">
        <v>2</v>
      </c>
      <c r="H40">
        <v>2.0049999999999999</v>
      </c>
      <c r="I40">
        <v>2.7149999999999999</v>
      </c>
      <c r="J40" t="s">
        <v>6</v>
      </c>
      <c r="K40" t="str">
        <f>IFERROR(IFERROR(IF(K$5='Conceptos Desglosados'!$H$4,VLOOKUP($A40,dormitorios,2,0),IF(K$5='Conceptos Desglosados'!$H$5,VLOOKUP($A40,comedor,2,0),IF(K$5='Conceptos Desglosados'!$H$6,VLOOKUP($A40,alojamiento,2,0),IF(K$5='Conceptos Desglosados'!$H$7,VLOOKUP($A40,sanidad,2,0),IF(K$5='Conceptos Desglosados'!$H$8,VLOOKUP($A40,servicios,2,0),IF(K$5='Conceptos Desglosados'!$H$9,VLOOKUP($A40,comyaloj,2,0),IF(K$5='Conceptos Desglosados'!$H$10,VLOOKUP($A40,comandancia,2,0),IF(K$5='Conceptos Desglosados'!$H$11,VLOOKUP($A40,mantenimiento,2,0),IF(K$5='Conceptos Desglosados'!$H$12,VLOOKUP($A40,serestatal,2,0),IF(K$5='Conceptos Desglosados'!$H$13,VLOOKUP($A40,conferencias,2,0),"")))))))))),"")*K$3,"")</f>
        <v/>
      </c>
      <c r="L40" t="str">
        <f>IFERROR(IFERROR(IF(L$5='Conceptos Desglosados'!$H$4,VLOOKUP($A40,dormitorios,2,0),IF(L$5='Conceptos Desglosados'!$H$5,VLOOKUP($A40,comedor,2,0),IF(L$5='Conceptos Desglosados'!$H$6,VLOOKUP($A40,alojamiento,2,0),IF(L$5='Conceptos Desglosados'!$H$7,VLOOKUP($A40,sanidad,2,0),IF(L$5='Conceptos Desglosados'!$H$8,VLOOKUP($A40,servicios,2,0),IF(L$5='Conceptos Desglosados'!$H$9,VLOOKUP($A40,comyaloj,2,0),IF(L$5='Conceptos Desglosados'!$H$10,VLOOKUP($A40,comandancia,2,0),IF(L$5='Conceptos Desglosados'!$H$11,VLOOKUP($A40,mantenimiento,2,0),IF(L$5='Conceptos Desglosados'!$H$12,VLOOKUP($A40,serestatal,2,0),IF(L$5='Conceptos Desglosados'!$H$13,VLOOKUP($A40,conferencias,2,0),"")))))))))),"")*L$3,"")</f>
        <v/>
      </c>
      <c r="M40" t="str">
        <f>IFERROR(IFERROR(IF(M$5='Conceptos Desglosados'!$H$4,VLOOKUP($A40,dormitorios,2,0),IF(M$5='Conceptos Desglosados'!$H$5,VLOOKUP($A40,comedor,2,0),IF(M$5='Conceptos Desglosados'!$H$6,VLOOKUP($A40,alojamiento,2,0),IF(M$5='Conceptos Desglosados'!$H$7,VLOOKUP($A40,sanidad,2,0),IF(M$5='Conceptos Desglosados'!$H$8,VLOOKUP($A40,servicios,2,0),IF(M$5='Conceptos Desglosados'!$H$9,VLOOKUP($A40,comyaloj,2,0),IF(M$5='Conceptos Desglosados'!$H$10,VLOOKUP($A40,comandancia,2,0),IF(M$5='Conceptos Desglosados'!$H$11,VLOOKUP($A40,mantenimiento,2,0),IF(M$5='Conceptos Desglosados'!$H$12,VLOOKUP($A40,serestatal,2,0),IF(M$5='Conceptos Desglosados'!$H$13,VLOOKUP($A40,conferencias,2,0),"")))))))))),"")*M$3,"")</f>
        <v/>
      </c>
      <c r="O40">
        <f>SUM(K40:M40)</f>
        <v>0</v>
      </c>
    </row>
    <row r="41" spans="1:15" x14ac:dyDescent="0.35">
      <c r="A41">
        <v>36</v>
      </c>
      <c r="B41" t="s">
        <v>10</v>
      </c>
      <c r="C41" t="s">
        <v>165</v>
      </c>
      <c r="D41" t="s">
        <v>219</v>
      </c>
      <c r="E41" t="s">
        <v>1</v>
      </c>
      <c r="F41" t="s">
        <v>883</v>
      </c>
      <c r="G41" t="s">
        <v>0</v>
      </c>
      <c r="H41">
        <v>1.96</v>
      </c>
      <c r="I41">
        <v>2.7149999999999999</v>
      </c>
      <c r="J41" t="s">
        <v>6</v>
      </c>
      <c r="K41">
        <f>IFERROR(IFERROR(IF(K$5='Conceptos Desglosados'!$H$4,VLOOKUP($A41,dormitorios,2,0),IF(K$5='Conceptos Desglosados'!$H$5,VLOOKUP($A41,comedor,2,0),IF(K$5='Conceptos Desglosados'!$H$6,VLOOKUP($A41,alojamiento,2,0),IF(K$5='Conceptos Desglosados'!$H$7,VLOOKUP($A41,sanidad,2,0),IF(K$5='Conceptos Desglosados'!$H$8,VLOOKUP($A41,servicios,2,0),IF(K$5='Conceptos Desglosados'!$H$9,VLOOKUP($A41,comyaloj,2,0),IF(K$5='Conceptos Desglosados'!$H$10,VLOOKUP($A41,comandancia,2,0),IF(K$5='Conceptos Desglosados'!$H$11,VLOOKUP($A41,mantenimiento,2,0),IF(K$5='Conceptos Desglosados'!$H$12,VLOOKUP($A41,serestatal,2,0),IF(K$5='Conceptos Desglosados'!$H$13,VLOOKUP($A41,conferencias,2,0),"")))))))))),"")*K$3,"")</f>
        <v>2</v>
      </c>
      <c r="L41" t="str">
        <f>IFERROR(IFERROR(IF(L$5='Conceptos Desglosados'!$H$4,VLOOKUP($A41,dormitorios,2,0),IF(L$5='Conceptos Desglosados'!$H$5,VLOOKUP($A41,comedor,2,0),IF(L$5='Conceptos Desglosados'!$H$6,VLOOKUP($A41,alojamiento,2,0),IF(L$5='Conceptos Desglosados'!$H$7,VLOOKUP($A41,sanidad,2,0),IF(L$5='Conceptos Desglosados'!$H$8,VLOOKUP($A41,servicios,2,0),IF(L$5='Conceptos Desglosados'!$H$9,VLOOKUP($A41,comyaloj,2,0),IF(L$5='Conceptos Desglosados'!$H$10,VLOOKUP($A41,comandancia,2,0),IF(L$5='Conceptos Desglosados'!$H$11,VLOOKUP($A41,mantenimiento,2,0),IF(L$5='Conceptos Desglosados'!$H$12,VLOOKUP($A41,serestatal,2,0),IF(L$5='Conceptos Desglosados'!$H$13,VLOOKUP($A41,conferencias,2,0),"")))))))))),"")*L$3,"")</f>
        <v/>
      </c>
      <c r="M41" t="str">
        <f>IFERROR(IFERROR(IF(M$5='Conceptos Desglosados'!$H$4,VLOOKUP($A41,dormitorios,2,0),IF(M$5='Conceptos Desglosados'!$H$5,VLOOKUP($A41,comedor,2,0),IF(M$5='Conceptos Desglosados'!$H$6,VLOOKUP($A41,alojamiento,2,0),IF(M$5='Conceptos Desglosados'!$H$7,VLOOKUP($A41,sanidad,2,0),IF(M$5='Conceptos Desglosados'!$H$8,VLOOKUP($A41,servicios,2,0),IF(M$5='Conceptos Desglosados'!$H$9,VLOOKUP($A41,comyaloj,2,0),IF(M$5='Conceptos Desglosados'!$H$10,VLOOKUP($A41,comandancia,2,0),IF(M$5='Conceptos Desglosados'!$H$11,VLOOKUP($A41,mantenimiento,2,0),IF(M$5='Conceptos Desglosados'!$H$12,VLOOKUP($A41,serestatal,2,0),IF(M$5='Conceptos Desglosados'!$H$13,VLOOKUP($A41,conferencias,2,0),"")))))))))),"")*M$3,"")</f>
        <v/>
      </c>
      <c r="O41">
        <f>SUM(K41:M41)</f>
        <v>2</v>
      </c>
    </row>
    <row r="42" spans="1:15" x14ac:dyDescent="0.35">
      <c r="A42">
        <v>37</v>
      </c>
      <c r="B42" t="s">
        <v>10</v>
      </c>
      <c r="C42" t="s">
        <v>166</v>
      </c>
      <c r="D42" t="s">
        <v>220</v>
      </c>
      <c r="E42" t="s">
        <v>1</v>
      </c>
      <c r="F42" t="s">
        <v>883</v>
      </c>
      <c r="G42" t="s">
        <v>2</v>
      </c>
      <c r="H42">
        <v>0.71</v>
      </c>
      <c r="I42">
        <v>2.7149999999999999</v>
      </c>
      <c r="J42" t="s">
        <v>6</v>
      </c>
      <c r="K42" t="str">
        <f>IFERROR(IFERROR(IF(K$5='Conceptos Desglosados'!$H$4,VLOOKUP($A42,dormitorios,2,0),IF(K$5='Conceptos Desglosados'!$H$5,VLOOKUP($A42,comedor,2,0),IF(K$5='Conceptos Desglosados'!$H$6,VLOOKUP($A42,alojamiento,2,0),IF(K$5='Conceptos Desglosados'!$H$7,VLOOKUP($A42,sanidad,2,0),IF(K$5='Conceptos Desglosados'!$H$8,VLOOKUP($A42,servicios,2,0),IF(K$5='Conceptos Desglosados'!$H$9,VLOOKUP($A42,comyaloj,2,0),IF(K$5='Conceptos Desglosados'!$H$10,VLOOKUP($A42,comandancia,2,0),IF(K$5='Conceptos Desglosados'!$H$11,VLOOKUP($A42,mantenimiento,2,0),IF(K$5='Conceptos Desglosados'!$H$12,VLOOKUP($A42,serestatal,2,0),IF(K$5='Conceptos Desglosados'!$H$13,VLOOKUP($A42,conferencias,2,0),"")))))))))),"")*K$3,"")</f>
        <v/>
      </c>
      <c r="L42" t="str">
        <f>IFERROR(IFERROR(IF(L$5='Conceptos Desglosados'!$H$4,VLOOKUP($A42,dormitorios,2,0),IF(L$5='Conceptos Desglosados'!$H$5,VLOOKUP($A42,comedor,2,0),IF(L$5='Conceptos Desglosados'!$H$6,VLOOKUP($A42,alojamiento,2,0),IF(L$5='Conceptos Desglosados'!$H$7,VLOOKUP($A42,sanidad,2,0),IF(L$5='Conceptos Desglosados'!$H$8,VLOOKUP($A42,servicios,2,0),IF(L$5='Conceptos Desglosados'!$H$9,VLOOKUP($A42,comyaloj,2,0),IF(L$5='Conceptos Desglosados'!$H$10,VLOOKUP($A42,comandancia,2,0),IF(L$5='Conceptos Desglosados'!$H$11,VLOOKUP($A42,mantenimiento,2,0),IF(L$5='Conceptos Desglosados'!$H$12,VLOOKUP($A42,serestatal,2,0),IF(L$5='Conceptos Desglosados'!$H$13,VLOOKUP($A42,conferencias,2,0),"")))))))))),"")*L$3,"")</f>
        <v/>
      </c>
      <c r="M42" t="str">
        <f>IFERROR(IFERROR(IF(M$5='Conceptos Desglosados'!$H$4,VLOOKUP($A42,dormitorios,2,0),IF(M$5='Conceptos Desglosados'!$H$5,VLOOKUP($A42,comedor,2,0),IF(M$5='Conceptos Desglosados'!$H$6,VLOOKUP($A42,alojamiento,2,0),IF(M$5='Conceptos Desglosados'!$H$7,VLOOKUP($A42,sanidad,2,0),IF(M$5='Conceptos Desglosados'!$H$8,VLOOKUP($A42,servicios,2,0),IF(M$5='Conceptos Desglosados'!$H$9,VLOOKUP($A42,comyaloj,2,0),IF(M$5='Conceptos Desglosados'!$H$10,VLOOKUP($A42,comandancia,2,0),IF(M$5='Conceptos Desglosados'!$H$11,VLOOKUP($A42,mantenimiento,2,0),IF(M$5='Conceptos Desglosados'!$H$12,VLOOKUP($A42,serestatal,2,0),IF(M$5='Conceptos Desglosados'!$H$13,VLOOKUP($A42,conferencias,2,0),"")))))))))),"")*M$3,"")</f>
        <v/>
      </c>
      <c r="O42">
        <f>SUM(K42:M42)</f>
        <v>0</v>
      </c>
    </row>
    <row r="43" spans="1:15" x14ac:dyDescent="0.35">
      <c r="A43">
        <v>38</v>
      </c>
      <c r="B43" t="s">
        <v>10</v>
      </c>
      <c r="C43" t="s">
        <v>167</v>
      </c>
      <c r="D43" t="s">
        <v>221</v>
      </c>
      <c r="E43" t="s">
        <v>1</v>
      </c>
      <c r="F43" t="s">
        <v>883</v>
      </c>
      <c r="G43" t="s">
        <v>2</v>
      </c>
      <c r="H43">
        <v>1.02</v>
      </c>
      <c r="I43">
        <v>2.7149999999999999</v>
      </c>
      <c r="J43" t="s">
        <v>6</v>
      </c>
      <c r="K43" t="str">
        <f>IFERROR(IFERROR(IF(K$5='Conceptos Desglosados'!$H$4,VLOOKUP($A43,dormitorios,2,0),IF(K$5='Conceptos Desglosados'!$H$5,VLOOKUP($A43,comedor,2,0),IF(K$5='Conceptos Desglosados'!$H$6,VLOOKUP($A43,alojamiento,2,0),IF(K$5='Conceptos Desglosados'!$H$7,VLOOKUP($A43,sanidad,2,0),IF(K$5='Conceptos Desglosados'!$H$8,VLOOKUP($A43,servicios,2,0),IF(K$5='Conceptos Desglosados'!$H$9,VLOOKUP($A43,comyaloj,2,0),IF(K$5='Conceptos Desglosados'!$H$10,VLOOKUP($A43,comandancia,2,0),IF(K$5='Conceptos Desglosados'!$H$11,VLOOKUP($A43,mantenimiento,2,0),IF(K$5='Conceptos Desglosados'!$H$12,VLOOKUP($A43,serestatal,2,0),IF(K$5='Conceptos Desglosados'!$H$13,VLOOKUP($A43,conferencias,2,0),"")))))))))),"")*K$3,"")</f>
        <v/>
      </c>
      <c r="L43" t="str">
        <f>IFERROR(IFERROR(IF(L$5='Conceptos Desglosados'!$H$4,VLOOKUP($A43,dormitorios,2,0),IF(L$5='Conceptos Desglosados'!$H$5,VLOOKUP($A43,comedor,2,0),IF(L$5='Conceptos Desglosados'!$H$6,VLOOKUP($A43,alojamiento,2,0),IF(L$5='Conceptos Desglosados'!$H$7,VLOOKUP($A43,sanidad,2,0),IF(L$5='Conceptos Desglosados'!$H$8,VLOOKUP($A43,servicios,2,0),IF(L$5='Conceptos Desglosados'!$H$9,VLOOKUP($A43,comyaloj,2,0),IF(L$5='Conceptos Desglosados'!$H$10,VLOOKUP($A43,comandancia,2,0),IF(L$5='Conceptos Desglosados'!$H$11,VLOOKUP($A43,mantenimiento,2,0),IF(L$5='Conceptos Desglosados'!$H$12,VLOOKUP($A43,serestatal,2,0),IF(L$5='Conceptos Desglosados'!$H$13,VLOOKUP($A43,conferencias,2,0),"")))))))))),"")*L$3,"")</f>
        <v/>
      </c>
      <c r="M43" t="str">
        <f>IFERROR(IFERROR(IF(M$5='Conceptos Desglosados'!$H$4,VLOOKUP($A43,dormitorios,2,0),IF(M$5='Conceptos Desglosados'!$H$5,VLOOKUP($A43,comedor,2,0),IF(M$5='Conceptos Desglosados'!$H$6,VLOOKUP($A43,alojamiento,2,0),IF(M$5='Conceptos Desglosados'!$H$7,VLOOKUP($A43,sanidad,2,0),IF(M$5='Conceptos Desglosados'!$H$8,VLOOKUP($A43,servicios,2,0),IF(M$5='Conceptos Desglosados'!$H$9,VLOOKUP($A43,comyaloj,2,0),IF(M$5='Conceptos Desglosados'!$H$10,VLOOKUP($A43,comandancia,2,0),IF(M$5='Conceptos Desglosados'!$H$11,VLOOKUP($A43,mantenimiento,2,0),IF(M$5='Conceptos Desglosados'!$H$12,VLOOKUP($A43,serestatal,2,0),IF(M$5='Conceptos Desglosados'!$H$13,VLOOKUP($A43,conferencias,2,0),"")))))))))),"")*M$3,"")</f>
        <v/>
      </c>
      <c r="O43">
        <f>SUM(K43:M43)</f>
        <v>0</v>
      </c>
    </row>
    <row r="44" spans="1:15" x14ac:dyDescent="0.35">
      <c r="A44">
        <v>39</v>
      </c>
      <c r="B44" t="s">
        <v>10</v>
      </c>
      <c r="C44" t="s">
        <v>152</v>
      </c>
      <c r="D44" t="s">
        <v>222</v>
      </c>
      <c r="E44" t="s">
        <v>1</v>
      </c>
      <c r="F44" t="s">
        <v>883</v>
      </c>
      <c r="G44" t="s">
        <v>2</v>
      </c>
      <c r="H44">
        <v>1.4</v>
      </c>
      <c r="I44">
        <v>2.7149999999999999</v>
      </c>
      <c r="J44" t="s">
        <v>6</v>
      </c>
      <c r="K44" t="str">
        <f>IFERROR(IFERROR(IF(K$5='Conceptos Desglosados'!$H$4,VLOOKUP($A44,dormitorios,2,0),IF(K$5='Conceptos Desglosados'!$H$5,VLOOKUP($A44,comedor,2,0),IF(K$5='Conceptos Desglosados'!$H$6,VLOOKUP($A44,alojamiento,2,0),IF(K$5='Conceptos Desglosados'!$H$7,VLOOKUP($A44,sanidad,2,0),IF(K$5='Conceptos Desglosados'!$H$8,VLOOKUP($A44,servicios,2,0),IF(K$5='Conceptos Desglosados'!$H$9,VLOOKUP($A44,comyaloj,2,0),IF(K$5='Conceptos Desglosados'!$H$10,VLOOKUP($A44,comandancia,2,0),IF(K$5='Conceptos Desglosados'!$H$11,VLOOKUP($A44,mantenimiento,2,0),IF(K$5='Conceptos Desglosados'!$H$12,VLOOKUP($A44,serestatal,2,0),IF(K$5='Conceptos Desglosados'!$H$13,VLOOKUP($A44,conferencias,2,0),"")))))))))),"")*K$3,"")</f>
        <v/>
      </c>
      <c r="L44" t="str">
        <f>IFERROR(IFERROR(IF(L$5='Conceptos Desglosados'!$H$4,VLOOKUP($A44,dormitorios,2,0),IF(L$5='Conceptos Desglosados'!$H$5,VLOOKUP($A44,comedor,2,0),IF(L$5='Conceptos Desglosados'!$H$6,VLOOKUP($A44,alojamiento,2,0),IF(L$5='Conceptos Desglosados'!$H$7,VLOOKUP($A44,sanidad,2,0),IF(L$5='Conceptos Desglosados'!$H$8,VLOOKUP($A44,servicios,2,0),IF(L$5='Conceptos Desglosados'!$H$9,VLOOKUP($A44,comyaloj,2,0),IF(L$5='Conceptos Desglosados'!$H$10,VLOOKUP($A44,comandancia,2,0),IF(L$5='Conceptos Desglosados'!$H$11,VLOOKUP($A44,mantenimiento,2,0),IF(L$5='Conceptos Desglosados'!$H$12,VLOOKUP($A44,serestatal,2,0),IF(L$5='Conceptos Desglosados'!$H$13,VLOOKUP($A44,conferencias,2,0),"")))))))))),"")*L$3,"")</f>
        <v/>
      </c>
      <c r="M44" t="str">
        <f>IFERROR(IFERROR(IF(M$5='Conceptos Desglosados'!$H$4,VLOOKUP($A44,dormitorios,2,0),IF(M$5='Conceptos Desglosados'!$H$5,VLOOKUP($A44,comedor,2,0),IF(M$5='Conceptos Desglosados'!$H$6,VLOOKUP($A44,alojamiento,2,0),IF(M$5='Conceptos Desglosados'!$H$7,VLOOKUP($A44,sanidad,2,0),IF(M$5='Conceptos Desglosados'!$H$8,VLOOKUP($A44,servicios,2,0),IF(M$5='Conceptos Desglosados'!$H$9,VLOOKUP($A44,comyaloj,2,0),IF(M$5='Conceptos Desglosados'!$H$10,VLOOKUP($A44,comandancia,2,0),IF(M$5='Conceptos Desglosados'!$H$11,VLOOKUP($A44,mantenimiento,2,0),IF(M$5='Conceptos Desglosados'!$H$12,VLOOKUP($A44,serestatal,2,0),IF(M$5='Conceptos Desglosados'!$H$13,VLOOKUP($A44,conferencias,2,0),"")))))))))),"")*M$3,"")</f>
        <v/>
      </c>
      <c r="O44">
        <f>SUM(K44:M44)</f>
        <v>0</v>
      </c>
    </row>
    <row r="45" spans="1:15" x14ac:dyDescent="0.35">
      <c r="A45">
        <v>40</v>
      </c>
      <c r="B45" t="s">
        <v>10</v>
      </c>
      <c r="C45" t="s">
        <v>153</v>
      </c>
      <c r="D45" t="s">
        <v>223</v>
      </c>
      <c r="E45" t="s">
        <v>1</v>
      </c>
      <c r="F45" t="s">
        <v>883</v>
      </c>
      <c r="G45" t="s">
        <v>0</v>
      </c>
      <c r="H45">
        <v>0.9</v>
      </c>
      <c r="I45">
        <v>2.7149999999999999</v>
      </c>
      <c r="J45" t="s">
        <v>6</v>
      </c>
      <c r="K45" t="str">
        <f>IFERROR(IFERROR(IF(K$5='Conceptos Desglosados'!$H$4,VLOOKUP($A45,dormitorios,2,0),IF(K$5='Conceptos Desglosados'!$H$5,VLOOKUP($A45,comedor,2,0),IF(K$5='Conceptos Desglosados'!$H$6,VLOOKUP($A45,alojamiento,2,0),IF(K$5='Conceptos Desglosados'!$H$7,VLOOKUP($A45,sanidad,2,0),IF(K$5='Conceptos Desglosados'!$H$8,VLOOKUP($A45,servicios,2,0),IF(K$5='Conceptos Desglosados'!$H$9,VLOOKUP($A45,comyaloj,2,0),IF(K$5='Conceptos Desglosados'!$H$10,VLOOKUP($A45,comandancia,2,0),IF(K$5='Conceptos Desglosados'!$H$11,VLOOKUP($A45,mantenimiento,2,0),IF(K$5='Conceptos Desglosados'!$H$12,VLOOKUP($A45,serestatal,2,0),IF(K$5='Conceptos Desglosados'!$H$13,VLOOKUP($A45,conferencias,2,0),"")))))))))),"")*K$3,"")</f>
        <v/>
      </c>
      <c r="L45" t="str">
        <f>IFERROR(IFERROR(IF(L$5='Conceptos Desglosados'!$H$4,VLOOKUP($A45,dormitorios,2,0),IF(L$5='Conceptos Desglosados'!$H$5,VLOOKUP($A45,comedor,2,0),IF(L$5='Conceptos Desglosados'!$H$6,VLOOKUP($A45,alojamiento,2,0),IF(L$5='Conceptos Desglosados'!$H$7,VLOOKUP($A45,sanidad,2,0),IF(L$5='Conceptos Desglosados'!$H$8,VLOOKUP($A45,servicios,2,0),IF(L$5='Conceptos Desglosados'!$H$9,VLOOKUP($A45,comyaloj,2,0),IF(L$5='Conceptos Desglosados'!$H$10,VLOOKUP($A45,comandancia,2,0),IF(L$5='Conceptos Desglosados'!$H$11,VLOOKUP($A45,mantenimiento,2,0),IF(L$5='Conceptos Desglosados'!$H$12,VLOOKUP($A45,serestatal,2,0),IF(L$5='Conceptos Desglosados'!$H$13,VLOOKUP($A45,conferencias,2,0),"")))))))))),"")*L$3,"")</f>
        <v/>
      </c>
      <c r="M45" t="str">
        <f>IFERROR(IFERROR(IF(M$5='Conceptos Desglosados'!$H$4,VLOOKUP($A45,dormitorios,2,0),IF(M$5='Conceptos Desglosados'!$H$5,VLOOKUP($A45,comedor,2,0),IF(M$5='Conceptos Desglosados'!$H$6,VLOOKUP($A45,alojamiento,2,0),IF(M$5='Conceptos Desglosados'!$H$7,VLOOKUP($A45,sanidad,2,0),IF(M$5='Conceptos Desglosados'!$H$8,VLOOKUP($A45,servicios,2,0),IF(M$5='Conceptos Desglosados'!$H$9,VLOOKUP($A45,comyaloj,2,0),IF(M$5='Conceptos Desglosados'!$H$10,VLOOKUP($A45,comandancia,2,0),IF(M$5='Conceptos Desglosados'!$H$11,VLOOKUP($A45,mantenimiento,2,0),IF(M$5='Conceptos Desglosados'!$H$12,VLOOKUP($A45,serestatal,2,0),IF(M$5='Conceptos Desglosados'!$H$13,VLOOKUP($A45,conferencias,2,0),"")))))))))),"")*M$3,"")</f>
        <v/>
      </c>
      <c r="O45">
        <f>SUM(K45:M45)</f>
        <v>0</v>
      </c>
    </row>
    <row r="46" spans="1:15" x14ac:dyDescent="0.35">
      <c r="A46">
        <v>41</v>
      </c>
      <c r="B46" t="s">
        <v>10</v>
      </c>
      <c r="C46" t="s">
        <v>154</v>
      </c>
      <c r="D46" t="s">
        <v>224</v>
      </c>
      <c r="E46" t="s">
        <v>1</v>
      </c>
      <c r="F46" t="s">
        <v>883</v>
      </c>
      <c r="G46" t="s">
        <v>0</v>
      </c>
      <c r="H46">
        <v>1.06</v>
      </c>
      <c r="I46">
        <v>2.7149999999999999</v>
      </c>
      <c r="J46" t="s">
        <v>6</v>
      </c>
      <c r="K46" t="str">
        <f>IFERROR(IFERROR(IF(K$5='Conceptos Desglosados'!$H$4,VLOOKUP($A46,dormitorios,2,0),IF(K$5='Conceptos Desglosados'!$H$5,VLOOKUP($A46,comedor,2,0),IF(K$5='Conceptos Desglosados'!$H$6,VLOOKUP($A46,alojamiento,2,0),IF(K$5='Conceptos Desglosados'!$H$7,VLOOKUP($A46,sanidad,2,0),IF(K$5='Conceptos Desglosados'!$H$8,VLOOKUP($A46,servicios,2,0),IF(K$5='Conceptos Desglosados'!$H$9,VLOOKUP($A46,comyaloj,2,0),IF(K$5='Conceptos Desglosados'!$H$10,VLOOKUP($A46,comandancia,2,0),IF(K$5='Conceptos Desglosados'!$H$11,VLOOKUP($A46,mantenimiento,2,0),IF(K$5='Conceptos Desglosados'!$H$12,VLOOKUP($A46,serestatal,2,0),IF(K$5='Conceptos Desglosados'!$H$13,VLOOKUP($A46,conferencias,2,0),"")))))))))),"")*K$3,"")</f>
        <v/>
      </c>
      <c r="L46" t="str">
        <f>IFERROR(IFERROR(IF(L$5='Conceptos Desglosados'!$H$4,VLOOKUP($A46,dormitorios,2,0),IF(L$5='Conceptos Desglosados'!$H$5,VLOOKUP($A46,comedor,2,0),IF(L$5='Conceptos Desglosados'!$H$6,VLOOKUP($A46,alojamiento,2,0),IF(L$5='Conceptos Desglosados'!$H$7,VLOOKUP($A46,sanidad,2,0),IF(L$5='Conceptos Desglosados'!$H$8,VLOOKUP($A46,servicios,2,0),IF(L$5='Conceptos Desglosados'!$H$9,VLOOKUP($A46,comyaloj,2,0),IF(L$5='Conceptos Desglosados'!$H$10,VLOOKUP($A46,comandancia,2,0),IF(L$5='Conceptos Desglosados'!$H$11,VLOOKUP($A46,mantenimiento,2,0),IF(L$5='Conceptos Desglosados'!$H$12,VLOOKUP($A46,serestatal,2,0),IF(L$5='Conceptos Desglosados'!$H$13,VLOOKUP($A46,conferencias,2,0),"")))))))))),"")*L$3,"")</f>
        <v/>
      </c>
      <c r="M46" t="str">
        <f>IFERROR(IFERROR(IF(M$5='Conceptos Desglosados'!$H$4,VLOOKUP($A46,dormitorios,2,0),IF(M$5='Conceptos Desglosados'!$H$5,VLOOKUP($A46,comedor,2,0),IF(M$5='Conceptos Desglosados'!$H$6,VLOOKUP($A46,alojamiento,2,0),IF(M$5='Conceptos Desglosados'!$H$7,VLOOKUP($A46,sanidad,2,0),IF(M$5='Conceptos Desglosados'!$H$8,VLOOKUP($A46,servicios,2,0),IF(M$5='Conceptos Desglosados'!$H$9,VLOOKUP($A46,comyaloj,2,0),IF(M$5='Conceptos Desglosados'!$H$10,VLOOKUP($A46,comandancia,2,0),IF(M$5='Conceptos Desglosados'!$H$11,VLOOKUP($A46,mantenimiento,2,0),IF(M$5='Conceptos Desglosados'!$H$12,VLOOKUP($A46,serestatal,2,0),IF(M$5='Conceptos Desglosados'!$H$13,VLOOKUP($A46,conferencias,2,0),"")))))))))),"")*M$3,"")</f>
        <v/>
      </c>
      <c r="O46">
        <f>SUM(K46:M46)</f>
        <v>0</v>
      </c>
    </row>
    <row r="47" spans="1:15" x14ac:dyDescent="0.35">
      <c r="A47">
        <v>42</v>
      </c>
      <c r="B47" t="s">
        <v>10</v>
      </c>
      <c r="C47" t="s">
        <v>155</v>
      </c>
      <c r="D47" t="s">
        <v>225</v>
      </c>
      <c r="E47" t="s">
        <v>1</v>
      </c>
      <c r="F47" t="s">
        <v>883</v>
      </c>
      <c r="G47" t="s">
        <v>0</v>
      </c>
      <c r="H47">
        <v>0.93</v>
      </c>
      <c r="I47">
        <v>2.7149999999999999</v>
      </c>
      <c r="J47" t="s">
        <v>6</v>
      </c>
      <c r="K47" t="str">
        <f>IFERROR(IFERROR(IF(K$5='Conceptos Desglosados'!$H$4,VLOOKUP($A47,dormitorios,2,0),IF(K$5='Conceptos Desglosados'!$H$5,VLOOKUP($A47,comedor,2,0),IF(K$5='Conceptos Desglosados'!$H$6,VLOOKUP($A47,alojamiento,2,0),IF(K$5='Conceptos Desglosados'!$H$7,VLOOKUP($A47,sanidad,2,0),IF(K$5='Conceptos Desglosados'!$H$8,VLOOKUP($A47,servicios,2,0),IF(K$5='Conceptos Desglosados'!$H$9,VLOOKUP($A47,comyaloj,2,0),IF(K$5='Conceptos Desglosados'!$H$10,VLOOKUP($A47,comandancia,2,0),IF(K$5='Conceptos Desglosados'!$H$11,VLOOKUP($A47,mantenimiento,2,0),IF(K$5='Conceptos Desglosados'!$H$12,VLOOKUP($A47,serestatal,2,0),IF(K$5='Conceptos Desglosados'!$H$13,VLOOKUP($A47,conferencias,2,0),"")))))))))),"")*K$3,"")</f>
        <v/>
      </c>
      <c r="L47" t="str">
        <f>IFERROR(IFERROR(IF(L$5='Conceptos Desglosados'!$H$4,VLOOKUP($A47,dormitorios,2,0),IF(L$5='Conceptos Desglosados'!$H$5,VLOOKUP($A47,comedor,2,0),IF(L$5='Conceptos Desglosados'!$H$6,VLOOKUP($A47,alojamiento,2,0),IF(L$5='Conceptos Desglosados'!$H$7,VLOOKUP($A47,sanidad,2,0),IF(L$5='Conceptos Desglosados'!$H$8,VLOOKUP($A47,servicios,2,0),IF(L$5='Conceptos Desglosados'!$H$9,VLOOKUP($A47,comyaloj,2,0),IF(L$5='Conceptos Desglosados'!$H$10,VLOOKUP($A47,comandancia,2,0),IF(L$5='Conceptos Desglosados'!$H$11,VLOOKUP($A47,mantenimiento,2,0),IF(L$5='Conceptos Desglosados'!$H$12,VLOOKUP($A47,serestatal,2,0),IF(L$5='Conceptos Desglosados'!$H$13,VLOOKUP($A47,conferencias,2,0),"")))))))))),"")*L$3,"")</f>
        <v/>
      </c>
      <c r="M47" t="str">
        <f>IFERROR(IFERROR(IF(M$5='Conceptos Desglosados'!$H$4,VLOOKUP($A47,dormitorios,2,0),IF(M$5='Conceptos Desglosados'!$H$5,VLOOKUP($A47,comedor,2,0),IF(M$5='Conceptos Desglosados'!$H$6,VLOOKUP($A47,alojamiento,2,0),IF(M$5='Conceptos Desglosados'!$H$7,VLOOKUP($A47,sanidad,2,0),IF(M$5='Conceptos Desglosados'!$H$8,VLOOKUP($A47,servicios,2,0),IF(M$5='Conceptos Desglosados'!$H$9,VLOOKUP($A47,comyaloj,2,0),IF(M$5='Conceptos Desglosados'!$H$10,VLOOKUP($A47,comandancia,2,0),IF(M$5='Conceptos Desglosados'!$H$11,VLOOKUP($A47,mantenimiento,2,0),IF(M$5='Conceptos Desglosados'!$H$12,VLOOKUP($A47,serestatal,2,0),IF(M$5='Conceptos Desglosados'!$H$13,VLOOKUP($A47,conferencias,2,0),"")))))))))),"")*M$3,"")</f>
        <v/>
      </c>
      <c r="O47">
        <f>SUM(K47:M47)</f>
        <v>0</v>
      </c>
    </row>
    <row r="48" spans="1:15" x14ac:dyDescent="0.35">
      <c r="A48">
        <v>43</v>
      </c>
      <c r="B48" t="s">
        <v>10</v>
      </c>
      <c r="C48" t="s">
        <v>156</v>
      </c>
      <c r="D48" t="s">
        <v>226</v>
      </c>
      <c r="E48" t="s">
        <v>1</v>
      </c>
      <c r="F48" t="s">
        <v>883</v>
      </c>
      <c r="G48" t="s">
        <v>0</v>
      </c>
      <c r="H48">
        <v>1.46</v>
      </c>
      <c r="I48">
        <v>2.7149999999999999</v>
      </c>
      <c r="J48" t="s">
        <v>6</v>
      </c>
      <c r="K48" t="str">
        <f>IFERROR(IFERROR(IF(K$5='Conceptos Desglosados'!$H$4,VLOOKUP($A48,dormitorios,2,0),IF(K$5='Conceptos Desglosados'!$H$5,VLOOKUP($A48,comedor,2,0),IF(K$5='Conceptos Desglosados'!$H$6,VLOOKUP($A48,alojamiento,2,0),IF(K$5='Conceptos Desglosados'!$H$7,VLOOKUP($A48,sanidad,2,0),IF(K$5='Conceptos Desglosados'!$H$8,VLOOKUP($A48,servicios,2,0),IF(K$5='Conceptos Desglosados'!$H$9,VLOOKUP($A48,comyaloj,2,0),IF(K$5='Conceptos Desglosados'!$H$10,VLOOKUP($A48,comandancia,2,0),IF(K$5='Conceptos Desglosados'!$H$11,VLOOKUP($A48,mantenimiento,2,0),IF(K$5='Conceptos Desglosados'!$H$12,VLOOKUP($A48,serestatal,2,0),IF(K$5='Conceptos Desglosados'!$H$13,VLOOKUP($A48,conferencias,2,0),"")))))))))),"")*K$3,"")</f>
        <v/>
      </c>
      <c r="L48" t="str">
        <f>IFERROR(IFERROR(IF(L$5='Conceptos Desglosados'!$H$4,VLOOKUP($A48,dormitorios,2,0),IF(L$5='Conceptos Desglosados'!$H$5,VLOOKUP($A48,comedor,2,0),IF(L$5='Conceptos Desglosados'!$H$6,VLOOKUP($A48,alojamiento,2,0),IF(L$5='Conceptos Desglosados'!$H$7,VLOOKUP($A48,sanidad,2,0),IF(L$5='Conceptos Desglosados'!$H$8,VLOOKUP($A48,servicios,2,0),IF(L$5='Conceptos Desglosados'!$H$9,VLOOKUP($A48,comyaloj,2,0),IF(L$5='Conceptos Desglosados'!$H$10,VLOOKUP($A48,comandancia,2,0),IF(L$5='Conceptos Desglosados'!$H$11,VLOOKUP($A48,mantenimiento,2,0),IF(L$5='Conceptos Desglosados'!$H$12,VLOOKUP($A48,serestatal,2,0),IF(L$5='Conceptos Desglosados'!$H$13,VLOOKUP($A48,conferencias,2,0),"")))))))))),"")*L$3,"")</f>
        <v/>
      </c>
      <c r="M48" t="str">
        <f>IFERROR(IFERROR(IF(M$5='Conceptos Desglosados'!$H$4,VLOOKUP($A48,dormitorios,2,0),IF(M$5='Conceptos Desglosados'!$H$5,VLOOKUP($A48,comedor,2,0),IF(M$5='Conceptos Desglosados'!$H$6,VLOOKUP($A48,alojamiento,2,0),IF(M$5='Conceptos Desglosados'!$H$7,VLOOKUP($A48,sanidad,2,0),IF(M$5='Conceptos Desglosados'!$H$8,VLOOKUP($A48,servicios,2,0),IF(M$5='Conceptos Desglosados'!$H$9,VLOOKUP($A48,comyaloj,2,0),IF(M$5='Conceptos Desglosados'!$H$10,VLOOKUP($A48,comandancia,2,0),IF(M$5='Conceptos Desglosados'!$H$11,VLOOKUP($A48,mantenimiento,2,0),IF(M$5='Conceptos Desglosados'!$H$12,VLOOKUP($A48,serestatal,2,0),IF(M$5='Conceptos Desglosados'!$H$13,VLOOKUP($A48,conferencias,2,0),"")))))))))),"")*M$3,"")</f>
        <v/>
      </c>
      <c r="O48">
        <f>SUM(K48:M48)</f>
        <v>0</v>
      </c>
    </row>
    <row r="49" spans="1:15" x14ac:dyDescent="0.35">
      <c r="A49">
        <v>44</v>
      </c>
      <c r="B49" t="s">
        <v>10</v>
      </c>
      <c r="C49" t="s">
        <v>157</v>
      </c>
      <c r="D49" t="s">
        <v>227</v>
      </c>
      <c r="E49" t="s">
        <v>1</v>
      </c>
      <c r="F49" t="s">
        <v>883</v>
      </c>
      <c r="G49" t="s">
        <v>2</v>
      </c>
      <c r="H49">
        <v>1.51</v>
      </c>
      <c r="I49">
        <v>2.7149999999999999</v>
      </c>
      <c r="J49" t="s">
        <v>6</v>
      </c>
      <c r="K49" t="str">
        <f>IFERROR(IFERROR(IF(K$5='Conceptos Desglosados'!$H$4,VLOOKUP($A49,dormitorios,2,0),IF(K$5='Conceptos Desglosados'!$H$5,VLOOKUP($A49,comedor,2,0),IF(K$5='Conceptos Desglosados'!$H$6,VLOOKUP($A49,alojamiento,2,0),IF(K$5='Conceptos Desglosados'!$H$7,VLOOKUP($A49,sanidad,2,0),IF(K$5='Conceptos Desglosados'!$H$8,VLOOKUP($A49,servicios,2,0),IF(K$5='Conceptos Desglosados'!$H$9,VLOOKUP($A49,comyaloj,2,0),IF(K$5='Conceptos Desglosados'!$H$10,VLOOKUP($A49,comandancia,2,0),IF(K$5='Conceptos Desglosados'!$H$11,VLOOKUP($A49,mantenimiento,2,0),IF(K$5='Conceptos Desglosados'!$H$12,VLOOKUP($A49,serestatal,2,0),IF(K$5='Conceptos Desglosados'!$H$13,VLOOKUP($A49,conferencias,2,0),"")))))))))),"")*K$3,"")</f>
        <v/>
      </c>
      <c r="L49" t="str">
        <f>IFERROR(IFERROR(IF(L$5='Conceptos Desglosados'!$H$4,VLOOKUP($A49,dormitorios,2,0),IF(L$5='Conceptos Desglosados'!$H$5,VLOOKUP($A49,comedor,2,0),IF(L$5='Conceptos Desglosados'!$H$6,VLOOKUP($A49,alojamiento,2,0),IF(L$5='Conceptos Desglosados'!$H$7,VLOOKUP($A49,sanidad,2,0),IF(L$5='Conceptos Desglosados'!$H$8,VLOOKUP($A49,servicios,2,0),IF(L$5='Conceptos Desglosados'!$H$9,VLOOKUP($A49,comyaloj,2,0),IF(L$5='Conceptos Desglosados'!$H$10,VLOOKUP($A49,comandancia,2,0),IF(L$5='Conceptos Desglosados'!$H$11,VLOOKUP($A49,mantenimiento,2,0),IF(L$5='Conceptos Desglosados'!$H$12,VLOOKUP($A49,serestatal,2,0),IF(L$5='Conceptos Desglosados'!$H$13,VLOOKUP($A49,conferencias,2,0),"")))))))))),"")*L$3,"")</f>
        <v/>
      </c>
      <c r="M49" t="str">
        <f>IFERROR(IFERROR(IF(M$5='Conceptos Desglosados'!$H$4,VLOOKUP($A49,dormitorios,2,0),IF(M$5='Conceptos Desglosados'!$H$5,VLOOKUP($A49,comedor,2,0),IF(M$5='Conceptos Desglosados'!$H$6,VLOOKUP($A49,alojamiento,2,0),IF(M$5='Conceptos Desglosados'!$H$7,VLOOKUP($A49,sanidad,2,0),IF(M$5='Conceptos Desglosados'!$H$8,VLOOKUP($A49,servicios,2,0),IF(M$5='Conceptos Desglosados'!$H$9,VLOOKUP($A49,comyaloj,2,0),IF(M$5='Conceptos Desglosados'!$H$10,VLOOKUP($A49,comandancia,2,0),IF(M$5='Conceptos Desglosados'!$H$11,VLOOKUP($A49,mantenimiento,2,0),IF(M$5='Conceptos Desglosados'!$H$12,VLOOKUP($A49,serestatal,2,0),IF(M$5='Conceptos Desglosados'!$H$13,VLOOKUP($A49,conferencias,2,0),"")))))))))),"")*M$3,"")</f>
        <v/>
      </c>
      <c r="O49">
        <f>SUM(K49:M49)</f>
        <v>0</v>
      </c>
    </row>
    <row r="50" spans="1:15" x14ac:dyDescent="0.35">
      <c r="A50">
        <v>45</v>
      </c>
      <c r="B50" t="s">
        <v>10</v>
      </c>
      <c r="C50" t="s">
        <v>158</v>
      </c>
      <c r="D50" t="s">
        <v>228</v>
      </c>
      <c r="E50" t="s">
        <v>1</v>
      </c>
      <c r="F50" t="s">
        <v>883</v>
      </c>
      <c r="G50" t="s">
        <v>0</v>
      </c>
      <c r="H50">
        <v>0.95</v>
      </c>
      <c r="I50">
        <v>2.7149999999999999</v>
      </c>
      <c r="J50" t="s">
        <v>6</v>
      </c>
      <c r="K50" t="str">
        <f>IFERROR(IFERROR(IF(K$5='Conceptos Desglosados'!$H$4,VLOOKUP($A50,dormitorios,2,0),IF(K$5='Conceptos Desglosados'!$H$5,VLOOKUP($A50,comedor,2,0),IF(K$5='Conceptos Desglosados'!$H$6,VLOOKUP($A50,alojamiento,2,0),IF(K$5='Conceptos Desglosados'!$H$7,VLOOKUP($A50,sanidad,2,0),IF(K$5='Conceptos Desglosados'!$H$8,VLOOKUP($A50,servicios,2,0),IF(K$5='Conceptos Desglosados'!$H$9,VLOOKUP($A50,comyaloj,2,0),IF(K$5='Conceptos Desglosados'!$H$10,VLOOKUP($A50,comandancia,2,0),IF(K$5='Conceptos Desglosados'!$H$11,VLOOKUP($A50,mantenimiento,2,0),IF(K$5='Conceptos Desglosados'!$H$12,VLOOKUP($A50,serestatal,2,0),IF(K$5='Conceptos Desglosados'!$H$13,VLOOKUP($A50,conferencias,2,0),"")))))))))),"")*K$3,"")</f>
        <v/>
      </c>
      <c r="L50" t="str">
        <f>IFERROR(IFERROR(IF(L$5='Conceptos Desglosados'!$H$4,VLOOKUP($A50,dormitorios,2,0),IF(L$5='Conceptos Desglosados'!$H$5,VLOOKUP($A50,comedor,2,0),IF(L$5='Conceptos Desglosados'!$H$6,VLOOKUP($A50,alojamiento,2,0),IF(L$5='Conceptos Desglosados'!$H$7,VLOOKUP($A50,sanidad,2,0),IF(L$5='Conceptos Desglosados'!$H$8,VLOOKUP($A50,servicios,2,0),IF(L$5='Conceptos Desglosados'!$H$9,VLOOKUP($A50,comyaloj,2,0),IF(L$5='Conceptos Desglosados'!$H$10,VLOOKUP($A50,comandancia,2,0),IF(L$5='Conceptos Desglosados'!$H$11,VLOOKUP($A50,mantenimiento,2,0),IF(L$5='Conceptos Desglosados'!$H$12,VLOOKUP($A50,serestatal,2,0),IF(L$5='Conceptos Desglosados'!$H$13,VLOOKUP($A50,conferencias,2,0),"")))))))))),"")*L$3,"")</f>
        <v/>
      </c>
      <c r="M50" t="str">
        <f>IFERROR(IFERROR(IF(M$5='Conceptos Desglosados'!$H$4,VLOOKUP($A50,dormitorios,2,0),IF(M$5='Conceptos Desglosados'!$H$5,VLOOKUP($A50,comedor,2,0),IF(M$5='Conceptos Desglosados'!$H$6,VLOOKUP($A50,alojamiento,2,0),IF(M$5='Conceptos Desglosados'!$H$7,VLOOKUP($A50,sanidad,2,0),IF(M$5='Conceptos Desglosados'!$H$8,VLOOKUP($A50,servicios,2,0),IF(M$5='Conceptos Desglosados'!$H$9,VLOOKUP($A50,comyaloj,2,0),IF(M$5='Conceptos Desglosados'!$H$10,VLOOKUP($A50,comandancia,2,0),IF(M$5='Conceptos Desglosados'!$H$11,VLOOKUP($A50,mantenimiento,2,0),IF(M$5='Conceptos Desglosados'!$H$12,VLOOKUP($A50,serestatal,2,0),IF(M$5='Conceptos Desglosados'!$H$13,VLOOKUP($A50,conferencias,2,0),"")))))))))),"")*M$3,"")</f>
        <v/>
      </c>
      <c r="O50">
        <f>SUM(K50:M50)</f>
        <v>0</v>
      </c>
    </row>
    <row r="51" spans="1:15" x14ac:dyDescent="0.35">
      <c r="A51">
        <v>46</v>
      </c>
      <c r="B51" t="s">
        <v>10</v>
      </c>
      <c r="C51" t="s">
        <v>159</v>
      </c>
      <c r="D51" t="s">
        <v>229</v>
      </c>
      <c r="E51" t="s">
        <v>1</v>
      </c>
      <c r="F51" t="s">
        <v>883</v>
      </c>
      <c r="G51" t="s">
        <v>0</v>
      </c>
      <c r="H51">
        <v>1.2749999999999999</v>
      </c>
      <c r="I51">
        <v>2.7149999999999999</v>
      </c>
      <c r="J51" t="s">
        <v>6</v>
      </c>
      <c r="K51" t="str">
        <f>IFERROR(IFERROR(IF(K$5='Conceptos Desglosados'!$H$4,VLOOKUP($A51,dormitorios,2,0),IF(K$5='Conceptos Desglosados'!$H$5,VLOOKUP($A51,comedor,2,0),IF(K$5='Conceptos Desglosados'!$H$6,VLOOKUP($A51,alojamiento,2,0),IF(K$5='Conceptos Desglosados'!$H$7,VLOOKUP($A51,sanidad,2,0),IF(K$5='Conceptos Desglosados'!$H$8,VLOOKUP($A51,servicios,2,0),IF(K$5='Conceptos Desglosados'!$H$9,VLOOKUP($A51,comyaloj,2,0),IF(K$5='Conceptos Desglosados'!$H$10,VLOOKUP($A51,comandancia,2,0),IF(K$5='Conceptos Desglosados'!$H$11,VLOOKUP($A51,mantenimiento,2,0),IF(K$5='Conceptos Desglosados'!$H$12,VLOOKUP($A51,serestatal,2,0),IF(K$5='Conceptos Desglosados'!$H$13,VLOOKUP($A51,conferencias,2,0),"")))))))))),"")*K$3,"")</f>
        <v/>
      </c>
      <c r="L51" t="str">
        <f>IFERROR(IFERROR(IF(L$5='Conceptos Desglosados'!$H$4,VLOOKUP($A51,dormitorios,2,0),IF(L$5='Conceptos Desglosados'!$H$5,VLOOKUP($A51,comedor,2,0),IF(L$5='Conceptos Desglosados'!$H$6,VLOOKUP($A51,alojamiento,2,0),IF(L$5='Conceptos Desglosados'!$H$7,VLOOKUP($A51,sanidad,2,0),IF(L$5='Conceptos Desglosados'!$H$8,VLOOKUP($A51,servicios,2,0),IF(L$5='Conceptos Desglosados'!$H$9,VLOOKUP($A51,comyaloj,2,0),IF(L$5='Conceptos Desglosados'!$H$10,VLOOKUP($A51,comandancia,2,0),IF(L$5='Conceptos Desglosados'!$H$11,VLOOKUP($A51,mantenimiento,2,0),IF(L$5='Conceptos Desglosados'!$H$12,VLOOKUP($A51,serestatal,2,0),IF(L$5='Conceptos Desglosados'!$H$13,VLOOKUP($A51,conferencias,2,0),"")))))))))),"")*L$3,"")</f>
        <v/>
      </c>
      <c r="M51" t="str">
        <f>IFERROR(IFERROR(IF(M$5='Conceptos Desglosados'!$H$4,VLOOKUP($A51,dormitorios,2,0),IF(M$5='Conceptos Desglosados'!$H$5,VLOOKUP($A51,comedor,2,0),IF(M$5='Conceptos Desglosados'!$H$6,VLOOKUP($A51,alojamiento,2,0),IF(M$5='Conceptos Desglosados'!$H$7,VLOOKUP($A51,sanidad,2,0),IF(M$5='Conceptos Desglosados'!$H$8,VLOOKUP($A51,servicios,2,0),IF(M$5='Conceptos Desglosados'!$H$9,VLOOKUP($A51,comyaloj,2,0),IF(M$5='Conceptos Desglosados'!$H$10,VLOOKUP($A51,comandancia,2,0),IF(M$5='Conceptos Desglosados'!$H$11,VLOOKUP($A51,mantenimiento,2,0),IF(M$5='Conceptos Desglosados'!$H$12,VLOOKUP($A51,serestatal,2,0),IF(M$5='Conceptos Desglosados'!$H$13,VLOOKUP($A51,conferencias,2,0),"")))))))))),"")*M$3,"")</f>
        <v/>
      </c>
      <c r="O51">
        <f>SUM(K51:M51)</f>
        <v>0</v>
      </c>
    </row>
    <row r="52" spans="1:15" x14ac:dyDescent="0.35">
      <c r="A52">
        <v>47</v>
      </c>
      <c r="B52" t="s">
        <v>10</v>
      </c>
      <c r="C52" t="s">
        <v>168</v>
      </c>
      <c r="D52" t="s">
        <v>230</v>
      </c>
      <c r="E52" t="s">
        <v>1</v>
      </c>
      <c r="F52" t="s">
        <v>883</v>
      </c>
      <c r="G52" t="s">
        <v>0</v>
      </c>
      <c r="H52">
        <v>1.07</v>
      </c>
      <c r="I52">
        <v>2.7149999999999999</v>
      </c>
      <c r="J52" t="s">
        <v>6</v>
      </c>
      <c r="K52" t="str">
        <f>IFERROR(IFERROR(IF(K$5='Conceptos Desglosados'!$H$4,VLOOKUP($A52,dormitorios,2,0),IF(K$5='Conceptos Desglosados'!$H$5,VLOOKUP($A52,comedor,2,0),IF(K$5='Conceptos Desglosados'!$H$6,VLOOKUP($A52,alojamiento,2,0),IF(K$5='Conceptos Desglosados'!$H$7,VLOOKUP($A52,sanidad,2,0),IF(K$5='Conceptos Desglosados'!$H$8,VLOOKUP($A52,servicios,2,0),IF(K$5='Conceptos Desglosados'!$H$9,VLOOKUP($A52,comyaloj,2,0),IF(K$5='Conceptos Desglosados'!$H$10,VLOOKUP($A52,comandancia,2,0),IF(K$5='Conceptos Desglosados'!$H$11,VLOOKUP($A52,mantenimiento,2,0),IF(K$5='Conceptos Desglosados'!$H$12,VLOOKUP($A52,serestatal,2,0),IF(K$5='Conceptos Desglosados'!$H$13,VLOOKUP($A52,conferencias,2,0),"")))))))))),"")*K$3,"")</f>
        <v/>
      </c>
      <c r="L52" t="str">
        <f>IFERROR(IFERROR(IF(L$5='Conceptos Desglosados'!$H$4,VLOOKUP($A52,dormitorios,2,0),IF(L$5='Conceptos Desglosados'!$H$5,VLOOKUP($A52,comedor,2,0),IF(L$5='Conceptos Desglosados'!$H$6,VLOOKUP($A52,alojamiento,2,0),IF(L$5='Conceptos Desglosados'!$H$7,VLOOKUP($A52,sanidad,2,0),IF(L$5='Conceptos Desglosados'!$H$8,VLOOKUP($A52,servicios,2,0),IF(L$5='Conceptos Desglosados'!$H$9,VLOOKUP($A52,comyaloj,2,0),IF(L$5='Conceptos Desglosados'!$H$10,VLOOKUP($A52,comandancia,2,0),IF(L$5='Conceptos Desglosados'!$H$11,VLOOKUP($A52,mantenimiento,2,0),IF(L$5='Conceptos Desglosados'!$H$12,VLOOKUP($A52,serestatal,2,0),IF(L$5='Conceptos Desglosados'!$H$13,VLOOKUP($A52,conferencias,2,0),"")))))))))),"")*L$3,"")</f>
        <v/>
      </c>
      <c r="M52">
        <f>IFERROR(IFERROR(IF(M$5='Conceptos Desglosados'!$H$4,VLOOKUP($A52,dormitorios,2,0),IF(M$5='Conceptos Desglosados'!$H$5,VLOOKUP($A52,comedor,2,0),IF(M$5='Conceptos Desglosados'!$H$6,VLOOKUP($A52,alojamiento,2,0),IF(M$5='Conceptos Desglosados'!$H$7,VLOOKUP($A52,sanidad,2,0),IF(M$5='Conceptos Desglosados'!$H$8,VLOOKUP($A52,servicios,2,0),IF(M$5='Conceptos Desglosados'!$H$9,VLOOKUP($A52,comyaloj,2,0),IF(M$5='Conceptos Desglosados'!$H$10,VLOOKUP($A52,comandancia,2,0),IF(M$5='Conceptos Desglosados'!$H$11,VLOOKUP($A52,mantenimiento,2,0),IF(M$5='Conceptos Desglosados'!$H$12,VLOOKUP($A52,serestatal,2,0),IF(M$5='Conceptos Desglosados'!$H$13,VLOOKUP($A52,conferencias,2,0),"")))))))))),"")*M$3,"")</f>
        <v>4</v>
      </c>
      <c r="O52">
        <f>SUM(K52:M52)</f>
        <v>4</v>
      </c>
    </row>
    <row r="53" spans="1:15" x14ac:dyDescent="0.35">
      <c r="A53">
        <v>48</v>
      </c>
      <c r="B53" t="s">
        <v>10</v>
      </c>
      <c r="C53" t="s">
        <v>169</v>
      </c>
      <c r="D53" t="s">
        <v>231</v>
      </c>
      <c r="E53" t="s">
        <v>1</v>
      </c>
      <c r="F53" t="s">
        <v>883</v>
      </c>
      <c r="G53" t="s">
        <v>0</v>
      </c>
      <c r="H53">
        <v>1.27</v>
      </c>
      <c r="I53">
        <v>2.7149999999999999</v>
      </c>
      <c r="J53" t="s">
        <v>6</v>
      </c>
      <c r="K53" t="str">
        <f>IFERROR(IFERROR(IF(K$5='Conceptos Desglosados'!$H$4,VLOOKUP($A53,dormitorios,2,0),IF(K$5='Conceptos Desglosados'!$H$5,VLOOKUP($A53,comedor,2,0),IF(K$5='Conceptos Desglosados'!$H$6,VLOOKUP($A53,alojamiento,2,0),IF(K$5='Conceptos Desglosados'!$H$7,VLOOKUP($A53,sanidad,2,0),IF(K$5='Conceptos Desglosados'!$H$8,VLOOKUP($A53,servicios,2,0),IF(K$5='Conceptos Desglosados'!$H$9,VLOOKUP($A53,comyaloj,2,0),IF(K$5='Conceptos Desglosados'!$H$10,VLOOKUP($A53,comandancia,2,0),IF(K$5='Conceptos Desglosados'!$H$11,VLOOKUP($A53,mantenimiento,2,0),IF(K$5='Conceptos Desglosados'!$H$12,VLOOKUP($A53,serestatal,2,0),IF(K$5='Conceptos Desglosados'!$H$13,VLOOKUP($A53,conferencias,2,0),"")))))))))),"")*K$3,"")</f>
        <v/>
      </c>
      <c r="L53" t="str">
        <f>IFERROR(IFERROR(IF(L$5='Conceptos Desglosados'!$H$4,VLOOKUP($A53,dormitorios,2,0),IF(L$5='Conceptos Desglosados'!$H$5,VLOOKUP($A53,comedor,2,0),IF(L$5='Conceptos Desglosados'!$H$6,VLOOKUP($A53,alojamiento,2,0),IF(L$5='Conceptos Desglosados'!$H$7,VLOOKUP($A53,sanidad,2,0),IF(L$5='Conceptos Desglosados'!$H$8,VLOOKUP($A53,servicios,2,0),IF(L$5='Conceptos Desglosados'!$H$9,VLOOKUP($A53,comyaloj,2,0),IF(L$5='Conceptos Desglosados'!$H$10,VLOOKUP($A53,comandancia,2,0),IF(L$5='Conceptos Desglosados'!$H$11,VLOOKUP($A53,mantenimiento,2,0),IF(L$5='Conceptos Desglosados'!$H$12,VLOOKUP($A53,serestatal,2,0),IF(L$5='Conceptos Desglosados'!$H$13,VLOOKUP($A53,conferencias,2,0),"")))))))))),"")*L$3,"")</f>
        <v/>
      </c>
      <c r="M53" t="str">
        <f>IFERROR(IFERROR(IF(M$5='Conceptos Desglosados'!$H$4,VLOOKUP($A53,dormitorios,2,0),IF(M$5='Conceptos Desglosados'!$H$5,VLOOKUP($A53,comedor,2,0),IF(M$5='Conceptos Desglosados'!$H$6,VLOOKUP($A53,alojamiento,2,0),IF(M$5='Conceptos Desglosados'!$H$7,VLOOKUP($A53,sanidad,2,0),IF(M$5='Conceptos Desglosados'!$H$8,VLOOKUP($A53,servicios,2,0),IF(M$5='Conceptos Desglosados'!$H$9,VLOOKUP($A53,comyaloj,2,0),IF(M$5='Conceptos Desglosados'!$H$10,VLOOKUP($A53,comandancia,2,0),IF(M$5='Conceptos Desglosados'!$H$11,VLOOKUP($A53,mantenimiento,2,0),IF(M$5='Conceptos Desglosados'!$H$12,VLOOKUP($A53,serestatal,2,0),IF(M$5='Conceptos Desglosados'!$H$13,VLOOKUP($A53,conferencias,2,0),"")))))))))),"")*M$3,"")</f>
        <v/>
      </c>
      <c r="O53">
        <f>SUM(K53:M53)</f>
        <v>0</v>
      </c>
    </row>
    <row r="54" spans="1:15" x14ac:dyDescent="0.35">
      <c r="A54">
        <v>49</v>
      </c>
      <c r="B54" t="s">
        <v>10</v>
      </c>
      <c r="C54" t="s">
        <v>170</v>
      </c>
      <c r="D54" t="s">
        <v>232</v>
      </c>
      <c r="E54" t="s">
        <v>1</v>
      </c>
      <c r="F54" t="s">
        <v>883</v>
      </c>
      <c r="G54" t="s">
        <v>0</v>
      </c>
      <c r="H54">
        <v>1.355</v>
      </c>
      <c r="I54">
        <v>2.7149999999999999</v>
      </c>
      <c r="J54" t="s">
        <v>6</v>
      </c>
      <c r="K54" t="str">
        <f>IFERROR(IFERROR(IF(K$5='Conceptos Desglosados'!$H$4,VLOOKUP($A54,dormitorios,2,0),IF(K$5='Conceptos Desglosados'!$H$5,VLOOKUP($A54,comedor,2,0),IF(K$5='Conceptos Desglosados'!$H$6,VLOOKUP($A54,alojamiento,2,0),IF(K$5='Conceptos Desglosados'!$H$7,VLOOKUP($A54,sanidad,2,0),IF(K$5='Conceptos Desglosados'!$H$8,VLOOKUP($A54,servicios,2,0),IF(K$5='Conceptos Desglosados'!$H$9,VLOOKUP($A54,comyaloj,2,0),IF(K$5='Conceptos Desglosados'!$H$10,VLOOKUP($A54,comandancia,2,0),IF(K$5='Conceptos Desglosados'!$H$11,VLOOKUP($A54,mantenimiento,2,0),IF(K$5='Conceptos Desglosados'!$H$12,VLOOKUP($A54,serestatal,2,0),IF(K$5='Conceptos Desglosados'!$H$13,VLOOKUP($A54,conferencias,2,0),"")))))))))),"")*K$3,"")</f>
        <v/>
      </c>
      <c r="L54" t="str">
        <f>IFERROR(IFERROR(IF(L$5='Conceptos Desglosados'!$H$4,VLOOKUP($A54,dormitorios,2,0),IF(L$5='Conceptos Desglosados'!$H$5,VLOOKUP($A54,comedor,2,0),IF(L$5='Conceptos Desglosados'!$H$6,VLOOKUP($A54,alojamiento,2,0),IF(L$5='Conceptos Desglosados'!$H$7,VLOOKUP($A54,sanidad,2,0),IF(L$5='Conceptos Desglosados'!$H$8,VLOOKUP($A54,servicios,2,0),IF(L$5='Conceptos Desglosados'!$H$9,VLOOKUP($A54,comyaloj,2,0),IF(L$5='Conceptos Desglosados'!$H$10,VLOOKUP($A54,comandancia,2,0),IF(L$5='Conceptos Desglosados'!$H$11,VLOOKUP($A54,mantenimiento,2,0),IF(L$5='Conceptos Desglosados'!$H$12,VLOOKUP($A54,serestatal,2,0),IF(L$5='Conceptos Desglosados'!$H$13,VLOOKUP($A54,conferencias,2,0),"")))))))))),"")*L$3,"")</f>
        <v/>
      </c>
      <c r="M54" t="str">
        <f>IFERROR(IFERROR(IF(M$5='Conceptos Desglosados'!$H$4,VLOOKUP($A54,dormitorios,2,0),IF(M$5='Conceptos Desglosados'!$H$5,VLOOKUP($A54,comedor,2,0),IF(M$5='Conceptos Desglosados'!$H$6,VLOOKUP($A54,alojamiento,2,0),IF(M$5='Conceptos Desglosados'!$H$7,VLOOKUP($A54,sanidad,2,0),IF(M$5='Conceptos Desglosados'!$H$8,VLOOKUP($A54,servicios,2,0),IF(M$5='Conceptos Desglosados'!$H$9,VLOOKUP($A54,comyaloj,2,0),IF(M$5='Conceptos Desglosados'!$H$10,VLOOKUP($A54,comandancia,2,0),IF(M$5='Conceptos Desglosados'!$H$11,VLOOKUP($A54,mantenimiento,2,0),IF(M$5='Conceptos Desglosados'!$H$12,VLOOKUP($A54,serestatal,2,0),IF(M$5='Conceptos Desglosados'!$H$13,VLOOKUP($A54,conferencias,2,0),"")))))))))),"")*M$3,"")</f>
        <v/>
      </c>
      <c r="O54">
        <f>SUM(K54:M54)</f>
        <v>0</v>
      </c>
    </row>
    <row r="55" spans="1:15" x14ac:dyDescent="0.35">
      <c r="A55">
        <v>50</v>
      </c>
      <c r="B55" t="s">
        <v>10</v>
      </c>
      <c r="C55" t="s">
        <v>171</v>
      </c>
      <c r="D55" t="s">
        <v>233</v>
      </c>
      <c r="E55" t="s">
        <v>1</v>
      </c>
      <c r="F55" t="s">
        <v>883</v>
      </c>
      <c r="G55" t="s">
        <v>2</v>
      </c>
      <c r="H55">
        <v>1.27</v>
      </c>
      <c r="I55">
        <v>2.7149999999999999</v>
      </c>
      <c r="J55" t="s">
        <v>6</v>
      </c>
      <c r="K55" t="str">
        <f>IFERROR(IFERROR(IF(K$5='Conceptos Desglosados'!$H$4,VLOOKUP($A55,dormitorios,2,0),IF(K$5='Conceptos Desglosados'!$H$5,VLOOKUP($A55,comedor,2,0),IF(K$5='Conceptos Desglosados'!$H$6,VLOOKUP($A55,alojamiento,2,0),IF(K$5='Conceptos Desglosados'!$H$7,VLOOKUP($A55,sanidad,2,0),IF(K$5='Conceptos Desglosados'!$H$8,VLOOKUP($A55,servicios,2,0),IF(K$5='Conceptos Desglosados'!$H$9,VLOOKUP($A55,comyaloj,2,0),IF(K$5='Conceptos Desglosados'!$H$10,VLOOKUP($A55,comandancia,2,0),IF(K$5='Conceptos Desglosados'!$H$11,VLOOKUP($A55,mantenimiento,2,0),IF(K$5='Conceptos Desglosados'!$H$12,VLOOKUP($A55,serestatal,2,0),IF(K$5='Conceptos Desglosados'!$H$13,VLOOKUP($A55,conferencias,2,0),"")))))))))),"")*K$3,"")</f>
        <v/>
      </c>
      <c r="L55" t="str">
        <f>IFERROR(IFERROR(IF(L$5='Conceptos Desglosados'!$H$4,VLOOKUP($A55,dormitorios,2,0),IF(L$5='Conceptos Desglosados'!$H$5,VLOOKUP($A55,comedor,2,0),IF(L$5='Conceptos Desglosados'!$H$6,VLOOKUP($A55,alojamiento,2,0),IF(L$5='Conceptos Desglosados'!$H$7,VLOOKUP($A55,sanidad,2,0),IF(L$5='Conceptos Desglosados'!$H$8,VLOOKUP($A55,servicios,2,0),IF(L$5='Conceptos Desglosados'!$H$9,VLOOKUP($A55,comyaloj,2,0),IF(L$5='Conceptos Desglosados'!$H$10,VLOOKUP($A55,comandancia,2,0),IF(L$5='Conceptos Desglosados'!$H$11,VLOOKUP($A55,mantenimiento,2,0),IF(L$5='Conceptos Desglosados'!$H$12,VLOOKUP($A55,serestatal,2,0),IF(L$5='Conceptos Desglosados'!$H$13,VLOOKUP($A55,conferencias,2,0),"")))))))))),"")*L$3,"")</f>
        <v/>
      </c>
      <c r="M55" t="str">
        <f>IFERROR(IFERROR(IF(M$5='Conceptos Desglosados'!$H$4,VLOOKUP($A55,dormitorios,2,0),IF(M$5='Conceptos Desglosados'!$H$5,VLOOKUP($A55,comedor,2,0),IF(M$5='Conceptos Desglosados'!$H$6,VLOOKUP($A55,alojamiento,2,0),IF(M$5='Conceptos Desglosados'!$H$7,VLOOKUP($A55,sanidad,2,0),IF(M$5='Conceptos Desglosados'!$H$8,VLOOKUP($A55,servicios,2,0),IF(M$5='Conceptos Desglosados'!$H$9,VLOOKUP($A55,comyaloj,2,0),IF(M$5='Conceptos Desglosados'!$H$10,VLOOKUP($A55,comandancia,2,0),IF(M$5='Conceptos Desglosados'!$H$11,VLOOKUP($A55,mantenimiento,2,0),IF(M$5='Conceptos Desglosados'!$H$12,VLOOKUP($A55,serestatal,2,0),IF(M$5='Conceptos Desglosados'!$H$13,VLOOKUP($A55,conferencias,2,0),"")))))))))),"")*M$3,"")</f>
        <v/>
      </c>
      <c r="O55">
        <f>SUM(K55:M55)</f>
        <v>0</v>
      </c>
    </row>
    <row r="56" spans="1:15" x14ac:dyDescent="0.35">
      <c r="A56">
        <v>51</v>
      </c>
      <c r="B56" t="s">
        <v>10</v>
      </c>
      <c r="C56" t="s">
        <v>172</v>
      </c>
      <c r="D56" t="s">
        <v>234</v>
      </c>
      <c r="E56" t="s">
        <v>1</v>
      </c>
      <c r="F56" t="s">
        <v>883</v>
      </c>
      <c r="G56" t="s">
        <v>0</v>
      </c>
      <c r="H56">
        <v>1.02</v>
      </c>
      <c r="I56">
        <v>2.7149999999999999</v>
      </c>
      <c r="J56" t="s">
        <v>6</v>
      </c>
      <c r="K56" t="str">
        <f>IFERROR(IFERROR(IF(K$5='Conceptos Desglosados'!$H$4,VLOOKUP($A56,dormitorios,2,0),IF(K$5='Conceptos Desglosados'!$H$5,VLOOKUP($A56,comedor,2,0),IF(K$5='Conceptos Desglosados'!$H$6,VLOOKUP($A56,alojamiento,2,0),IF(K$5='Conceptos Desglosados'!$H$7,VLOOKUP($A56,sanidad,2,0),IF(K$5='Conceptos Desglosados'!$H$8,VLOOKUP($A56,servicios,2,0),IF(K$5='Conceptos Desglosados'!$H$9,VLOOKUP($A56,comyaloj,2,0),IF(K$5='Conceptos Desglosados'!$H$10,VLOOKUP($A56,comandancia,2,0),IF(K$5='Conceptos Desglosados'!$H$11,VLOOKUP($A56,mantenimiento,2,0),IF(K$5='Conceptos Desglosados'!$H$12,VLOOKUP($A56,serestatal,2,0),IF(K$5='Conceptos Desglosados'!$H$13,VLOOKUP($A56,conferencias,2,0),"")))))))))),"")*K$3,"")</f>
        <v/>
      </c>
      <c r="L56" t="str">
        <f>IFERROR(IFERROR(IF(L$5='Conceptos Desglosados'!$H$4,VLOOKUP($A56,dormitorios,2,0),IF(L$5='Conceptos Desglosados'!$H$5,VLOOKUP($A56,comedor,2,0),IF(L$5='Conceptos Desglosados'!$H$6,VLOOKUP($A56,alojamiento,2,0),IF(L$5='Conceptos Desglosados'!$H$7,VLOOKUP($A56,sanidad,2,0),IF(L$5='Conceptos Desglosados'!$H$8,VLOOKUP($A56,servicios,2,0),IF(L$5='Conceptos Desglosados'!$H$9,VLOOKUP($A56,comyaloj,2,0),IF(L$5='Conceptos Desglosados'!$H$10,VLOOKUP($A56,comandancia,2,0),IF(L$5='Conceptos Desglosados'!$H$11,VLOOKUP($A56,mantenimiento,2,0),IF(L$5='Conceptos Desglosados'!$H$12,VLOOKUP($A56,serestatal,2,0),IF(L$5='Conceptos Desglosados'!$H$13,VLOOKUP($A56,conferencias,2,0),"")))))))))),"")*L$3,"")</f>
        <v/>
      </c>
      <c r="M56" t="str">
        <f>IFERROR(IFERROR(IF(M$5='Conceptos Desglosados'!$H$4,VLOOKUP($A56,dormitorios,2,0),IF(M$5='Conceptos Desglosados'!$H$5,VLOOKUP($A56,comedor,2,0),IF(M$5='Conceptos Desglosados'!$H$6,VLOOKUP($A56,alojamiento,2,0),IF(M$5='Conceptos Desglosados'!$H$7,VLOOKUP($A56,sanidad,2,0),IF(M$5='Conceptos Desglosados'!$H$8,VLOOKUP($A56,servicios,2,0),IF(M$5='Conceptos Desglosados'!$H$9,VLOOKUP($A56,comyaloj,2,0),IF(M$5='Conceptos Desglosados'!$H$10,VLOOKUP($A56,comandancia,2,0),IF(M$5='Conceptos Desglosados'!$H$11,VLOOKUP($A56,mantenimiento,2,0),IF(M$5='Conceptos Desglosados'!$H$12,VLOOKUP($A56,serestatal,2,0),IF(M$5='Conceptos Desglosados'!$H$13,VLOOKUP($A56,conferencias,2,0),"")))))))))),"")*M$3,"")</f>
        <v/>
      </c>
      <c r="O56">
        <f>SUM(K56:M56)</f>
        <v>0</v>
      </c>
    </row>
    <row r="57" spans="1:15" x14ac:dyDescent="0.35">
      <c r="A57">
        <v>52</v>
      </c>
      <c r="B57" t="s">
        <v>10</v>
      </c>
      <c r="C57" t="s">
        <v>173</v>
      </c>
      <c r="D57" t="s">
        <v>235</v>
      </c>
      <c r="E57" t="s">
        <v>1</v>
      </c>
      <c r="F57" t="s">
        <v>883</v>
      </c>
      <c r="G57" t="s">
        <v>0</v>
      </c>
      <c r="H57">
        <v>1.1200000000000001</v>
      </c>
      <c r="I57">
        <v>2.7149999999999999</v>
      </c>
      <c r="J57" t="s">
        <v>6</v>
      </c>
      <c r="K57" t="str">
        <f>IFERROR(IFERROR(IF(K$5='Conceptos Desglosados'!$H$4,VLOOKUP($A57,dormitorios,2,0),IF(K$5='Conceptos Desglosados'!$H$5,VLOOKUP($A57,comedor,2,0),IF(K$5='Conceptos Desglosados'!$H$6,VLOOKUP($A57,alojamiento,2,0),IF(K$5='Conceptos Desglosados'!$H$7,VLOOKUP($A57,sanidad,2,0),IF(K$5='Conceptos Desglosados'!$H$8,VLOOKUP($A57,servicios,2,0),IF(K$5='Conceptos Desglosados'!$H$9,VLOOKUP($A57,comyaloj,2,0),IF(K$5='Conceptos Desglosados'!$H$10,VLOOKUP($A57,comandancia,2,0),IF(K$5='Conceptos Desglosados'!$H$11,VLOOKUP($A57,mantenimiento,2,0),IF(K$5='Conceptos Desglosados'!$H$12,VLOOKUP($A57,serestatal,2,0),IF(K$5='Conceptos Desglosados'!$H$13,VLOOKUP($A57,conferencias,2,0),"")))))))))),"")*K$3,"")</f>
        <v/>
      </c>
      <c r="L57" t="str">
        <f>IFERROR(IFERROR(IF(L$5='Conceptos Desglosados'!$H$4,VLOOKUP($A57,dormitorios,2,0),IF(L$5='Conceptos Desglosados'!$H$5,VLOOKUP($A57,comedor,2,0),IF(L$5='Conceptos Desglosados'!$H$6,VLOOKUP($A57,alojamiento,2,0),IF(L$5='Conceptos Desglosados'!$H$7,VLOOKUP($A57,sanidad,2,0),IF(L$5='Conceptos Desglosados'!$H$8,VLOOKUP($A57,servicios,2,0),IF(L$5='Conceptos Desglosados'!$H$9,VLOOKUP($A57,comyaloj,2,0),IF(L$5='Conceptos Desglosados'!$H$10,VLOOKUP($A57,comandancia,2,0),IF(L$5='Conceptos Desglosados'!$H$11,VLOOKUP($A57,mantenimiento,2,0),IF(L$5='Conceptos Desglosados'!$H$12,VLOOKUP($A57,serestatal,2,0),IF(L$5='Conceptos Desglosados'!$H$13,VLOOKUP($A57,conferencias,2,0),"")))))))))),"")*L$3,"")</f>
        <v/>
      </c>
      <c r="M57" t="str">
        <f>IFERROR(IFERROR(IF(M$5='Conceptos Desglosados'!$H$4,VLOOKUP($A57,dormitorios,2,0),IF(M$5='Conceptos Desglosados'!$H$5,VLOOKUP($A57,comedor,2,0),IF(M$5='Conceptos Desglosados'!$H$6,VLOOKUP($A57,alojamiento,2,0),IF(M$5='Conceptos Desglosados'!$H$7,VLOOKUP($A57,sanidad,2,0),IF(M$5='Conceptos Desglosados'!$H$8,VLOOKUP($A57,servicios,2,0),IF(M$5='Conceptos Desglosados'!$H$9,VLOOKUP($A57,comyaloj,2,0),IF(M$5='Conceptos Desglosados'!$H$10,VLOOKUP($A57,comandancia,2,0),IF(M$5='Conceptos Desglosados'!$H$11,VLOOKUP($A57,mantenimiento,2,0),IF(M$5='Conceptos Desglosados'!$H$12,VLOOKUP($A57,serestatal,2,0),IF(M$5='Conceptos Desglosados'!$H$13,VLOOKUP($A57,conferencias,2,0),"")))))))))),"")*M$3,"")</f>
        <v/>
      </c>
      <c r="O57">
        <f>SUM(K57:M57)</f>
        <v>0</v>
      </c>
    </row>
    <row r="58" spans="1:15" x14ac:dyDescent="0.35">
      <c r="A58">
        <v>53</v>
      </c>
      <c r="B58" t="s">
        <v>10</v>
      </c>
      <c r="C58" t="s">
        <v>180</v>
      </c>
      <c r="D58" t="s">
        <v>236</v>
      </c>
      <c r="E58" t="s">
        <v>1</v>
      </c>
      <c r="F58" t="s">
        <v>883</v>
      </c>
      <c r="G58" t="s">
        <v>0</v>
      </c>
      <c r="H58">
        <v>1.9903</v>
      </c>
      <c r="I58">
        <v>2.7149999999999999</v>
      </c>
      <c r="J58" t="s">
        <v>6</v>
      </c>
      <c r="K58" t="str">
        <f>IFERROR(IFERROR(IF(K$5='Conceptos Desglosados'!$H$4,VLOOKUP($A58,dormitorios,2,0),IF(K$5='Conceptos Desglosados'!$H$5,VLOOKUP($A58,comedor,2,0),IF(K$5='Conceptos Desglosados'!$H$6,VLOOKUP($A58,alojamiento,2,0),IF(K$5='Conceptos Desglosados'!$H$7,VLOOKUP($A58,sanidad,2,0),IF(K$5='Conceptos Desglosados'!$H$8,VLOOKUP($A58,servicios,2,0),IF(K$5='Conceptos Desglosados'!$H$9,VLOOKUP($A58,comyaloj,2,0),IF(K$5='Conceptos Desglosados'!$H$10,VLOOKUP($A58,comandancia,2,0),IF(K$5='Conceptos Desglosados'!$H$11,VLOOKUP($A58,mantenimiento,2,0),IF(K$5='Conceptos Desglosados'!$H$12,VLOOKUP($A58,serestatal,2,0),IF(K$5='Conceptos Desglosados'!$H$13,VLOOKUP($A58,conferencias,2,0),"")))))))))),"")*K$3,"")</f>
        <v/>
      </c>
      <c r="L58" t="str">
        <f>IFERROR(IFERROR(IF(L$5='Conceptos Desglosados'!$H$4,VLOOKUP($A58,dormitorios,2,0),IF(L$5='Conceptos Desglosados'!$H$5,VLOOKUP($A58,comedor,2,0),IF(L$5='Conceptos Desglosados'!$H$6,VLOOKUP($A58,alojamiento,2,0),IF(L$5='Conceptos Desglosados'!$H$7,VLOOKUP($A58,sanidad,2,0),IF(L$5='Conceptos Desglosados'!$H$8,VLOOKUP($A58,servicios,2,0),IF(L$5='Conceptos Desglosados'!$H$9,VLOOKUP($A58,comyaloj,2,0),IF(L$5='Conceptos Desglosados'!$H$10,VLOOKUP($A58,comandancia,2,0),IF(L$5='Conceptos Desglosados'!$H$11,VLOOKUP($A58,mantenimiento,2,0),IF(L$5='Conceptos Desglosados'!$H$12,VLOOKUP($A58,serestatal,2,0),IF(L$5='Conceptos Desglosados'!$H$13,VLOOKUP($A58,conferencias,2,0),"")))))))))),"")*L$3,"")</f>
        <v/>
      </c>
      <c r="M58" t="str">
        <f>IFERROR(IFERROR(IF(M$5='Conceptos Desglosados'!$H$4,VLOOKUP($A58,dormitorios,2,0),IF(M$5='Conceptos Desglosados'!$H$5,VLOOKUP($A58,comedor,2,0),IF(M$5='Conceptos Desglosados'!$H$6,VLOOKUP($A58,alojamiento,2,0),IF(M$5='Conceptos Desglosados'!$H$7,VLOOKUP($A58,sanidad,2,0),IF(M$5='Conceptos Desglosados'!$H$8,VLOOKUP($A58,servicios,2,0),IF(M$5='Conceptos Desglosados'!$H$9,VLOOKUP($A58,comyaloj,2,0),IF(M$5='Conceptos Desglosados'!$H$10,VLOOKUP($A58,comandancia,2,0),IF(M$5='Conceptos Desglosados'!$H$11,VLOOKUP($A58,mantenimiento,2,0),IF(M$5='Conceptos Desglosados'!$H$12,VLOOKUP($A58,serestatal,2,0),IF(M$5='Conceptos Desglosados'!$H$13,VLOOKUP($A58,conferencias,2,0),"")))))))))),"")*M$3,"")</f>
        <v/>
      </c>
      <c r="O58">
        <f>SUM(K58:M58)</f>
        <v>0</v>
      </c>
    </row>
    <row r="59" spans="1:15" x14ac:dyDescent="0.35">
      <c r="A59">
        <v>54</v>
      </c>
      <c r="B59" t="s">
        <v>10</v>
      </c>
      <c r="C59" t="s">
        <v>181</v>
      </c>
      <c r="D59" t="s">
        <v>237</v>
      </c>
      <c r="E59" t="s">
        <v>1</v>
      </c>
      <c r="F59" t="s">
        <v>883</v>
      </c>
      <c r="G59" t="s">
        <v>0</v>
      </c>
      <c r="H59">
        <v>2.31</v>
      </c>
      <c r="I59">
        <v>2.7149999999999999</v>
      </c>
      <c r="J59" t="s">
        <v>6</v>
      </c>
      <c r="K59" t="str">
        <f>IFERROR(IFERROR(IF(K$5='Conceptos Desglosados'!$H$4,VLOOKUP($A59,dormitorios,2,0),IF(K$5='Conceptos Desglosados'!$H$5,VLOOKUP($A59,comedor,2,0),IF(K$5='Conceptos Desglosados'!$H$6,VLOOKUP($A59,alojamiento,2,0),IF(K$5='Conceptos Desglosados'!$H$7,VLOOKUP($A59,sanidad,2,0),IF(K$5='Conceptos Desglosados'!$H$8,VLOOKUP($A59,servicios,2,0),IF(K$5='Conceptos Desglosados'!$H$9,VLOOKUP($A59,comyaloj,2,0),IF(K$5='Conceptos Desglosados'!$H$10,VLOOKUP($A59,comandancia,2,0),IF(K$5='Conceptos Desglosados'!$H$11,VLOOKUP($A59,mantenimiento,2,0),IF(K$5='Conceptos Desglosados'!$H$12,VLOOKUP($A59,serestatal,2,0),IF(K$5='Conceptos Desglosados'!$H$13,VLOOKUP($A59,conferencias,2,0),"")))))))))),"")*K$3,"")</f>
        <v/>
      </c>
      <c r="L59" t="str">
        <f>IFERROR(IFERROR(IF(L$5='Conceptos Desglosados'!$H$4,VLOOKUP($A59,dormitorios,2,0),IF(L$5='Conceptos Desglosados'!$H$5,VLOOKUP($A59,comedor,2,0),IF(L$5='Conceptos Desglosados'!$H$6,VLOOKUP($A59,alojamiento,2,0),IF(L$5='Conceptos Desglosados'!$H$7,VLOOKUP($A59,sanidad,2,0),IF(L$5='Conceptos Desglosados'!$H$8,VLOOKUP($A59,servicios,2,0),IF(L$5='Conceptos Desglosados'!$H$9,VLOOKUP($A59,comyaloj,2,0),IF(L$5='Conceptos Desglosados'!$H$10,VLOOKUP($A59,comandancia,2,0),IF(L$5='Conceptos Desglosados'!$H$11,VLOOKUP($A59,mantenimiento,2,0),IF(L$5='Conceptos Desglosados'!$H$12,VLOOKUP($A59,serestatal,2,0),IF(L$5='Conceptos Desglosados'!$H$13,VLOOKUP($A59,conferencias,2,0),"")))))))))),"")*L$3,"")</f>
        <v/>
      </c>
      <c r="M59" t="str">
        <f>IFERROR(IFERROR(IF(M$5='Conceptos Desglosados'!$H$4,VLOOKUP($A59,dormitorios,2,0),IF(M$5='Conceptos Desglosados'!$H$5,VLOOKUP($A59,comedor,2,0),IF(M$5='Conceptos Desglosados'!$H$6,VLOOKUP($A59,alojamiento,2,0),IF(M$5='Conceptos Desglosados'!$H$7,VLOOKUP($A59,sanidad,2,0),IF(M$5='Conceptos Desglosados'!$H$8,VLOOKUP($A59,servicios,2,0),IF(M$5='Conceptos Desglosados'!$H$9,VLOOKUP($A59,comyaloj,2,0),IF(M$5='Conceptos Desglosados'!$H$10,VLOOKUP($A59,comandancia,2,0),IF(M$5='Conceptos Desglosados'!$H$11,VLOOKUP($A59,mantenimiento,2,0),IF(M$5='Conceptos Desglosados'!$H$12,VLOOKUP($A59,serestatal,2,0),IF(M$5='Conceptos Desglosados'!$H$13,VLOOKUP($A59,conferencias,2,0),"")))))))))),"")*M$3,"")</f>
        <v/>
      </c>
      <c r="O59">
        <f>SUM(K59:M59)</f>
        <v>0</v>
      </c>
    </row>
    <row r="60" spans="1:15" x14ac:dyDescent="0.35">
      <c r="A60">
        <v>55</v>
      </c>
      <c r="B60" t="s">
        <v>10</v>
      </c>
      <c r="C60" t="s">
        <v>182</v>
      </c>
      <c r="D60" t="s">
        <v>238</v>
      </c>
      <c r="E60" t="s">
        <v>1</v>
      </c>
      <c r="F60" t="s">
        <v>883</v>
      </c>
      <c r="G60" t="s">
        <v>0</v>
      </c>
      <c r="H60">
        <v>2.0049999999999999</v>
      </c>
      <c r="I60">
        <v>2.7149999999999999</v>
      </c>
      <c r="J60" t="s">
        <v>6</v>
      </c>
      <c r="K60" t="str">
        <f>IFERROR(IFERROR(IF(K$5='Conceptos Desglosados'!$H$4,VLOOKUP($A60,dormitorios,2,0),IF(K$5='Conceptos Desglosados'!$H$5,VLOOKUP($A60,comedor,2,0),IF(K$5='Conceptos Desglosados'!$H$6,VLOOKUP($A60,alojamiento,2,0),IF(K$5='Conceptos Desglosados'!$H$7,VLOOKUP($A60,sanidad,2,0),IF(K$5='Conceptos Desglosados'!$H$8,VLOOKUP($A60,servicios,2,0),IF(K$5='Conceptos Desglosados'!$H$9,VLOOKUP($A60,comyaloj,2,0),IF(K$5='Conceptos Desglosados'!$H$10,VLOOKUP($A60,comandancia,2,0),IF(K$5='Conceptos Desglosados'!$H$11,VLOOKUP($A60,mantenimiento,2,0),IF(K$5='Conceptos Desglosados'!$H$12,VLOOKUP($A60,serestatal,2,0),IF(K$5='Conceptos Desglosados'!$H$13,VLOOKUP($A60,conferencias,2,0),"")))))))))),"")*K$3,"")</f>
        <v/>
      </c>
      <c r="L60" t="str">
        <f>IFERROR(IFERROR(IF(L$5='Conceptos Desglosados'!$H$4,VLOOKUP($A60,dormitorios,2,0),IF(L$5='Conceptos Desglosados'!$H$5,VLOOKUP($A60,comedor,2,0),IF(L$5='Conceptos Desglosados'!$H$6,VLOOKUP($A60,alojamiento,2,0),IF(L$5='Conceptos Desglosados'!$H$7,VLOOKUP($A60,sanidad,2,0),IF(L$5='Conceptos Desglosados'!$H$8,VLOOKUP($A60,servicios,2,0),IF(L$5='Conceptos Desglosados'!$H$9,VLOOKUP($A60,comyaloj,2,0),IF(L$5='Conceptos Desglosados'!$H$10,VLOOKUP($A60,comandancia,2,0),IF(L$5='Conceptos Desglosados'!$H$11,VLOOKUP($A60,mantenimiento,2,0),IF(L$5='Conceptos Desglosados'!$H$12,VLOOKUP($A60,serestatal,2,0),IF(L$5='Conceptos Desglosados'!$H$13,VLOOKUP($A60,conferencias,2,0),"")))))))))),"")*L$3,"")</f>
        <v/>
      </c>
      <c r="M60" t="str">
        <f>IFERROR(IFERROR(IF(M$5='Conceptos Desglosados'!$H$4,VLOOKUP($A60,dormitorios,2,0),IF(M$5='Conceptos Desglosados'!$H$5,VLOOKUP($A60,comedor,2,0),IF(M$5='Conceptos Desglosados'!$H$6,VLOOKUP($A60,alojamiento,2,0),IF(M$5='Conceptos Desglosados'!$H$7,VLOOKUP($A60,sanidad,2,0),IF(M$5='Conceptos Desglosados'!$H$8,VLOOKUP($A60,servicios,2,0),IF(M$5='Conceptos Desglosados'!$H$9,VLOOKUP($A60,comyaloj,2,0),IF(M$5='Conceptos Desglosados'!$H$10,VLOOKUP($A60,comandancia,2,0),IF(M$5='Conceptos Desglosados'!$H$11,VLOOKUP($A60,mantenimiento,2,0),IF(M$5='Conceptos Desglosados'!$H$12,VLOOKUP($A60,serestatal,2,0),IF(M$5='Conceptos Desglosados'!$H$13,VLOOKUP($A60,conferencias,2,0),"")))))))))),"")*M$3,"")</f>
        <v/>
      </c>
      <c r="O60">
        <f>SUM(K60:M60)</f>
        <v>0</v>
      </c>
    </row>
    <row r="61" spans="1:15" x14ac:dyDescent="0.35">
      <c r="A61">
        <v>56</v>
      </c>
      <c r="B61" t="s">
        <v>10</v>
      </c>
      <c r="C61" t="s">
        <v>183</v>
      </c>
      <c r="D61" t="s">
        <v>239</v>
      </c>
      <c r="E61" t="s">
        <v>1</v>
      </c>
      <c r="F61" t="s">
        <v>883</v>
      </c>
      <c r="G61" t="s">
        <v>0</v>
      </c>
      <c r="H61">
        <v>2.09</v>
      </c>
      <c r="I61">
        <v>2.7149999999999999</v>
      </c>
      <c r="J61" t="s">
        <v>6</v>
      </c>
      <c r="K61">
        <f>IFERROR(IFERROR(IF(K$5='Conceptos Desglosados'!$H$4,VLOOKUP($A61,dormitorios,2,0),IF(K$5='Conceptos Desglosados'!$H$5,VLOOKUP($A61,comedor,2,0),IF(K$5='Conceptos Desglosados'!$H$6,VLOOKUP($A61,alojamiento,2,0),IF(K$5='Conceptos Desglosados'!$H$7,VLOOKUP($A61,sanidad,2,0),IF(K$5='Conceptos Desglosados'!$H$8,VLOOKUP($A61,servicios,2,0),IF(K$5='Conceptos Desglosados'!$H$9,VLOOKUP($A61,comyaloj,2,0),IF(K$5='Conceptos Desglosados'!$H$10,VLOOKUP($A61,comandancia,2,0),IF(K$5='Conceptos Desglosados'!$H$11,VLOOKUP($A61,mantenimiento,2,0),IF(K$5='Conceptos Desglosados'!$H$12,VLOOKUP($A61,serestatal,2,0),IF(K$5='Conceptos Desglosados'!$H$13,VLOOKUP($A61,conferencias,2,0),"")))))))))),"")*K$3,"")</f>
        <v>4</v>
      </c>
      <c r="L61" t="str">
        <f>IFERROR(IFERROR(IF(L$5='Conceptos Desglosados'!$H$4,VLOOKUP($A61,dormitorios,2,0),IF(L$5='Conceptos Desglosados'!$H$5,VLOOKUP($A61,comedor,2,0),IF(L$5='Conceptos Desglosados'!$H$6,VLOOKUP($A61,alojamiento,2,0),IF(L$5='Conceptos Desglosados'!$H$7,VLOOKUP($A61,sanidad,2,0),IF(L$5='Conceptos Desglosados'!$H$8,VLOOKUP($A61,servicios,2,0),IF(L$5='Conceptos Desglosados'!$H$9,VLOOKUP($A61,comyaloj,2,0),IF(L$5='Conceptos Desglosados'!$H$10,VLOOKUP($A61,comandancia,2,0),IF(L$5='Conceptos Desglosados'!$H$11,VLOOKUP($A61,mantenimiento,2,0),IF(L$5='Conceptos Desglosados'!$H$12,VLOOKUP($A61,serestatal,2,0),IF(L$5='Conceptos Desglosados'!$H$13,VLOOKUP($A61,conferencias,2,0),"")))))))))),"")*L$3,"")</f>
        <v/>
      </c>
      <c r="M61">
        <f>IFERROR(IFERROR(IF(M$5='Conceptos Desglosados'!$H$4,VLOOKUP($A61,dormitorios,2,0),IF(M$5='Conceptos Desglosados'!$H$5,VLOOKUP($A61,comedor,2,0),IF(M$5='Conceptos Desglosados'!$H$6,VLOOKUP($A61,alojamiento,2,0),IF(M$5='Conceptos Desglosados'!$H$7,VLOOKUP($A61,sanidad,2,0),IF(M$5='Conceptos Desglosados'!$H$8,VLOOKUP($A61,servicios,2,0),IF(M$5='Conceptos Desglosados'!$H$9,VLOOKUP($A61,comyaloj,2,0),IF(M$5='Conceptos Desglosados'!$H$10,VLOOKUP($A61,comandancia,2,0),IF(M$5='Conceptos Desglosados'!$H$11,VLOOKUP($A61,mantenimiento,2,0),IF(M$5='Conceptos Desglosados'!$H$12,VLOOKUP($A61,serestatal,2,0),IF(M$5='Conceptos Desglosados'!$H$13,VLOOKUP($A61,conferencias,2,0),"")))))))))),"")*M$3,"")</f>
        <v>16</v>
      </c>
      <c r="O61">
        <f>SUM(K61:M61)</f>
        <v>20</v>
      </c>
    </row>
    <row r="62" spans="1:15" x14ac:dyDescent="0.35">
      <c r="A62">
        <v>57</v>
      </c>
      <c r="B62" t="s">
        <v>10</v>
      </c>
      <c r="C62" t="s">
        <v>276</v>
      </c>
      <c r="D62" t="s">
        <v>277</v>
      </c>
      <c r="E62" t="s">
        <v>1</v>
      </c>
      <c r="F62" t="s">
        <v>883</v>
      </c>
      <c r="G62" t="s">
        <v>0</v>
      </c>
      <c r="H62">
        <v>0.6</v>
      </c>
      <c r="I62">
        <v>2.7149999999999999</v>
      </c>
      <c r="J62" t="s">
        <v>6</v>
      </c>
      <c r="K62" t="str">
        <f>IFERROR(IFERROR(IF(K$5='Conceptos Desglosados'!$H$4,VLOOKUP($A62,dormitorios,2,0),IF(K$5='Conceptos Desglosados'!$H$5,VLOOKUP($A62,comedor,2,0),IF(K$5='Conceptos Desglosados'!$H$6,VLOOKUP($A62,alojamiento,2,0),IF(K$5='Conceptos Desglosados'!$H$7,VLOOKUP($A62,sanidad,2,0),IF(K$5='Conceptos Desglosados'!$H$8,VLOOKUP($A62,servicios,2,0),IF(K$5='Conceptos Desglosados'!$H$9,VLOOKUP($A62,comyaloj,2,0),IF(K$5='Conceptos Desglosados'!$H$10,VLOOKUP($A62,comandancia,2,0),IF(K$5='Conceptos Desglosados'!$H$11,VLOOKUP($A62,mantenimiento,2,0),IF(K$5='Conceptos Desglosados'!$H$12,VLOOKUP($A62,serestatal,2,0),IF(K$5='Conceptos Desglosados'!$H$13,VLOOKUP($A62,conferencias,2,0),"")))))))))),"")*K$3,"")</f>
        <v/>
      </c>
      <c r="L62" t="str">
        <f>IFERROR(IFERROR(IF(L$5='Conceptos Desglosados'!$H$4,VLOOKUP($A62,dormitorios,2,0),IF(L$5='Conceptos Desglosados'!$H$5,VLOOKUP($A62,comedor,2,0),IF(L$5='Conceptos Desglosados'!$H$6,VLOOKUP($A62,alojamiento,2,0),IF(L$5='Conceptos Desglosados'!$H$7,VLOOKUP($A62,sanidad,2,0),IF(L$5='Conceptos Desglosados'!$H$8,VLOOKUP($A62,servicios,2,0),IF(L$5='Conceptos Desglosados'!$H$9,VLOOKUP($A62,comyaloj,2,0),IF(L$5='Conceptos Desglosados'!$H$10,VLOOKUP($A62,comandancia,2,0),IF(L$5='Conceptos Desglosados'!$H$11,VLOOKUP($A62,mantenimiento,2,0),IF(L$5='Conceptos Desglosados'!$H$12,VLOOKUP($A62,serestatal,2,0),IF(L$5='Conceptos Desglosados'!$H$13,VLOOKUP($A62,conferencias,2,0),"")))))))))),"")*L$3,"")</f>
        <v/>
      </c>
      <c r="M62" t="str">
        <f>IFERROR(IFERROR(IF(M$5='Conceptos Desglosados'!$H$4,VLOOKUP($A62,dormitorios,2,0),IF(M$5='Conceptos Desglosados'!$H$5,VLOOKUP($A62,comedor,2,0),IF(M$5='Conceptos Desglosados'!$H$6,VLOOKUP($A62,alojamiento,2,0),IF(M$5='Conceptos Desglosados'!$H$7,VLOOKUP($A62,sanidad,2,0),IF(M$5='Conceptos Desglosados'!$H$8,VLOOKUP($A62,servicios,2,0),IF(M$5='Conceptos Desglosados'!$H$9,VLOOKUP($A62,comyaloj,2,0),IF(M$5='Conceptos Desglosados'!$H$10,VLOOKUP($A62,comandancia,2,0),IF(M$5='Conceptos Desglosados'!$H$11,VLOOKUP($A62,mantenimiento,2,0),IF(M$5='Conceptos Desglosados'!$H$12,VLOOKUP($A62,serestatal,2,0),IF(M$5='Conceptos Desglosados'!$H$13,VLOOKUP($A62,conferencias,2,0),"")))))))))),"")*M$3,"")</f>
        <v/>
      </c>
      <c r="O62">
        <f>SUM(K62:M62)</f>
        <v>0</v>
      </c>
    </row>
    <row r="63" spans="1:15" x14ac:dyDescent="0.35">
      <c r="A63">
        <v>58</v>
      </c>
      <c r="B63" t="s">
        <v>10</v>
      </c>
      <c r="C63" t="s">
        <v>278</v>
      </c>
      <c r="D63" t="s">
        <v>279</v>
      </c>
      <c r="E63" t="s">
        <v>1</v>
      </c>
      <c r="F63" t="s">
        <v>883</v>
      </c>
      <c r="G63" t="s">
        <v>0</v>
      </c>
      <c r="H63">
        <v>1.81</v>
      </c>
      <c r="I63">
        <v>2.7149999999999999</v>
      </c>
      <c r="J63" t="s">
        <v>6</v>
      </c>
      <c r="K63" t="str">
        <f>IFERROR(IFERROR(IF(K$5='Conceptos Desglosados'!$H$4,VLOOKUP($A63,dormitorios,2,0),IF(K$5='Conceptos Desglosados'!$H$5,VLOOKUP($A63,comedor,2,0),IF(K$5='Conceptos Desglosados'!$H$6,VLOOKUP($A63,alojamiento,2,0),IF(K$5='Conceptos Desglosados'!$H$7,VLOOKUP($A63,sanidad,2,0),IF(K$5='Conceptos Desglosados'!$H$8,VLOOKUP($A63,servicios,2,0),IF(K$5='Conceptos Desglosados'!$H$9,VLOOKUP($A63,comyaloj,2,0),IF(K$5='Conceptos Desglosados'!$H$10,VLOOKUP($A63,comandancia,2,0),IF(K$5='Conceptos Desglosados'!$H$11,VLOOKUP($A63,mantenimiento,2,0),IF(K$5='Conceptos Desglosados'!$H$12,VLOOKUP($A63,serestatal,2,0),IF(K$5='Conceptos Desglosados'!$H$13,VLOOKUP($A63,conferencias,2,0),"")))))))))),"")*K$3,"")</f>
        <v/>
      </c>
      <c r="L63" t="str">
        <f>IFERROR(IFERROR(IF(L$5='Conceptos Desglosados'!$H$4,VLOOKUP($A63,dormitorios,2,0),IF(L$5='Conceptos Desglosados'!$H$5,VLOOKUP($A63,comedor,2,0),IF(L$5='Conceptos Desglosados'!$H$6,VLOOKUP($A63,alojamiento,2,0),IF(L$5='Conceptos Desglosados'!$H$7,VLOOKUP($A63,sanidad,2,0),IF(L$5='Conceptos Desglosados'!$H$8,VLOOKUP($A63,servicios,2,0),IF(L$5='Conceptos Desglosados'!$H$9,VLOOKUP($A63,comyaloj,2,0),IF(L$5='Conceptos Desglosados'!$H$10,VLOOKUP($A63,comandancia,2,0),IF(L$5='Conceptos Desglosados'!$H$11,VLOOKUP($A63,mantenimiento,2,0),IF(L$5='Conceptos Desglosados'!$H$12,VLOOKUP($A63,serestatal,2,0),IF(L$5='Conceptos Desglosados'!$H$13,VLOOKUP($A63,conferencias,2,0),"")))))))))),"")*L$3,"")</f>
        <v/>
      </c>
      <c r="M63" t="str">
        <f>IFERROR(IFERROR(IF(M$5='Conceptos Desglosados'!$H$4,VLOOKUP($A63,dormitorios,2,0),IF(M$5='Conceptos Desglosados'!$H$5,VLOOKUP($A63,comedor,2,0),IF(M$5='Conceptos Desglosados'!$H$6,VLOOKUP($A63,alojamiento,2,0),IF(M$5='Conceptos Desglosados'!$H$7,VLOOKUP($A63,sanidad,2,0),IF(M$5='Conceptos Desglosados'!$H$8,VLOOKUP($A63,servicios,2,0),IF(M$5='Conceptos Desglosados'!$H$9,VLOOKUP($A63,comyaloj,2,0),IF(M$5='Conceptos Desglosados'!$H$10,VLOOKUP($A63,comandancia,2,0),IF(M$5='Conceptos Desglosados'!$H$11,VLOOKUP($A63,mantenimiento,2,0),IF(M$5='Conceptos Desglosados'!$H$12,VLOOKUP($A63,serestatal,2,0),IF(M$5='Conceptos Desglosados'!$H$13,VLOOKUP($A63,conferencias,2,0),"")))))))))),"")*M$3,"")</f>
        <v/>
      </c>
      <c r="O63">
        <f>SUM(K63:M63)</f>
        <v>0</v>
      </c>
    </row>
    <row r="64" spans="1:15" x14ac:dyDescent="0.35">
      <c r="A64">
        <v>59</v>
      </c>
      <c r="B64" t="s">
        <v>10</v>
      </c>
      <c r="C64" t="s">
        <v>280</v>
      </c>
      <c r="D64" t="s">
        <v>281</v>
      </c>
      <c r="E64" t="s">
        <v>1</v>
      </c>
      <c r="F64" t="s">
        <v>883</v>
      </c>
      <c r="G64" t="s">
        <v>0</v>
      </c>
      <c r="H64">
        <v>1.5</v>
      </c>
      <c r="I64">
        <v>2.7149999999999999</v>
      </c>
      <c r="J64" t="s">
        <v>6</v>
      </c>
      <c r="K64" t="str">
        <f>IFERROR(IFERROR(IF(K$5='Conceptos Desglosados'!$H$4,VLOOKUP($A64,dormitorios,2,0),IF(K$5='Conceptos Desglosados'!$H$5,VLOOKUP($A64,comedor,2,0),IF(K$5='Conceptos Desglosados'!$H$6,VLOOKUP($A64,alojamiento,2,0),IF(K$5='Conceptos Desglosados'!$H$7,VLOOKUP($A64,sanidad,2,0),IF(K$5='Conceptos Desglosados'!$H$8,VLOOKUP($A64,servicios,2,0),IF(K$5='Conceptos Desglosados'!$H$9,VLOOKUP($A64,comyaloj,2,0),IF(K$5='Conceptos Desglosados'!$H$10,VLOOKUP($A64,comandancia,2,0),IF(K$5='Conceptos Desglosados'!$H$11,VLOOKUP($A64,mantenimiento,2,0),IF(K$5='Conceptos Desglosados'!$H$12,VLOOKUP($A64,serestatal,2,0),IF(K$5='Conceptos Desglosados'!$H$13,VLOOKUP($A64,conferencias,2,0),"")))))))))),"")*K$3,"")</f>
        <v/>
      </c>
      <c r="L64" t="str">
        <f>IFERROR(IFERROR(IF(L$5='Conceptos Desglosados'!$H$4,VLOOKUP($A64,dormitorios,2,0),IF(L$5='Conceptos Desglosados'!$H$5,VLOOKUP($A64,comedor,2,0),IF(L$5='Conceptos Desglosados'!$H$6,VLOOKUP($A64,alojamiento,2,0),IF(L$5='Conceptos Desglosados'!$H$7,VLOOKUP($A64,sanidad,2,0),IF(L$5='Conceptos Desglosados'!$H$8,VLOOKUP($A64,servicios,2,0),IF(L$5='Conceptos Desglosados'!$H$9,VLOOKUP($A64,comyaloj,2,0),IF(L$5='Conceptos Desglosados'!$H$10,VLOOKUP($A64,comandancia,2,0),IF(L$5='Conceptos Desglosados'!$H$11,VLOOKUP($A64,mantenimiento,2,0),IF(L$5='Conceptos Desglosados'!$H$12,VLOOKUP($A64,serestatal,2,0),IF(L$5='Conceptos Desglosados'!$H$13,VLOOKUP($A64,conferencias,2,0),"")))))))))),"")*L$3,"")</f>
        <v/>
      </c>
      <c r="M64">
        <f>IFERROR(IFERROR(IF(M$5='Conceptos Desglosados'!$H$4,VLOOKUP($A64,dormitorios,2,0),IF(M$5='Conceptos Desglosados'!$H$5,VLOOKUP($A64,comedor,2,0),IF(M$5='Conceptos Desglosados'!$H$6,VLOOKUP($A64,alojamiento,2,0),IF(M$5='Conceptos Desglosados'!$H$7,VLOOKUP($A64,sanidad,2,0),IF(M$5='Conceptos Desglosados'!$H$8,VLOOKUP($A64,servicios,2,0),IF(M$5='Conceptos Desglosados'!$H$9,VLOOKUP($A64,comyaloj,2,0),IF(M$5='Conceptos Desglosados'!$H$10,VLOOKUP($A64,comandancia,2,0),IF(M$5='Conceptos Desglosados'!$H$11,VLOOKUP($A64,mantenimiento,2,0),IF(M$5='Conceptos Desglosados'!$H$12,VLOOKUP($A64,serestatal,2,0),IF(M$5='Conceptos Desglosados'!$H$13,VLOOKUP($A64,conferencias,2,0),"")))))))))),"")*M$3,"")</f>
        <v>4</v>
      </c>
      <c r="O64">
        <f>SUM(K64:M64)</f>
        <v>4</v>
      </c>
    </row>
    <row r="65" spans="1:15" x14ac:dyDescent="0.35">
      <c r="A65">
        <v>60</v>
      </c>
      <c r="B65" t="s">
        <v>10</v>
      </c>
      <c r="C65" t="s">
        <v>282</v>
      </c>
      <c r="D65" t="s">
        <v>283</v>
      </c>
      <c r="E65" t="s">
        <v>1</v>
      </c>
      <c r="F65" t="s">
        <v>883</v>
      </c>
      <c r="G65" t="s">
        <v>2</v>
      </c>
      <c r="H65">
        <v>2.0640000000000001</v>
      </c>
      <c r="I65">
        <v>2.7149999999999999</v>
      </c>
      <c r="J65" t="s">
        <v>6</v>
      </c>
      <c r="K65" t="str">
        <f>IFERROR(IFERROR(IF(K$5='Conceptos Desglosados'!$H$4,VLOOKUP($A65,dormitorios,2,0),IF(K$5='Conceptos Desglosados'!$H$5,VLOOKUP($A65,comedor,2,0),IF(K$5='Conceptos Desglosados'!$H$6,VLOOKUP($A65,alojamiento,2,0),IF(K$5='Conceptos Desglosados'!$H$7,VLOOKUP($A65,sanidad,2,0),IF(K$5='Conceptos Desglosados'!$H$8,VLOOKUP($A65,servicios,2,0),IF(K$5='Conceptos Desglosados'!$H$9,VLOOKUP($A65,comyaloj,2,0),IF(K$5='Conceptos Desglosados'!$H$10,VLOOKUP($A65,comandancia,2,0),IF(K$5='Conceptos Desglosados'!$H$11,VLOOKUP($A65,mantenimiento,2,0),IF(K$5='Conceptos Desglosados'!$H$12,VLOOKUP($A65,serestatal,2,0),IF(K$5='Conceptos Desglosados'!$H$13,VLOOKUP($A65,conferencias,2,0),"")))))))))),"")*K$3,"")</f>
        <v/>
      </c>
      <c r="L65" t="str">
        <f>IFERROR(IFERROR(IF(L$5='Conceptos Desglosados'!$H$4,VLOOKUP($A65,dormitorios,2,0),IF(L$5='Conceptos Desglosados'!$H$5,VLOOKUP($A65,comedor,2,0),IF(L$5='Conceptos Desglosados'!$H$6,VLOOKUP($A65,alojamiento,2,0),IF(L$5='Conceptos Desglosados'!$H$7,VLOOKUP($A65,sanidad,2,0),IF(L$5='Conceptos Desglosados'!$H$8,VLOOKUP($A65,servicios,2,0),IF(L$5='Conceptos Desglosados'!$H$9,VLOOKUP($A65,comyaloj,2,0),IF(L$5='Conceptos Desglosados'!$H$10,VLOOKUP($A65,comandancia,2,0),IF(L$5='Conceptos Desglosados'!$H$11,VLOOKUP($A65,mantenimiento,2,0),IF(L$5='Conceptos Desglosados'!$H$12,VLOOKUP($A65,serestatal,2,0),IF(L$5='Conceptos Desglosados'!$H$13,VLOOKUP($A65,conferencias,2,0),"")))))))))),"")*L$3,"")</f>
        <v/>
      </c>
      <c r="M65" t="str">
        <f>IFERROR(IFERROR(IF(M$5='Conceptos Desglosados'!$H$4,VLOOKUP($A65,dormitorios,2,0),IF(M$5='Conceptos Desglosados'!$H$5,VLOOKUP($A65,comedor,2,0),IF(M$5='Conceptos Desglosados'!$H$6,VLOOKUP($A65,alojamiento,2,0),IF(M$5='Conceptos Desglosados'!$H$7,VLOOKUP($A65,sanidad,2,0),IF(M$5='Conceptos Desglosados'!$H$8,VLOOKUP($A65,servicios,2,0),IF(M$5='Conceptos Desglosados'!$H$9,VLOOKUP($A65,comyaloj,2,0),IF(M$5='Conceptos Desglosados'!$H$10,VLOOKUP($A65,comandancia,2,0),IF(M$5='Conceptos Desglosados'!$H$11,VLOOKUP($A65,mantenimiento,2,0),IF(M$5='Conceptos Desglosados'!$H$12,VLOOKUP($A65,serestatal,2,0),IF(M$5='Conceptos Desglosados'!$H$13,VLOOKUP($A65,conferencias,2,0),"")))))))))),"")*M$3,"")</f>
        <v/>
      </c>
      <c r="O65">
        <f>SUM(K65:M65)</f>
        <v>0</v>
      </c>
    </row>
    <row r="66" spans="1:15" x14ac:dyDescent="0.35">
      <c r="A66">
        <v>61</v>
      </c>
      <c r="B66" t="s">
        <v>10</v>
      </c>
      <c r="C66" t="s">
        <v>349</v>
      </c>
      <c r="D66" t="s">
        <v>350</v>
      </c>
      <c r="E66" t="s">
        <v>1</v>
      </c>
      <c r="F66" t="s">
        <v>883</v>
      </c>
      <c r="G66" t="s">
        <v>2</v>
      </c>
      <c r="H66">
        <v>1.99</v>
      </c>
      <c r="I66">
        <v>3</v>
      </c>
      <c r="J66" t="s">
        <v>6</v>
      </c>
      <c r="K66" t="str">
        <f>IFERROR(IFERROR(IF(K$5='Conceptos Desglosados'!$H$4,VLOOKUP($A66,dormitorios,2,0),IF(K$5='Conceptos Desglosados'!$H$5,VLOOKUP($A66,comedor,2,0),IF(K$5='Conceptos Desglosados'!$H$6,VLOOKUP($A66,alojamiento,2,0),IF(K$5='Conceptos Desglosados'!$H$7,VLOOKUP($A66,sanidad,2,0),IF(K$5='Conceptos Desglosados'!$H$8,VLOOKUP($A66,servicios,2,0),IF(K$5='Conceptos Desglosados'!$H$9,VLOOKUP($A66,comyaloj,2,0),IF(K$5='Conceptos Desglosados'!$H$10,VLOOKUP($A66,comandancia,2,0),IF(K$5='Conceptos Desglosados'!$H$11,VLOOKUP($A66,mantenimiento,2,0),IF(K$5='Conceptos Desglosados'!$H$12,VLOOKUP($A66,serestatal,2,0),IF(K$5='Conceptos Desglosados'!$H$13,VLOOKUP($A66,conferencias,2,0),"")))))))))),"")*K$3,"")</f>
        <v/>
      </c>
      <c r="L66" t="str">
        <f>IFERROR(IFERROR(IF(L$5='Conceptos Desglosados'!$H$4,VLOOKUP($A66,dormitorios,2,0),IF(L$5='Conceptos Desglosados'!$H$5,VLOOKUP($A66,comedor,2,0),IF(L$5='Conceptos Desglosados'!$H$6,VLOOKUP($A66,alojamiento,2,0),IF(L$5='Conceptos Desglosados'!$H$7,VLOOKUP($A66,sanidad,2,0),IF(L$5='Conceptos Desglosados'!$H$8,VLOOKUP($A66,servicios,2,0),IF(L$5='Conceptos Desglosados'!$H$9,VLOOKUP($A66,comyaloj,2,0),IF(L$5='Conceptos Desglosados'!$H$10,VLOOKUP($A66,comandancia,2,0),IF(L$5='Conceptos Desglosados'!$H$11,VLOOKUP($A66,mantenimiento,2,0),IF(L$5='Conceptos Desglosados'!$H$12,VLOOKUP($A66,serestatal,2,0),IF(L$5='Conceptos Desglosados'!$H$13,VLOOKUP($A66,conferencias,2,0),"")))))))))),"")*L$3,"")</f>
        <v/>
      </c>
      <c r="M66" t="str">
        <f>IFERROR(IFERROR(IF(M$5='Conceptos Desglosados'!$H$4,VLOOKUP($A66,dormitorios,2,0),IF(M$5='Conceptos Desglosados'!$H$5,VLOOKUP($A66,comedor,2,0),IF(M$5='Conceptos Desglosados'!$H$6,VLOOKUP($A66,alojamiento,2,0),IF(M$5='Conceptos Desglosados'!$H$7,VLOOKUP($A66,sanidad,2,0),IF(M$5='Conceptos Desglosados'!$H$8,VLOOKUP($A66,servicios,2,0),IF(M$5='Conceptos Desglosados'!$H$9,VLOOKUP($A66,comyaloj,2,0),IF(M$5='Conceptos Desglosados'!$H$10,VLOOKUP($A66,comandancia,2,0),IF(M$5='Conceptos Desglosados'!$H$11,VLOOKUP($A66,mantenimiento,2,0),IF(M$5='Conceptos Desglosados'!$H$12,VLOOKUP($A66,serestatal,2,0),IF(M$5='Conceptos Desglosados'!$H$13,VLOOKUP($A66,conferencias,2,0),"")))))))))),"")*M$3,"")</f>
        <v/>
      </c>
      <c r="O66">
        <f>SUM(K66:M66)</f>
        <v>0</v>
      </c>
    </row>
    <row r="67" spans="1:15" x14ac:dyDescent="0.35">
      <c r="A67">
        <v>62</v>
      </c>
      <c r="B67" t="s">
        <v>10</v>
      </c>
      <c r="C67" t="s">
        <v>351</v>
      </c>
      <c r="D67" t="s">
        <v>352</v>
      </c>
      <c r="E67" t="s">
        <v>1</v>
      </c>
      <c r="F67" t="s">
        <v>883</v>
      </c>
      <c r="G67" t="s">
        <v>0</v>
      </c>
      <c r="H67">
        <v>2.02</v>
      </c>
      <c r="I67">
        <v>3</v>
      </c>
      <c r="J67" t="s">
        <v>6</v>
      </c>
      <c r="K67" t="str">
        <f>IFERROR(IFERROR(IF(K$5='Conceptos Desglosados'!$H$4,VLOOKUP($A67,dormitorios,2,0),IF(K$5='Conceptos Desglosados'!$H$5,VLOOKUP($A67,comedor,2,0),IF(K$5='Conceptos Desglosados'!$H$6,VLOOKUP($A67,alojamiento,2,0),IF(K$5='Conceptos Desglosados'!$H$7,VLOOKUP($A67,sanidad,2,0),IF(K$5='Conceptos Desglosados'!$H$8,VLOOKUP($A67,servicios,2,0),IF(K$5='Conceptos Desglosados'!$H$9,VLOOKUP($A67,comyaloj,2,0),IF(K$5='Conceptos Desglosados'!$H$10,VLOOKUP($A67,comandancia,2,0),IF(K$5='Conceptos Desglosados'!$H$11,VLOOKUP($A67,mantenimiento,2,0),IF(K$5='Conceptos Desglosados'!$H$12,VLOOKUP($A67,serestatal,2,0),IF(K$5='Conceptos Desglosados'!$H$13,VLOOKUP($A67,conferencias,2,0),"")))))))))),"")*K$3,"")</f>
        <v/>
      </c>
      <c r="L67" t="str">
        <f>IFERROR(IFERROR(IF(L$5='Conceptos Desglosados'!$H$4,VLOOKUP($A67,dormitorios,2,0),IF(L$5='Conceptos Desglosados'!$H$5,VLOOKUP($A67,comedor,2,0),IF(L$5='Conceptos Desglosados'!$H$6,VLOOKUP($A67,alojamiento,2,0),IF(L$5='Conceptos Desglosados'!$H$7,VLOOKUP($A67,sanidad,2,0),IF(L$5='Conceptos Desglosados'!$H$8,VLOOKUP($A67,servicios,2,0),IF(L$5='Conceptos Desglosados'!$H$9,VLOOKUP($A67,comyaloj,2,0),IF(L$5='Conceptos Desglosados'!$H$10,VLOOKUP($A67,comandancia,2,0),IF(L$5='Conceptos Desglosados'!$H$11,VLOOKUP($A67,mantenimiento,2,0),IF(L$5='Conceptos Desglosados'!$H$12,VLOOKUP($A67,serestatal,2,0),IF(L$5='Conceptos Desglosados'!$H$13,VLOOKUP($A67,conferencias,2,0),"")))))))))),"")*L$3,"")</f>
        <v/>
      </c>
      <c r="M67" t="str">
        <f>IFERROR(IFERROR(IF(M$5='Conceptos Desglosados'!$H$4,VLOOKUP($A67,dormitorios,2,0),IF(M$5='Conceptos Desglosados'!$H$5,VLOOKUP($A67,comedor,2,0),IF(M$5='Conceptos Desglosados'!$H$6,VLOOKUP($A67,alojamiento,2,0),IF(M$5='Conceptos Desglosados'!$H$7,VLOOKUP($A67,sanidad,2,0),IF(M$5='Conceptos Desglosados'!$H$8,VLOOKUP($A67,servicios,2,0),IF(M$5='Conceptos Desglosados'!$H$9,VLOOKUP($A67,comyaloj,2,0),IF(M$5='Conceptos Desglosados'!$H$10,VLOOKUP($A67,comandancia,2,0),IF(M$5='Conceptos Desglosados'!$H$11,VLOOKUP($A67,mantenimiento,2,0),IF(M$5='Conceptos Desglosados'!$H$12,VLOOKUP($A67,serestatal,2,0),IF(M$5='Conceptos Desglosados'!$H$13,VLOOKUP($A67,conferencias,2,0),"")))))))))),"")*M$3,"")</f>
        <v/>
      </c>
      <c r="O67">
        <f>SUM(K67:M67)</f>
        <v>0</v>
      </c>
    </row>
    <row r="68" spans="1:15" x14ac:dyDescent="0.35">
      <c r="A68">
        <v>63</v>
      </c>
      <c r="B68" t="s">
        <v>10</v>
      </c>
      <c r="C68" t="s">
        <v>353</v>
      </c>
      <c r="D68" t="s">
        <v>354</v>
      </c>
      <c r="E68" t="s">
        <v>1</v>
      </c>
      <c r="F68" t="s">
        <v>883</v>
      </c>
      <c r="G68" t="s">
        <v>0</v>
      </c>
      <c r="H68">
        <v>1.95</v>
      </c>
      <c r="I68">
        <v>3</v>
      </c>
      <c r="J68" t="s">
        <v>6</v>
      </c>
      <c r="K68" t="str">
        <f>IFERROR(IFERROR(IF(K$5='Conceptos Desglosados'!$H$4,VLOOKUP($A68,dormitorios,2,0),IF(K$5='Conceptos Desglosados'!$H$5,VLOOKUP($A68,comedor,2,0),IF(K$5='Conceptos Desglosados'!$H$6,VLOOKUP($A68,alojamiento,2,0),IF(K$5='Conceptos Desglosados'!$H$7,VLOOKUP($A68,sanidad,2,0),IF(K$5='Conceptos Desglosados'!$H$8,VLOOKUP($A68,servicios,2,0),IF(K$5='Conceptos Desglosados'!$H$9,VLOOKUP($A68,comyaloj,2,0),IF(K$5='Conceptos Desglosados'!$H$10,VLOOKUP($A68,comandancia,2,0),IF(K$5='Conceptos Desglosados'!$H$11,VLOOKUP($A68,mantenimiento,2,0),IF(K$5='Conceptos Desglosados'!$H$12,VLOOKUP($A68,serestatal,2,0),IF(K$5='Conceptos Desglosados'!$H$13,VLOOKUP($A68,conferencias,2,0),"")))))))))),"")*K$3,"")</f>
        <v/>
      </c>
      <c r="L68" t="str">
        <f>IFERROR(IFERROR(IF(L$5='Conceptos Desglosados'!$H$4,VLOOKUP($A68,dormitorios,2,0),IF(L$5='Conceptos Desglosados'!$H$5,VLOOKUP($A68,comedor,2,0),IF(L$5='Conceptos Desglosados'!$H$6,VLOOKUP($A68,alojamiento,2,0),IF(L$5='Conceptos Desglosados'!$H$7,VLOOKUP($A68,sanidad,2,0),IF(L$5='Conceptos Desglosados'!$H$8,VLOOKUP($A68,servicios,2,0),IF(L$5='Conceptos Desglosados'!$H$9,VLOOKUP($A68,comyaloj,2,0),IF(L$5='Conceptos Desglosados'!$H$10,VLOOKUP($A68,comandancia,2,0),IF(L$5='Conceptos Desglosados'!$H$11,VLOOKUP($A68,mantenimiento,2,0),IF(L$5='Conceptos Desglosados'!$H$12,VLOOKUP($A68,serestatal,2,0),IF(L$5='Conceptos Desglosados'!$H$13,VLOOKUP($A68,conferencias,2,0),"")))))))))),"")*L$3,"")</f>
        <v/>
      </c>
      <c r="M68" t="str">
        <f>IFERROR(IFERROR(IF(M$5='Conceptos Desglosados'!$H$4,VLOOKUP($A68,dormitorios,2,0),IF(M$5='Conceptos Desglosados'!$H$5,VLOOKUP($A68,comedor,2,0),IF(M$5='Conceptos Desglosados'!$H$6,VLOOKUP($A68,alojamiento,2,0),IF(M$5='Conceptos Desglosados'!$H$7,VLOOKUP($A68,sanidad,2,0),IF(M$5='Conceptos Desglosados'!$H$8,VLOOKUP($A68,servicios,2,0),IF(M$5='Conceptos Desglosados'!$H$9,VLOOKUP($A68,comyaloj,2,0),IF(M$5='Conceptos Desglosados'!$H$10,VLOOKUP($A68,comandancia,2,0),IF(M$5='Conceptos Desglosados'!$H$11,VLOOKUP($A68,mantenimiento,2,0),IF(M$5='Conceptos Desglosados'!$H$12,VLOOKUP($A68,serestatal,2,0),IF(M$5='Conceptos Desglosados'!$H$13,VLOOKUP($A68,conferencias,2,0),"")))))))))),"")*M$3,"")</f>
        <v/>
      </c>
      <c r="O68">
        <f>SUM(K68:M68)</f>
        <v>0</v>
      </c>
    </row>
    <row r="69" spans="1:15" x14ac:dyDescent="0.35">
      <c r="A69">
        <v>64</v>
      </c>
      <c r="B69" t="s">
        <v>10</v>
      </c>
      <c r="C69" t="s">
        <v>367</v>
      </c>
      <c r="D69" t="s">
        <v>368</v>
      </c>
      <c r="E69" t="s">
        <v>1</v>
      </c>
      <c r="F69" t="s">
        <v>883</v>
      </c>
      <c r="G69" t="s">
        <v>0</v>
      </c>
      <c r="H69">
        <v>1.8965000000000001</v>
      </c>
      <c r="I69">
        <v>2.5</v>
      </c>
      <c r="J69" t="s">
        <v>6</v>
      </c>
      <c r="K69" t="str">
        <f>IFERROR(IFERROR(IF(K$5='Conceptos Desglosados'!$H$4,VLOOKUP($A69,dormitorios,2,0),IF(K$5='Conceptos Desglosados'!$H$5,VLOOKUP($A69,comedor,2,0),IF(K$5='Conceptos Desglosados'!$H$6,VLOOKUP($A69,alojamiento,2,0),IF(K$5='Conceptos Desglosados'!$H$7,VLOOKUP($A69,sanidad,2,0),IF(K$5='Conceptos Desglosados'!$H$8,VLOOKUP($A69,servicios,2,0),IF(K$5='Conceptos Desglosados'!$H$9,VLOOKUP($A69,comyaloj,2,0),IF(K$5='Conceptos Desglosados'!$H$10,VLOOKUP($A69,comandancia,2,0),IF(K$5='Conceptos Desglosados'!$H$11,VLOOKUP($A69,mantenimiento,2,0),IF(K$5='Conceptos Desglosados'!$H$12,VLOOKUP($A69,serestatal,2,0),IF(K$5='Conceptos Desglosados'!$H$13,VLOOKUP($A69,conferencias,2,0),"")))))))))),"")*K$3,"")</f>
        <v/>
      </c>
      <c r="L69" t="str">
        <f>IFERROR(IFERROR(IF(L$5='Conceptos Desglosados'!$H$4,VLOOKUP($A69,dormitorios,2,0),IF(L$5='Conceptos Desglosados'!$H$5,VLOOKUP($A69,comedor,2,0),IF(L$5='Conceptos Desglosados'!$H$6,VLOOKUP($A69,alojamiento,2,0),IF(L$5='Conceptos Desglosados'!$H$7,VLOOKUP($A69,sanidad,2,0),IF(L$5='Conceptos Desglosados'!$H$8,VLOOKUP($A69,servicios,2,0),IF(L$5='Conceptos Desglosados'!$H$9,VLOOKUP($A69,comyaloj,2,0),IF(L$5='Conceptos Desglosados'!$H$10,VLOOKUP($A69,comandancia,2,0),IF(L$5='Conceptos Desglosados'!$H$11,VLOOKUP($A69,mantenimiento,2,0),IF(L$5='Conceptos Desglosados'!$H$12,VLOOKUP($A69,serestatal,2,0),IF(L$5='Conceptos Desglosados'!$H$13,VLOOKUP($A69,conferencias,2,0),"")))))))))),"")*L$3,"")</f>
        <v/>
      </c>
      <c r="M69" t="str">
        <f>IFERROR(IFERROR(IF(M$5='Conceptos Desglosados'!$H$4,VLOOKUP($A69,dormitorios,2,0),IF(M$5='Conceptos Desglosados'!$H$5,VLOOKUP($A69,comedor,2,0),IF(M$5='Conceptos Desglosados'!$H$6,VLOOKUP($A69,alojamiento,2,0),IF(M$5='Conceptos Desglosados'!$H$7,VLOOKUP($A69,sanidad,2,0),IF(M$5='Conceptos Desglosados'!$H$8,VLOOKUP($A69,servicios,2,0),IF(M$5='Conceptos Desglosados'!$H$9,VLOOKUP($A69,comyaloj,2,0),IF(M$5='Conceptos Desglosados'!$H$10,VLOOKUP($A69,comandancia,2,0),IF(M$5='Conceptos Desglosados'!$H$11,VLOOKUP($A69,mantenimiento,2,0),IF(M$5='Conceptos Desglosados'!$H$12,VLOOKUP($A69,serestatal,2,0),IF(M$5='Conceptos Desglosados'!$H$13,VLOOKUP($A69,conferencias,2,0),"")))))))))),"")*M$3,"")</f>
        <v/>
      </c>
      <c r="O69">
        <f>SUM(K69:M69)</f>
        <v>0</v>
      </c>
    </row>
    <row r="70" spans="1:15" x14ac:dyDescent="0.35">
      <c r="A70">
        <v>65</v>
      </c>
      <c r="B70" t="s">
        <v>10</v>
      </c>
      <c r="C70" t="s">
        <v>369</v>
      </c>
      <c r="D70" t="s">
        <v>370</v>
      </c>
      <c r="E70" t="s">
        <v>1</v>
      </c>
      <c r="F70" t="s">
        <v>883</v>
      </c>
      <c r="G70" t="s">
        <v>0</v>
      </c>
      <c r="H70">
        <v>2.0975000000000001</v>
      </c>
      <c r="I70">
        <v>2.5</v>
      </c>
      <c r="J70" t="s">
        <v>6</v>
      </c>
      <c r="K70" t="str">
        <f>IFERROR(IFERROR(IF(K$5='Conceptos Desglosados'!$H$4,VLOOKUP($A70,dormitorios,2,0),IF(K$5='Conceptos Desglosados'!$H$5,VLOOKUP($A70,comedor,2,0),IF(K$5='Conceptos Desglosados'!$H$6,VLOOKUP($A70,alojamiento,2,0),IF(K$5='Conceptos Desglosados'!$H$7,VLOOKUP($A70,sanidad,2,0),IF(K$5='Conceptos Desglosados'!$H$8,VLOOKUP($A70,servicios,2,0),IF(K$5='Conceptos Desglosados'!$H$9,VLOOKUP($A70,comyaloj,2,0),IF(K$5='Conceptos Desglosados'!$H$10,VLOOKUP($A70,comandancia,2,0),IF(K$5='Conceptos Desglosados'!$H$11,VLOOKUP($A70,mantenimiento,2,0),IF(K$5='Conceptos Desglosados'!$H$12,VLOOKUP($A70,serestatal,2,0),IF(K$5='Conceptos Desglosados'!$H$13,VLOOKUP($A70,conferencias,2,0),"")))))))))),"")*K$3,"")</f>
        <v/>
      </c>
      <c r="L70" t="str">
        <f>IFERROR(IFERROR(IF(L$5='Conceptos Desglosados'!$H$4,VLOOKUP($A70,dormitorios,2,0),IF(L$5='Conceptos Desglosados'!$H$5,VLOOKUP($A70,comedor,2,0),IF(L$5='Conceptos Desglosados'!$H$6,VLOOKUP($A70,alojamiento,2,0),IF(L$5='Conceptos Desglosados'!$H$7,VLOOKUP($A70,sanidad,2,0),IF(L$5='Conceptos Desglosados'!$H$8,VLOOKUP($A70,servicios,2,0),IF(L$5='Conceptos Desglosados'!$H$9,VLOOKUP($A70,comyaloj,2,0),IF(L$5='Conceptos Desglosados'!$H$10,VLOOKUP($A70,comandancia,2,0),IF(L$5='Conceptos Desglosados'!$H$11,VLOOKUP($A70,mantenimiento,2,0),IF(L$5='Conceptos Desglosados'!$H$12,VLOOKUP($A70,serestatal,2,0),IF(L$5='Conceptos Desglosados'!$H$13,VLOOKUP($A70,conferencias,2,0),"")))))))))),"")*L$3,"")</f>
        <v/>
      </c>
      <c r="M70" t="str">
        <f>IFERROR(IFERROR(IF(M$5='Conceptos Desglosados'!$H$4,VLOOKUP($A70,dormitorios,2,0),IF(M$5='Conceptos Desglosados'!$H$5,VLOOKUP($A70,comedor,2,0),IF(M$5='Conceptos Desglosados'!$H$6,VLOOKUP($A70,alojamiento,2,0),IF(M$5='Conceptos Desglosados'!$H$7,VLOOKUP($A70,sanidad,2,0),IF(M$5='Conceptos Desglosados'!$H$8,VLOOKUP($A70,servicios,2,0),IF(M$5='Conceptos Desglosados'!$H$9,VLOOKUP($A70,comyaloj,2,0),IF(M$5='Conceptos Desglosados'!$H$10,VLOOKUP($A70,comandancia,2,0),IF(M$5='Conceptos Desglosados'!$H$11,VLOOKUP($A70,mantenimiento,2,0),IF(M$5='Conceptos Desglosados'!$H$12,VLOOKUP($A70,serestatal,2,0),IF(M$5='Conceptos Desglosados'!$H$13,VLOOKUP($A70,conferencias,2,0),"")))))))))),"")*M$3,"")</f>
        <v/>
      </c>
      <c r="O70">
        <f>SUM(K70:M70)</f>
        <v>0</v>
      </c>
    </row>
    <row r="71" spans="1:15" x14ac:dyDescent="0.35">
      <c r="A71">
        <v>66</v>
      </c>
      <c r="B71" t="s">
        <v>10</v>
      </c>
      <c r="C71" t="s">
        <v>371</v>
      </c>
      <c r="D71" t="s">
        <v>372</v>
      </c>
      <c r="E71" t="s">
        <v>1</v>
      </c>
      <c r="F71" t="s">
        <v>883</v>
      </c>
      <c r="G71" t="s">
        <v>0</v>
      </c>
      <c r="H71">
        <v>1.79</v>
      </c>
      <c r="I71">
        <v>2.7149999999999999</v>
      </c>
      <c r="J71" t="s">
        <v>6</v>
      </c>
      <c r="K71" t="str">
        <f>IFERROR(IFERROR(IF(K$5='Conceptos Desglosados'!$H$4,VLOOKUP($A71,dormitorios,2,0),IF(K$5='Conceptos Desglosados'!$H$5,VLOOKUP($A71,comedor,2,0),IF(K$5='Conceptos Desglosados'!$H$6,VLOOKUP($A71,alojamiento,2,0),IF(K$5='Conceptos Desglosados'!$H$7,VLOOKUP($A71,sanidad,2,0),IF(K$5='Conceptos Desglosados'!$H$8,VLOOKUP($A71,servicios,2,0),IF(K$5='Conceptos Desglosados'!$H$9,VLOOKUP($A71,comyaloj,2,0),IF(K$5='Conceptos Desglosados'!$H$10,VLOOKUP($A71,comandancia,2,0),IF(K$5='Conceptos Desglosados'!$H$11,VLOOKUP($A71,mantenimiento,2,0),IF(K$5='Conceptos Desglosados'!$H$12,VLOOKUP($A71,serestatal,2,0),IF(K$5='Conceptos Desglosados'!$H$13,VLOOKUP($A71,conferencias,2,0),"")))))))))),"")*K$3,"")</f>
        <v/>
      </c>
      <c r="L71" t="str">
        <f>IFERROR(IFERROR(IF(L$5='Conceptos Desglosados'!$H$4,VLOOKUP($A71,dormitorios,2,0),IF(L$5='Conceptos Desglosados'!$H$5,VLOOKUP($A71,comedor,2,0),IF(L$5='Conceptos Desglosados'!$H$6,VLOOKUP($A71,alojamiento,2,0),IF(L$5='Conceptos Desglosados'!$H$7,VLOOKUP($A71,sanidad,2,0),IF(L$5='Conceptos Desglosados'!$H$8,VLOOKUP($A71,servicios,2,0),IF(L$5='Conceptos Desglosados'!$H$9,VLOOKUP($A71,comyaloj,2,0),IF(L$5='Conceptos Desglosados'!$H$10,VLOOKUP($A71,comandancia,2,0),IF(L$5='Conceptos Desglosados'!$H$11,VLOOKUP($A71,mantenimiento,2,0),IF(L$5='Conceptos Desglosados'!$H$12,VLOOKUP($A71,serestatal,2,0),IF(L$5='Conceptos Desglosados'!$H$13,VLOOKUP($A71,conferencias,2,0),"")))))))))),"")*L$3,"")</f>
        <v/>
      </c>
      <c r="M71" t="str">
        <f>IFERROR(IFERROR(IF(M$5='Conceptos Desglosados'!$H$4,VLOOKUP($A71,dormitorios,2,0),IF(M$5='Conceptos Desglosados'!$H$5,VLOOKUP($A71,comedor,2,0),IF(M$5='Conceptos Desglosados'!$H$6,VLOOKUP($A71,alojamiento,2,0),IF(M$5='Conceptos Desglosados'!$H$7,VLOOKUP($A71,sanidad,2,0),IF(M$5='Conceptos Desglosados'!$H$8,VLOOKUP($A71,servicios,2,0),IF(M$5='Conceptos Desglosados'!$H$9,VLOOKUP($A71,comyaloj,2,0),IF(M$5='Conceptos Desglosados'!$H$10,VLOOKUP($A71,comandancia,2,0),IF(M$5='Conceptos Desglosados'!$H$11,VLOOKUP($A71,mantenimiento,2,0),IF(M$5='Conceptos Desglosados'!$H$12,VLOOKUP($A71,serestatal,2,0),IF(M$5='Conceptos Desglosados'!$H$13,VLOOKUP($A71,conferencias,2,0),"")))))))))),"")*M$3,"")</f>
        <v/>
      </c>
      <c r="O71">
        <f>SUM(K71:M71)</f>
        <v>0</v>
      </c>
    </row>
    <row r="72" spans="1:15" x14ac:dyDescent="0.35">
      <c r="A72">
        <v>67</v>
      </c>
      <c r="B72" t="s">
        <v>10</v>
      </c>
      <c r="C72" t="s">
        <v>466</v>
      </c>
      <c r="D72" t="s">
        <v>467</v>
      </c>
      <c r="E72" t="s">
        <v>1</v>
      </c>
      <c r="F72" t="s">
        <v>883</v>
      </c>
      <c r="G72" t="s">
        <v>0</v>
      </c>
      <c r="H72">
        <v>2.02</v>
      </c>
      <c r="I72">
        <v>3.5</v>
      </c>
      <c r="J72" t="s">
        <v>6</v>
      </c>
      <c r="K72" t="str">
        <f>IFERROR(IFERROR(IF(K$5='Conceptos Desglosados'!$H$4,VLOOKUP($A72,dormitorios,2,0),IF(K$5='Conceptos Desglosados'!$H$5,VLOOKUP($A72,comedor,2,0),IF(K$5='Conceptos Desglosados'!$H$6,VLOOKUP($A72,alojamiento,2,0),IF(K$5='Conceptos Desglosados'!$H$7,VLOOKUP($A72,sanidad,2,0),IF(K$5='Conceptos Desglosados'!$H$8,VLOOKUP($A72,servicios,2,0),IF(K$5='Conceptos Desglosados'!$H$9,VLOOKUP($A72,comyaloj,2,0),IF(K$5='Conceptos Desglosados'!$H$10,VLOOKUP($A72,comandancia,2,0),IF(K$5='Conceptos Desglosados'!$H$11,VLOOKUP($A72,mantenimiento,2,0),IF(K$5='Conceptos Desglosados'!$H$12,VLOOKUP($A72,serestatal,2,0),IF(K$5='Conceptos Desglosados'!$H$13,VLOOKUP($A72,conferencias,2,0),"")))))))))),"")*K$3,"")</f>
        <v/>
      </c>
      <c r="L72" t="str">
        <f>IFERROR(IFERROR(IF(L$5='Conceptos Desglosados'!$H$4,VLOOKUP($A72,dormitorios,2,0),IF(L$5='Conceptos Desglosados'!$H$5,VLOOKUP($A72,comedor,2,0),IF(L$5='Conceptos Desglosados'!$H$6,VLOOKUP($A72,alojamiento,2,0),IF(L$5='Conceptos Desglosados'!$H$7,VLOOKUP($A72,sanidad,2,0),IF(L$5='Conceptos Desglosados'!$H$8,VLOOKUP($A72,servicios,2,0),IF(L$5='Conceptos Desglosados'!$H$9,VLOOKUP($A72,comyaloj,2,0),IF(L$5='Conceptos Desglosados'!$H$10,VLOOKUP($A72,comandancia,2,0),IF(L$5='Conceptos Desglosados'!$H$11,VLOOKUP($A72,mantenimiento,2,0),IF(L$5='Conceptos Desglosados'!$H$12,VLOOKUP($A72,serestatal,2,0),IF(L$5='Conceptos Desglosados'!$H$13,VLOOKUP($A72,conferencias,2,0),"")))))))))),"")*L$3,"")</f>
        <v/>
      </c>
      <c r="M72" t="str">
        <f>IFERROR(IFERROR(IF(M$5='Conceptos Desglosados'!$H$4,VLOOKUP($A72,dormitorios,2,0),IF(M$5='Conceptos Desglosados'!$H$5,VLOOKUP($A72,comedor,2,0),IF(M$5='Conceptos Desglosados'!$H$6,VLOOKUP($A72,alojamiento,2,0),IF(M$5='Conceptos Desglosados'!$H$7,VLOOKUP($A72,sanidad,2,0),IF(M$5='Conceptos Desglosados'!$H$8,VLOOKUP($A72,servicios,2,0),IF(M$5='Conceptos Desglosados'!$H$9,VLOOKUP($A72,comyaloj,2,0),IF(M$5='Conceptos Desglosados'!$H$10,VLOOKUP($A72,comandancia,2,0),IF(M$5='Conceptos Desglosados'!$H$11,VLOOKUP($A72,mantenimiento,2,0),IF(M$5='Conceptos Desglosados'!$H$12,VLOOKUP($A72,serestatal,2,0),IF(M$5='Conceptos Desglosados'!$H$13,VLOOKUP($A72,conferencias,2,0),"")))))))))),"")*M$3,"")</f>
        <v/>
      </c>
      <c r="O72">
        <f>SUM(K72:M72)</f>
        <v>0</v>
      </c>
    </row>
    <row r="73" spans="1:15" x14ac:dyDescent="0.35">
      <c r="A73">
        <v>68</v>
      </c>
      <c r="B73" t="s">
        <v>10</v>
      </c>
      <c r="C73" t="s">
        <v>468</v>
      </c>
      <c r="D73" t="s">
        <v>469</v>
      </c>
      <c r="E73" t="s">
        <v>1</v>
      </c>
      <c r="F73" t="s">
        <v>883</v>
      </c>
      <c r="G73" t="s">
        <v>0</v>
      </c>
      <c r="H73">
        <v>1.99</v>
      </c>
      <c r="I73">
        <v>3.5</v>
      </c>
      <c r="J73" t="s">
        <v>6</v>
      </c>
      <c r="K73" t="str">
        <f>IFERROR(IFERROR(IF(K$5='Conceptos Desglosados'!$H$4,VLOOKUP($A73,dormitorios,2,0),IF(K$5='Conceptos Desglosados'!$H$5,VLOOKUP($A73,comedor,2,0),IF(K$5='Conceptos Desglosados'!$H$6,VLOOKUP($A73,alojamiento,2,0),IF(K$5='Conceptos Desglosados'!$H$7,VLOOKUP($A73,sanidad,2,0),IF(K$5='Conceptos Desglosados'!$H$8,VLOOKUP($A73,servicios,2,0),IF(K$5='Conceptos Desglosados'!$H$9,VLOOKUP($A73,comyaloj,2,0),IF(K$5='Conceptos Desglosados'!$H$10,VLOOKUP($A73,comandancia,2,0),IF(K$5='Conceptos Desglosados'!$H$11,VLOOKUP($A73,mantenimiento,2,0),IF(K$5='Conceptos Desglosados'!$H$12,VLOOKUP($A73,serestatal,2,0),IF(K$5='Conceptos Desglosados'!$H$13,VLOOKUP($A73,conferencias,2,0),"")))))))))),"")*K$3,"")</f>
        <v/>
      </c>
      <c r="L73" t="str">
        <f>IFERROR(IFERROR(IF(L$5='Conceptos Desglosados'!$H$4,VLOOKUP($A73,dormitorios,2,0),IF(L$5='Conceptos Desglosados'!$H$5,VLOOKUP($A73,comedor,2,0),IF(L$5='Conceptos Desglosados'!$H$6,VLOOKUP($A73,alojamiento,2,0),IF(L$5='Conceptos Desglosados'!$H$7,VLOOKUP($A73,sanidad,2,0),IF(L$5='Conceptos Desglosados'!$H$8,VLOOKUP($A73,servicios,2,0),IF(L$5='Conceptos Desglosados'!$H$9,VLOOKUP($A73,comyaloj,2,0),IF(L$5='Conceptos Desglosados'!$H$10,VLOOKUP($A73,comandancia,2,0),IF(L$5='Conceptos Desglosados'!$H$11,VLOOKUP($A73,mantenimiento,2,0),IF(L$5='Conceptos Desglosados'!$H$12,VLOOKUP($A73,serestatal,2,0),IF(L$5='Conceptos Desglosados'!$H$13,VLOOKUP($A73,conferencias,2,0),"")))))))))),"")*L$3,"")</f>
        <v/>
      </c>
      <c r="M73" t="str">
        <f>IFERROR(IFERROR(IF(M$5='Conceptos Desglosados'!$H$4,VLOOKUP($A73,dormitorios,2,0),IF(M$5='Conceptos Desglosados'!$H$5,VLOOKUP($A73,comedor,2,0),IF(M$5='Conceptos Desglosados'!$H$6,VLOOKUP($A73,alojamiento,2,0),IF(M$5='Conceptos Desglosados'!$H$7,VLOOKUP($A73,sanidad,2,0),IF(M$5='Conceptos Desglosados'!$H$8,VLOOKUP($A73,servicios,2,0),IF(M$5='Conceptos Desglosados'!$H$9,VLOOKUP($A73,comyaloj,2,0),IF(M$5='Conceptos Desglosados'!$H$10,VLOOKUP($A73,comandancia,2,0),IF(M$5='Conceptos Desglosados'!$H$11,VLOOKUP($A73,mantenimiento,2,0),IF(M$5='Conceptos Desglosados'!$H$12,VLOOKUP($A73,serestatal,2,0),IF(M$5='Conceptos Desglosados'!$H$13,VLOOKUP($A73,conferencias,2,0),"")))))))))),"")*M$3,"")</f>
        <v/>
      </c>
      <c r="O73">
        <f>SUM(K73:M73)</f>
        <v>0</v>
      </c>
    </row>
    <row r="74" spans="1:15" x14ac:dyDescent="0.35">
      <c r="A74">
        <v>69</v>
      </c>
      <c r="B74" t="s">
        <v>10</v>
      </c>
      <c r="C74" t="s">
        <v>470</v>
      </c>
      <c r="D74" t="s">
        <v>471</v>
      </c>
      <c r="E74" t="s">
        <v>1</v>
      </c>
      <c r="F74" t="s">
        <v>883</v>
      </c>
      <c r="G74" t="s">
        <v>0</v>
      </c>
      <c r="H74">
        <v>1.91</v>
      </c>
      <c r="I74">
        <v>3.5</v>
      </c>
      <c r="J74" t="s">
        <v>6</v>
      </c>
      <c r="K74" t="str">
        <f>IFERROR(IFERROR(IF(K$5='Conceptos Desglosados'!$H$4,VLOOKUP($A74,dormitorios,2,0),IF(K$5='Conceptos Desglosados'!$H$5,VLOOKUP($A74,comedor,2,0),IF(K$5='Conceptos Desglosados'!$H$6,VLOOKUP($A74,alojamiento,2,0),IF(K$5='Conceptos Desglosados'!$H$7,VLOOKUP($A74,sanidad,2,0),IF(K$5='Conceptos Desglosados'!$H$8,VLOOKUP($A74,servicios,2,0),IF(K$5='Conceptos Desglosados'!$H$9,VLOOKUP($A74,comyaloj,2,0),IF(K$5='Conceptos Desglosados'!$H$10,VLOOKUP($A74,comandancia,2,0),IF(K$5='Conceptos Desglosados'!$H$11,VLOOKUP($A74,mantenimiento,2,0),IF(K$5='Conceptos Desglosados'!$H$12,VLOOKUP($A74,serestatal,2,0),IF(K$5='Conceptos Desglosados'!$H$13,VLOOKUP($A74,conferencias,2,0),"")))))))))),"")*K$3,"")</f>
        <v/>
      </c>
      <c r="L74" t="str">
        <f>IFERROR(IFERROR(IF(L$5='Conceptos Desglosados'!$H$4,VLOOKUP($A74,dormitorios,2,0),IF(L$5='Conceptos Desglosados'!$H$5,VLOOKUP($A74,comedor,2,0),IF(L$5='Conceptos Desglosados'!$H$6,VLOOKUP($A74,alojamiento,2,0),IF(L$5='Conceptos Desglosados'!$H$7,VLOOKUP($A74,sanidad,2,0),IF(L$5='Conceptos Desglosados'!$H$8,VLOOKUP($A74,servicios,2,0),IF(L$5='Conceptos Desglosados'!$H$9,VLOOKUP($A74,comyaloj,2,0),IF(L$5='Conceptos Desglosados'!$H$10,VLOOKUP($A74,comandancia,2,0),IF(L$5='Conceptos Desglosados'!$H$11,VLOOKUP($A74,mantenimiento,2,0),IF(L$5='Conceptos Desglosados'!$H$12,VLOOKUP($A74,serestatal,2,0),IF(L$5='Conceptos Desglosados'!$H$13,VLOOKUP($A74,conferencias,2,0),"")))))))))),"")*L$3,"")</f>
        <v/>
      </c>
      <c r="M74" t="str">
        <f>IFERROR(IFERROR(IF(M$5='Conceptos Desglosados'!$H$4,VLOOKUP($A74,dormitorios,2,0),IF(M$5='Conceptos Desglosados'!$H$5,VLOOKUP($A74,comedor,2,0),IF(M$5='Conceptos Desglosados'!$H$6,VLOOKUP($A74,alojamiento,2,0),IF(M$5='Conceptos Desglosados'!$H$7,VLOOKUP($A74,sanidad,2,0),IF(M$5='Conceptos Desglosados'!$H$8,VLOOKUP($A74,servicios,2,0),IF(M$5='Conceptos Desglosados'!$H$9,VLOOKUP($A74,comyaloj,2,0),IF(M$5='Conceptos Desglosados'!$H$10,VLOOKUP($A74,comandancia,2,0),IF(M$5='Conceptos Desglosados'!$H$11,VLOOKUP($A74,mantenimiento,2,0),IF(M$5='Conceptos Desglosados'!$H$12,VLOOKUP($A74,serestatal,2,0),IF(M$5='Conceptos Desglosados'!$H$13,VLOOKUP($A74,conferencias,2,0),"")))))))))),"")*M$3,"")</f>
        <v/>
      </c>
      <c r="O74">
        <f>SUM(K74:M74)</f>
        <v>0</v>
      </c>
    </row>
    <row r="75" spans="1:15" x14ac:dyDescent="0.35">
      <c r="A75">
        <v>70</v>
      </c>
      <c r="B75" t="s">
        <v>10</v>
      </c>
      <c r="C75" t="s">
        <v>472</v>
      </c>
      <c r="D75" t="s">
        <v>473</v>
      </c>
      <c r="E75" t="s">
        <v>1</v>
      </c>
      <c r="F75" t="s">
        <v>883</v>
      </c>
      <c r="G75" t="s">
        <v>0</v>
      </c>
      <c r="H75">
        <v>0.88500000000000001</v>
      </c>
      <c r="I75">
        <v>3.5</v>
      </c>
      <c r="J75" t="s">
        <v>6</v>
      </c>
      <c r="K75" t="str">
        <f>IFERROR(IFERROR(IF(K$5='Conceptos Desglosados'!$H$4,VLOOKUP($A75,dormitorios,2,0),IF(K$5='Conceptos Desglosados'!$H$5,VLOOKUP($A75,comedor,2,0),IF(K$5='Conceptos Desglosados'!$H$6,VLOOKUP($A75,alojamiento,2,0),IF(K$5='Conceptos Desglosados'!$H$7,VLOOKUP($A75,sanidad,2,0),IF(K$5='Conceptos Desglosados'!$H$8,VLOOKUP($A75,servicios,2,0),IF(K$5='Conceptos Desglosados'!$H$9,VLOOKUP($A75,comyaloj,2,0),IF(K$5='Conceptos Desglosados'!$H$10,VLOOKUP($A75,comandancia,2,0),IF(K$5='Conceptos Desglosados'!$H$11,VLOOKUP($A75,mantenimiento,2,0),IF(K$5='Conceptos Desglosados'!$H$12,VLOOKUP($A75,serestatal,2,0),IF(K$5='Conceptos Desglosados'!$H$13,VLOOKUP($A75,conferencias,2,0),"")))))))))),"")*K$3,"")</f>
        <v/>
      </c>
      <c r="L75" t="str">
        <f>IFERROR(IFERROR(IF(L$5='Conceptos Desglosados'!$H$4,VLOOKUP($A75,dormitorios,2,0),IF(L$5='Conceptos Desglosados'!$H$5,VLOOKUP($A75,comedor,2,0),IF(L$5='Conceptos Desglosados'!$H$6,VLOOKUP($A75,alojamiento,2,0),IF(L$5='Conceptos Desglosados'!$H$7,VLOOKUP($A75,sanidad,2,0),IF(L$5='Conceptos Desglosados'!$H$8,VLOOKUP($A75,servicios,2,0),IF(L$5='Conceptos Desglosados'!$H$9,VLOOKUP($A75,comyaloj,2,0),IF(L$5='Conceptos Desglosados'!$H$10,VLOOKUP($A75,comandancia,2,0),IF(L$5='Conceptos Desglosados'!$H$11,VLOOKUP($A75,mantenimiento,2,0),IF(L$5='Conceptos Desglosados'!$H$12,VLOOKUP($A75,serestatal,2,0),IF(L$5='Conceptos Desglosados'!$H$13,VLOOKUP($A75,conferencias,2,0),"")))))))))),"")*L$3,"")</f>
        <v/>
      </c>
      <c r="M75" t="str">
        <f>IFERROR(IFERROR(IF(M$5='Conceptos Desglosados'!$H$4,VLOOKUP($A75,dormitorios,2,0),IF(M$5='Conceptos Desglosados'!$H$5,VLOOKUP($A75,comedor,2,0),IF(M$5='Conceptos Desglosados'!$H$6,VLOOKUP($A75,alojamiento,2,0),IF(M$5='Conceptos Desglosados'!$H$7,VLOOKUP($A75,sanidad,2,0),IF(M$5='Conceptos Desglosados'!$H$8,VLOOKUP($A75,servicios,2,0),IF(M$5='Conceptos Desglosados'!$H$9,VLOOKUP($A75,comyaloj,2,0),IF(M$5='Conceptos Desglosados'!$H$10,VLOOKUP($A75,comandancia,2,0),IF(M$5='Conceptos Desglosados'!$H$11,VLOOKUP($A75,mantenimiento,2,0),IF(M$5='Conceptos Desglosados'!$H$12,VLOOKUP($A75,serestatal,2,0),IF(M$5='Conceptos Desglosados'!$H$13,VLOOKUP($A75,conferencias,2,0),"")))))))))),"")*M$3,"")</f>
        <v/>
      </c>
      <c r="O75">
        <f>SUM(K75:M75)</f>
        <v>0</v>
      </c>
    </row>
    <row r="76" spans="1:15" x14ac:dyDescent="0.35">
      <c r="A76">
        <v>71</v>
      </c>
      <c r="B76" t="s">
        <v>10</v>
      </c>
      <c r="C76" t="s">
        <v>474</v>
      </c>
      <c r="D76" t="s">
        <v>475</v>
      </c>
      <c r="E76" t="s">
        <v>1</v>
      </c>
      <c r="F76" t="s">
        <v>883</v>
      </c>
      <c r="G76" t="s">
        <v>0</v>
      </c>
      <c r="H76">
        <v>0.77</v>
      </c>
      <c r="I76">
        <v>3.5</v>
      </c>
      <c r="J76" t="s">
        <v>6</v>
      </c>
      <c r="K76" t="str">
        <f>IFERROR(IFERROR(IF(K$5='Conceptos Desglosados'!$H$4,VLOOKUP($A76,dormitorios,2,0),IF(K$5='Conceptos Desglosados'!$H$5,VLOOKUP($A76,comedor,2,0),IF(K$5='Conceptos Desglosados'!$H$6,VLOOKUP($A76,alojamiento,2,0),IF(K$5='Conceptos Desglosados'!$H$7,VLOOKUP($A76,sanidad,2,0),IF(K$5='Conceptos Desglosados'!$H$8,VLOOKUP($A76,servicios,2,0),IF(K$5='Conceptos Desglosados'!$H$9,VLOOKUP($A76,comyaloj,2,0),IF(K$5='Conceptos Desglosados'!$H$10,VLOOKUP($A76,comandancia,2,0),IF(K$5='Conceptos Desglosados'!$H$11,VLOOKUP($A76,mantenimiento,2,0),IF(K$5='Conceptos Desglosados'!$H$12,VLOOKUP($A76,serestatal,2,0),IF(K$5='Conceptos Desglosados'!$H$13,VLOOKUP($A76,conferencias,2,0),"")))))))))),"")*K$3,"")</f>
        <v/>
      </c>
      <c r="L76" t="str">
        <f>IFERROR(IFERROR(IF(L$5='Conceptos Desglosados'!$H$4,VLOOKUP($A76,dormitorios,2,0),IF(L$5='Conceptos Desglosados'!$H$5,VLOOKUP($A76,comedor,2,0),IF(L$5='Conceptos Desglosados'!$H$6,VLOOKUP($A76,alojamiento,2,0),IF(L$5='Conceptos Desglosados'!$H$7,VLOOKUP($A76,sanidad,2,0),IF(L$5='Conceptos Desglosados'!$H$8,VLOOKUP($A76,servicios,2,0),IF(L$5='Conceptos Desglosados'!$H$9,VLOOKUP($A76,comyaloj,2,0),IF(L$5='Conceptos Desglosados'!$H$10,VLOOKUP($A76,comandancia,2,0),IF(L$5='Conceptos Desglosados'!$H$11,VLOOKUP($A76,mantenimiento,2,0),IF(L$5='Conceptos Desglosados'!$H$12,VLOOKUP($A76,serestatal,2,0),IF(L$5='Conceptos Desglosados'!$H$13,VLOOKUP($A76,conferencias,2,0),"")))))))))),"")*L$3,"")</f>
        <v/>
      </c>
      <c r="M76" t="str">
        <f>IFERROR(IFERROR(IF(M$5='Conceptos Desglosados'!$H$4,VLOOKUP($A76,dormitorios,2,0),IF(M$5='Conceptos Desglosados'!$H$5,VLOOKUP($A76,comedor,2,0),IF(M$5='Conceptos Desglosados'!$H$6,VLOOKUP($A76,alojamiento,2,0),IF(M$5='Conceptos Desglosados'!$H$7,VLOOKUP($A76,sanidad,2,0),IF(M$5='Conceptos Desglosados'!$H$8,VLOOKUP($A76,servicios,2,0),IF(M$5='Conceptos Desglosados'!$H$9,VLOOKUP($A76,comyaloj,2,0),IF(M$5='Conceptos Desglosados'!$H$10,VLOOKUP($A76,comandancia,2,0),IF(M$5='Conceptos Desglosados'!$H$11,VLOOKUP($A76,mantenimiento,2,0),IF(M$5='Conceptos Desglosados'!$H$12,VLOOKUP($A76,serestatal,2,0),IF(M$5='Conceptos Desglosados'!$H$13,VLOOKUP($A76,conferencias,2,0),"")))))))))),"")*M$3,"")</f>
        <v/>
      </c>
      <c r="O76">
        <f>SUM(K76:M76)</f>
        <v>0</v>
      </c>
    </row>
    <row r="77" spans="1:15" x14ac:dyDescent="0.35">
      <c r="A77">
        <v>72</v>
      </c>
      <c r="B77" t="s">
        <v>10</v>
      </c>
      <c r="C77" t="s">
        <v>476</v>
      </c>
      <c r="D77" t="s">
        <v>477</v>
      </c>
      <c r="E77" t="s">
        <v>1</v>
      </c>
      <c r="F77" t="s">
        <v>883</v>
      </c>
      <c r="G77" t="s">
        <v>0</v>
      </c>
      <c r="H77">
        <v>0.91</v>
      </c>
      <c r="I77">
        <v>3.5</v>
      </c>
      <c r="J77" t="s">
        <v>6</v>
      </c>
      <c r="K77" t="str">
        <f>IFERROR(IFERROR(IF(K$5='Conceptos Desglosados'!$H$4,VLOOKUP($A77,dormitorios,2,0),IF(K$5='Conceptos Desglosados'!$H$5,VLOOKUP($A77,comedor,2,0),IF(K$5='Conceptos Desglosados'!$H$6,VLOOKUP($A77,alojamiento,2,0),IF(K$5='Conceptos Desglosados'!$H$7,VLOOKUP($A77,sanidad,2,0),IF(K$5='Conceptos Desglosados'!$H$8,VLOOKUP($A77,servicios,2,0),IF(K$5='Conceptos Desglosados'!$H$9,VLOOKUP($A77,comyaloj,2,0),IF(K$5='Conceptos Desglosados'!$H$10,VLOOKUP($A77,comandancia,2,0),IF(K$5='Conceptos Desglosados'!$H$11,VLOOKUP($A77,mantenimiento,2,0),IF(K$5='Conceptos Desglosados'!$H$12,VLOOKUP($A77,serestatal,2,0),IF(K$5='Conceptos Desglosados'!$H$13,VLOOKUP($A77,conferencias,2,0),"")))))))))),"")*K$3,"")</f>
        <v/>
      </c>
      <c r="L77" t="str">
        <f>IFERROR(IFERROR(IF(L$5='Conceptos Desglosados'!$H$4,VLOOKUP($A77,dormitorios,2,0),IF(L$5='Conceptos Desglosados'!$H$5,VLOOKUP($A77,comedor,2,0),IF(L$5='Conceptos Desglosados'!$H$6,VLOOKUP($A77,alojamiento,2,0),IF(L$5='Conceptos Desglosados'!$H$7,VLOOKUP($A77,sanidad,2,0),IF(L$5='Conceptos Desglosados'!$H$8,VLOOKUP($A77,servicios,2,0),IF(L$5='Conceptos Desglosados'!$H$9,VLOOKUP($A77,comyaloj,2,0),IF(L$5='Conceptos Desglosados'!$H$10,VLOOKUP($A77,comandancia,2,0),IF(L$5='Conceptos Desglosados'!$H$11,VLOOKUP($A77,mantenimiento,2,0),IF(L$5='Conceptos Desglosados'!$H$12,VLOOKUP($A77,serestatal,2,0),IF(L$5='Conceptos Desglosados'!$H$13,VLOOKUP($A77,conferencias,2,0),"")))))))))),"")*L$3,"")</f>
        <v/>
      </c>
      <c r="M77" t="str">
        <f>IFERROR(IFERROR(IF(M$5='Conceptos Desglosados'!$H$4,VLOOKUP($A77,dormitorios,2,0),IF(M$5='Conceptos Desglosados'!$H$5,VLOOKUP($A77,comedor,2,0),IF(M$5='Conceptos Desglosados'!$H$6,VLOOKUP($A77,alojamiento,2,0),IF(M$5='Conceptos Desglosados'!$H$7,VLOOKUP($A77,sanidad,2,0),IF(M$5='Conceptos Desglosados'!$H$8,VLOOKUP($A77,servicios,2,0),IF(M$5='Conceptos Desglosados'!$H$9,VLOOKUP($A77,comyaloj,2,0),IF(M$5='Conceptos Desglosados'!$H$10,VLOOKUP($A77,comandancia,2,0),IF(M$5='Conceptos Desglosados'!$H$11,VLOOKUP($A77,mantenimiento,2,0),IF(M$5='Conceptos Desglosados'!$H$12,VLOOKUP($A77,serestatal,2,0),IF(M$5='Conceptos Desglosados'!$H$13,VLOOKUP($A77,conferencias,2,0),"")))))))))),"")*M$3,"")</f>
        <v/>
      </c>
      <c r="O77">
        <f>SUM(K77:M77)</f>
        <v>0</v>
      </c>
    </row>
    <row r="78" spans="1:15" x14ac:dyDescent="0.35">
      <c r="A78">
        <v>73</v>
      </c>
      <c r="B78" t="s">
        <v>10</v>
      </c>
      <c r="C78" t="s">
        <v>478</v>
      </c>
      <c r="D78" t="s">
        <v>479</v>
      </c>
      <c r="E78" t="s">
        <v>1</v>
      </c>
      <c r="F78" t="s">
        <v>883</v>
      </c>
      <c r="G78" t="s">
        <v>0</v>
      </c>
      <c r="H78">
        <v>1.96</v>
      </c>
      <c r="I78">
        <v>3.5</v>
      </c>
      <c r="J78" t="s">
        <v>6</v>
      </c>
      <c r="K78" t="str">
        <f>IFERROR(IFERROR(IF(K$5='Conceptos Desglosados'!$H$4,VLOOKUP($A78,dormitorios,2,0),IF(K$5='Conceptos Desglosados'!$H$5,VLOOKUP($A78,comedor,2,0),IF(K$5='Conceptos Desglosados'!$H$6,VLOOKUP($A78,alojamiento,2,0),IF(K$5='Conceptos Desglosados'!$H$7,VLOOKUP($A78,sanidad,2,0),IF(K$5='Conceptos Desglosados'!$H$8,VLOOKUP($A78,servicios,2,0),IF(K$5='Conceptos Desglosados'!$H$9,VLOOKUP($A78,comyaloj,2,0),IF(K$5='Conceptos Desglosados'!$H$10,VLOOKUP($A78,comandancia,2,0),IF(K$5='Conceptos Desglosados'!$H$11,VLOOKUP($A78,mantenimiento,2,0),IF(K$5='Conceptos Desglosados'!$H$12,VLOOKUP($A78,serestatal,2,0),IF(K$5='Conceptos Desglosados'!$H$13,VLOOKUP($A78,conferencias,2,0),"")))))))))),"")*K$3,"")</f>
        <v/>
      </c>
      <c r="L78" t="str">
        <f>IFERROR(IFERROR(IF(L$5='Conceptos Desglosados'!$H$4,VLOOKUP($A78,dormitorios,2,0),IF(L$5='Conceptos Desglosados'!$H$5,VLOOKUP($A78,comedor,2,0),IF(L$5='Conceptos Desglosados'!$H$6,VLOOKUP($A78,alojamiento,2,0),IF(L$5='Conceptos Desglosados'!$H$7,VLOOKUP($A78,sanidad,2,0),IF(L$5='Conceptos Desglosados'!$H$8,VLOOKUP($A78,servicios,2,0),IF(L$5='Conceptos Desglosados'!$H$9,VLOOKUP($A78,comyaloj,2,0),IF(L$5='Conceptos Desglosados'!$H$10,VLOOKUP($A78,comandancia,2,0),IF(L$5='Conceptos Desglosados'!$H$11,VLOOKUP($A78,mantenimiento,2,0),IF(L$5='Conceptos Desglosados'!$H$12,VLOOKUP($A78,serestatal,2,0),IF(L$5='Conceptos Desglosados'!$H$13,VLOOKUP($A78,conferencias,2,0),"")))))))))),"")*L$3,"")</f>
        <v/>
      </c>
      <c r="M78" t="str">
        <f>IFERROR(IFERROR(IF(M$5='Conceptos Desglosados'!$H$4,VLOOKUP($A78,dormitorios,2,0),IF(M$5='Conceptos Desglosados'!$H$5,VLOOKUP($A78,comedor,2,0),IF(M$5='Conceptos Desglosados'!$H$6,VLOOKUP($A78,alojamiento,2,0),IF(M$5='Conceptos Desglosados'!$H$7,VLOOKUP($A78,sanidad,2,0),IF(M$5='Conceptos Desglosados'!$H$8,VLOOKUP($A78,servicios,2,0),IF(M$5='Conceptos Desglosados'!$H$9,VLOOKUP($A78,comyaloj,2,0),IF(M$5='Conceptos Desglosados'!$H$10,VLOOKUP($A78,comandancia,2,0),IF(M$5='Conceptos Desglosados'!$H$11,VLOOKUP($A78,mantenimiento,2,0),IF(M$5='Conceptos Desglosados'!$H$12,VLOOKUP($A78,serestatal,2,0),IF(M$5='Conceptos Desglosados'!$H$13,VLOOKUP($A78,conferencias,2,0),"")))))))))),"")*M$3,"")</f>
        <v/>
      </c>
      <c r="O78">
        <f>SUM(K78:M78)</f>
        <v>0</v>
      </c>
    </row>
    <row r="79" spans="1:15" x14ac:dyDescent="0.35">
      <c r="A79">
        <v>74</v>
      </c>
      <c r="B79" t="s">
        <v>10</v>
      </c>
      <c r="C79" t="s">
        <v>480</v>
      </c>
      <c r="D79" t="s">
        <v>481</v>
      </c>
      <c r="E79" t="s">
        <v>1</v>
      </c>
      <c r="F79" t="s">
        <v>883</v>
      </c>
      <c r="G79" t="s">
        <v>0</v>
      </c>
      <c r="H79">
        <v>1.07</v>
      </c>
      <c r="I79">
        <v>3.5</v>
      </c>
      <c r="J79" t="s">
        <v>6</v>
      </c>
      <c r="K79" t="str">
        <f>IFERROR(IFERROR(IF(K$5='Conceptos Desglosados'!$H$4,VLOOKUP($A79,dormitorios,2,0),IF(K$5='Conceptos Desglosados'!$H$5,VLOOKUP($A79,comedor,2,0),IF(K$5='Conceptos Desglosados'!$H$6,VLOOKUP($A79,alojamiento,2,0),IF(K$5='Conceptos Desglosados'!$H$7,VLOOKUP($A79,sanidad,2,0),IF(K$5='Conceptos Desglosados'!$H$8,VLOOKUP($A79,servicios,2,0),IF(K$5='Conceptos Desglosados'!$H$9,VLOOKUP($A79,comyaloj,2,0),IF(K$5='Conceptos Desglosados'!$H$10,VLOOKUP($A79,comandancia,2,0),IF(K$5='Conceptos Desglosados'!$H$11,VLOOKUP($A79,mantenimiento,2,0),IF(K$5='Conceptos Desglosados'!$H$12,VLOOKUP($A79,serestatal,2,0),IF(K$5='Conceptos Desglosados'!$H$13,VLOOKUP($A79,conferencias,2,0),"")))))))))),"")*K$3,"")</f>
        <v/>
      </c>
      <c r="L79" t="str">
        <f>IFERROR(IFERROR(IF(L$5='Conceptos Desglosados'!$H$4,VLOOKUP($A79,dormitorios,2,0),IF(L$5='Conceptos Desglosados'!$H$5,VLOOKUP($A79,comedor,2,0),IF(L$5='Conceptos Desglosados'!$H$6,VLOOKUP($A79,alojamiento,2,0),IF(L$5='Conceptos Desglosados'!$H$7,VLOOKUP($A79,sanidad,2,0),IF(L$5='Conceptos Desglosados'!$H$8,VLOOKUP($A79,servicios,2,0),IF(L$5='Conceptos Desglosados'!$H$9,VLOOKUP($A79,comyaloj,2,0),IF(L$5='Conceptos Desglosados'!$H$10,VLOOKUP($A79,comandancia,2,0),IF(L$5='Conceptos Desglosados'!$H$11,VLOOKUP($A79,mantenimiento,2,0),IF(L$5='Conceptos Desglosados'!$H$12,VLOOKUP($A79,serestatal,2,0),IF(L$5='Conceptos Desglosados'!$H$13,VLOOKUP($A79,conferencias,2,0),"")))))))))),"")*L$3,"")</f>
        <v/>
      </c>
      <c r="M79" t="str">
        <f>IFERROR(IFERROR(IF(M$5='Conceptos Desglosados'!$H$4,VLOOKUP($A79,dormitorios,2,0),IF(M$5='Conceptos Desglosados'!$H$5,VLOOKUP($A79,comedor,2,0),IF(M$5='Conceptos Desglosados'!$H$6,VLOOKUP($A79,alojamiento,2,0),IF(M$5='Conceptos Desglosados'!$H$7,VLOOKUP($A79,sanidad,2,0),IF(M$5='Conceptos Desglosados'!$H$8,VLOOKUP($A79,servicios,2,0),IF(M$5='Conceptos Desglosados'!$H$9,VLOOKUP($A79,comyaloj,2,0),IF(M$5='Conceptos Desglosados'!$H$10,VLOOKUP($A79,comandancia,2,0),IF(M$5='Conceptos Desglosados'!$H$11,VLOOKUP($A79,mantenimiento,2,0),IF(M$5='Conceptos Desglosados'!$H$12,VLOOKUP($A79,serestatal,2,0),IF(M$5='Conceptos Desglosados'!$H$13,VLOOKUP($A79,conferencias,2,0),"")))))))))),"")*M$3,"")</f>
        <v/>
      </c>
      <c r="O79">
        <f>SUM(K79:M79)</f>
        <v>0</v>
      </c>
    </row>
    <row r="80" spans="1:15" x14ac:dyDescent="0.35">
      <c r="A80">
        <v>75</v>
      </c>
      <c r="B80" t="s">
        <v>10</v>
      </c>
      <c r="C80" t="s">
        <v>482</v>
      </c>
      <c r="D80" t="s">
        <v>483</v>
      </c>
      <c r="E80" t="s">
        <v>1</v>
      </c>
      <c r="F80" t="s">
        <v>883</v>
      </c>
      <c r="G80" t="s">
        <v>0</v>
      </c>
      <c r="H80">
        <v>2.09</v>
      </c>
      <c r="I80">
        <v>3.5</v>
      </c>
      <c r="J80" t="s">
        <v>6</v>
      </c>
      <c r="K80" t="str">
        <f>IFERROR(IFERROR(IF(K$5='Conceptos Desglosados'!$H$4,VLOOKUP($A80,dormitorios,2,0),IF(K$5='Conceptos Desglosados'!$H$5,VLOOKUP($A80,comedor,2,0),IF(K$5='Conceptos Desglosados'!$H$6,VLOOKUP($A80,alojamiento,2,0),IF(K$5='Conceptos Desglosados'!$H$7,VLOOKUP($A80,sanidad,2,0),IF(K$5='Conceptos Desglosados'!$H$8,VLOOKUP($A80,servicios,2,0),IF(K$5='Conceptos Desglosados'!$H$9,VLOOKUP($A80,comyaloj,2,0),IF(K$5='Conceptos Desglosados'!$H$10,VLOOKUP($A80,comandancia,2,0),IF(K$5='Conceptos Desglosados'!$H$11,VLOOKUP($A80,mantenimiento,2,0),IF(K$5='Conceptos Desglosados'!$H$12,VLOOKUP($A80,serestatal,2,0),IF(K$5='Conceptos Desglosados'!$H$13,VLOOKUP($A80,conferencias,2,0),"")))))))))),"")*K$3,"")</f>
        <v/>
      </c>
      <c r="L80" t="str">
        <f>IFERROR(IFERROR(IF(L$5='Conceptos Desglosados'!$H$4,VLOOKUP($A80,dormitorios,2,0),IF(L$5='Conceptos Desglosados'!$H$5,VLOOKUP($A80,comedor,2,0),IF(L$5='Conceptos Desglosados'!$H$6,VLOOKUP($A80,alojamiento,2,0),IF(L$5='Conceptos Desglosados'!$H$7,VLOOKUP($A80,sanidad,2,0),IF(L$5='Conceptos Desglosados'!$H$8,VLOOKUP($A80,servicios,2,0),IF(L$5='Conceptos Desglosados'!$H$9,VLOOKUP($A80,comyaloj,2,0),IF(L$5='Conceptos Desglosados'!$H$10,VLOOKUP($A80,comandancia,2,0),IF(L$5='Conceptos Desglosados'!$H$11,VLOOKUP($A80,mantenimiento,2,0),IF(L$5='Conceptos Desglosados'!$H$12,VLOOKUP($A80,serestatal,2,0),IF(L$5='Conceptos Desglosados'!$H$13,VLOOKUP($A80,conferencias,2,0),"")))))))))),"")*L$3,"")</f>
        <v/>
      </c>
      <c r="M80" t="str">
        <f>IFERROR(IFERROR(IF(M$5='Conceptos Desglosados'!$H$4,VLOOKUP($A80,dormitorios,2,0),IF(M$5='Conceptos Desglosados'!$H$5,VLOOKUP($A80,comedor,2,0),IF(M$5='Conceptos Desglosados'!$H$6,VLOOKUP($A80,alojamiento,2,0),IF(M$5='Conceptos Desglosados'!$H$7,VLOOKUP($A80,sanidad,2,0),IF(M$5='Conceptos Desglosados'!$H$8,VLOOKUP($A80,servicios,2,0),IF(M$5='Conceptos Desglosados'!$H$9,VLOOKUP($A80,comyaloj,2,0),IF(M$5='Conceptos Desglosados'!$H$10,VLOOKUP($A80,comandancia,2,0),IF(M$5='Conceptos Desglosados'!$H$11,VLOOKUP($A80,mantenimiento,2,0),IF(M$5='Conceptos Desglosados'!$H$12,VLOOKUP($A80,serestatal,2,0),IF(M$5='Conceptos Desglosados'!$H$13,VLOOKUP($A80,conferencias,2,0),"")))))))))),"")*M$3,"")</f>
        <v/>
      </c>
      <c r="O80">
        <f>SUM(K80:M80)</f>
        <v>0</v>
      </c>
    </row>
    <row r="81" spans="1:15" x14ac:dyDescent="0.35">
      <c r="A81">
        <v>76</v>
      </c>
      <c r="B81" t="s">
        <v>10</v>
      </c>
      <c r="C81" t="s">
        <v>484</v>
      </c>
      <c r="D81" t="s">
        <v>485</v>
      </c>
      <c r="E81" t="s">
        <v>1</v>
      </c>
      <c r="F81" t="s">
        <v>883</v>
      </c>
      <c r="G81" t="s">
        <v>0</v>
      </c>
      <c r="H81">
        <v>2.0640000000000001</v>
      </c>
      <c r="I81">
        <v>3.5</v>
      </c>
      <c r="J81" t="s">
        <v>6</v>
      </c>
      <c r="K81" t="str">
        <f>IFERROR(IFERROR(IF(K$5='Conceptos Desglosados'!$H$4,VLOOKUP($A81,dormitorios,2,0),IF(K$5='Conceptos Desglosados'!$H$5,VLOOKUP($A81,comedor,2,0),IF(K$5='Conceptos Desglosados'!$H$6,VLOOKUP($A81,alojamiento,2,0),IF(K$5='Conceptos Desglosados'!$H$7,VLOOKUP($A81,sanidad,2,0),IF(K$5='Conceptos Desglosados'!$H$8,VLOOKUP($A81,servicios,2,0),IF(K$5='Conceptos Desglosados'!$H$9,VLOOKUP($A81,comyaloj,2,0),IF(K$5='Conceptos Desglosados'!$H$10,VLOOKUP($A81,comandancia,2,0),IF(K$5='Conceptos Desglosados'!$H$11,VLOOKUP($A81,mantenimiento,2,0),IF(K$5='Conceptos Desglosados'!$H$12,VLOOKUP($A81,serestatal,2,0),IF(K$5='Conceptos Desglosados'!$H$13,VLOOKUP($A81,conferencias,2,0),"")))))))))),"")*K$3,"")</f>
        <v/>
      </c>
      <c r="L81" t="str">
        <f>IFERROR(IFERROR(IF(L$5='Conceptos Desglosados'!$H$4,VLOOKUP($A81,dormitorios,2,0),IF(L$5='Conceptos Desglosados'!$H$5,VLOOKUP($A81,comedor,2,0),IF(L$5='Conceptos Desglosados'!$H$6,VLOOKUP($A81,alojamiento,2,0),IF(L$5='Conceptos Desglosados'!$H$7,VLOOKUP($A81,sanidad,2,0),IF(L$5='Conceptos Desglosados'!$H$8,VLOOKUP($A81,servicios,2,0),IF(L$5='Conceptos Desglosados'!$H$9,VLOOKUP($A81,comyaloj,2,0),IF(L$5='Conceptos Desglosados'!$H$10,VLOOKUP($A81,comandancia,2,0),IF(L$5='Conceptos Desglosados'!$H$11,VLOOKUP($A81,mantenimiento,2,0),IF(L$5='Conceptos Desglosados'!$H$12,VLOOKUP($A81,serestatal,2,0),IF(L$5='Conceptos Desglosados'!$H$13,VLOOKUP($A81,conferencias,2,0),"")))))))))),"")*L$3,"")</f>
        <v/>
      </c>
      <c r="M81" t="str">
        <f>IFERROR(IFERROR(IF(M$5='Conceptos Desglosados'!$H$4,VLOOKUP($A81,dormitorios,2,0),IF(M$5='Conceptos Desglosados'!$H$5,VLOOKUP($A81,comedor,2,0),IF(M$5='Conceptos Desglosados'!$H$6,VLOOKUP($A81,alojamiento,2,0),IF(M$5='Conceptos Desglosados'!$H$7,VLOOKUP($A81,sanidad,2,0),IF(M$5='Conceptos Desglosados'!$H$8,VLOOKUP($A81,servicios,2,0),IF(M$5='Conceptos Desglosados'!$H$9,VLOOKUP($A81,comyaloj,2,0),IF(M$5='Conceptos Desglosados'!$H$10,VLOOKUP($A81,comandancia,2,0),IF(M$5='Conceptos Desglosados'!$H$11,VLOOKUP($A81,mantenimiento,2,0),IF(M$5='Conceptos Desglosados'!$H$12,VLOOKUP($A81,serestatal,2,0),IF(M$5='Conceptos Desglosados'!$H$13,VLOOKUP($A81,conferencias,2,0),"")))))))))),"")*M$3,"")</f>
        <v/>
      </c>
      <c r="O81">
        <f>SUM(K81:M81)</f>
        <v>0</v>
      </c>
    </row>
    <row r="82" spans="1:15" x14ac:dyDescent="0.35">
      <c r="A82">
        <v>77</v>
      </c>
      <c r="B82" t="s">
        <v>10</v>
      </c>
      <c r="C82" t="s">
        <v>515</v>
      </c>
      <c r="D82" t="s">
        <v>509</v>
      </c>
      <c r="E82" t="s">
        <v>1</v>
      </c>
      <c r="F82" t="s">
        <v>511</v>
      </c>
      <c r="G82" t="s">
        <v>0</v>
      </c>
      <c r="H82">
        <v>1.95</v>
      </c>
      <c r="I82">
        <v>2.7149999999999999</v>
      </c>
      <c r="J82" t="s">
        <v>6</v>
      </c>
      <c r="K82" t="str">
        <f>IFERROR(IFERROR(IF(K$5='Conceptos Desglosados'!$H$4,VLOOKUP($A82,dormitorios,2,0),IF(K$5='Conceptos Desglosados'!$H$5,VLOOKUP($A82,comedor,2,0),IF(K$5='Conceptos Desglosados'!$H$6,VLOOKUP($A82,alojamiento,2,0),IF(K$5='Conceptos Desglosados'!$H$7,VLOOKUP($A82,sanidad,2,0),IF(K$5='Conceptos Desglosados'!$H$8,VLOOKUP($A82,servicios,2,0),IF(K$5='Conceptos Desglosados'!$H$9,VLOOKUP($A82,comyaloj,2,0),IF(K$5='Conceptos Desglosados'!$H$10,VLOOKUP($A82,comandancia,2,0),IF(K$5='Conceptos Desglosados'!$H$11,VLOOKUP($A82,mantenimiento,2,0),IF(K$5='Conceptos Desglosados'!$H$12,VLOOKUP($A82,serestatal,2,0),IF(K$5='Conceptos Desglosados'!$H$13,VLOOKUP($A82,conferencias,2,0),"")))))))))),"")*K$3,"")</f>
        <v/>
      </c>
      <c r="L82" t="str">
        <f>IFERROR(IFERROR(IF(L$5='Conceptos Desglosados'!$H$4,VLOOKUP($A82,dormitorios,2,0),IF(L$5='Conceptos Desglosados'!$H$5,VLOOKUP($A82,comedor,2,0),IF(L$5='Conceptos Desglosados'!$H$6,VLOOKUP($A82,alojamiento,2,0),IF(L$5='Conceptos Desglosados'!$H$7,VLOOKUP($A82,sanidad,2,0),IF(L$5='Conceptos Desglosados'!$H$8,VLOOKUP($A82,servicios,2,0),IF(L$5='Conceptos Desglosados'!$H$9,VLOOKUP($A82,comyaloj,2,0),IF(L$5='Conceptos Desglosados'!$H$10,VLOOKUP($A82,comandancia,2,0),IF(L$5='Conceptos Desglosados'!$H$11,VLOOKUP($A82,mantenimiento,2,0),IF(L$5='Conceptos Desglosados'!$H$12,VLOOKUP($A82,serestatal,2,0),IF(L$5='Conceptos Desglosados'!$H$13,VLOOKUP($A82,conferencias,2,0),"")))))))))),"")*L$3,"")</f>
        <v/>
      </c>
      <c r="M82" t="str">
        <f>IFERROR(IFERROR(IF(M$5='Conceptos Desglosados'!$H$4,VLOOKUP($A82,dormitorios,2,0),IF(M$5='Conceptos Desglosados'!$H$5,VLOOKUP($A82,comedor,2,0),IF(M$5='Conceptos Desglosados'!$H$6,VLOOKUP($A82,alojamiento,2,0),IF(M$5='Conceptos Desglosados'!$H$7,VLOOKUP($A82,sanidad,2,0),IF(M$5='Conceptos Desglosados'!$H$8,VLOOKUP($A82,servicios,2,0),IF(M$5='Conceptos Desglosados'!$H$9,VLOOKUP($A82,comyaloj,2,0),IF(M$5='Conceptos Desglosados'!$H$10,VLOOKUP($A82,comandancia,2,0),IF(M$5='Conceptos Desglosados'!$H$11,VLOOKUP($A82,mantenimiento,2,0),IF(M$5='Conceptos Desglosados'!$H$12,VLOOKUP($A82,serestatal,2,0),IF(M$5='Conceptos Desglosados'!$H$13,VLOOKUP($A82,conferencias,2,0),"")))))))))),"")*M$3,"")</f>
        <v/>
      </c>
      <c r="O82">
        <f>SUM(K82:M82)</f>
        <v>0</v>
      </c>
    </row>
    <row r="83" spans="1:15" x14ac:dyDescent="0.35">
      <c r="A83">
        <v>78</v>
      </c>
      <c r="B83" t="s">
        <v>10</v>
      </c>
      <c r="C83" t="s">
        <v>558</v>
      </c>
      <c r="D83" t="s">
        <v>552</v>
      </c>
      <c r="E83" t="s">
        <v>1</v>
      </c>
      <c r="F83" t="s">
        <v>883</v>
      </c>
      <c r="G83" t="s">
        <v>0</v>
      </c>
      <c r="H83">
        <v>1.61</v>
      </c>
      <c r="I83">
        <v>2.7149999999999999</v>
      </c>
      <c r="J83" t="s">
        <v>6</v>
      </c>
      <c r="K83" t="str">
        <f>IFERROR(IFERROR(IF(K$5='Conceptos Desglosados'!$H$4,VLOOKUP($A83,dormitorios,2,0),IF(K$5='Conceptos Desglosados'!$H$5,VLOOKUP($A83,comedor,2,0),IF(K$5='Conceptos Desglosados'!$H$6,VLOOKUP($A83,alojamiento,2,0),IF(K$5='Conceptos Desglosados'!$H$7,VLOOKUP($A83,sanidad,2,0),IF(K$5='Conceptos Desglosados'!$H$8,VLOOKUP($A83,servicios,2,0),IF(K$5='Conceptos Desglosados'!$H$9,VLOOKUP($A83,comyaloj,2,0),IF(K$5='Conceptos Desglosados'!$H$10,VLOOKUP($A83,comandancia,2,0),IF(K$5='Conceptos Desglosados'!$H$11,VLOOKUP($A83,mantenimiento,2,0),IF(K$5='Conceptos Desglosados'!$H$12,VLOOKUP($A83,serestatal,2,0),IF(K$5='Conceptos Desglosados'!$H$13,VLOOKUP($A83,conferencias,2,0),"")))))))))),"")*K$3,"")</f>
        <v/>
      </c>
      <c r="L83" t="str">
        <f>IFERROR(IFERROR(IF(L$5='Conceptos Desglosados'!$H$4,VLOOKUP($A83,dormitorios,2,0),IF(L$5='Conceptos Desglosados'!$H$5,VLOOKUP($A83,comedor,2,0),IF(L$5='Conceptos Desglosados'!$H$6,VLOOKUP($A83,alojamiento,2,0),IF(L$5='Conceptos Desglosados'!$H$7,VLOOKUP($A83,sanidad,2,0),IF(L$5='Conceptos Desglosados'!$H$8,VLOOKUP($A83,servicios,2,0),IF(L$5='Conceptos Desglosados'!$H$9,VLOOKUP($A83,comyaloj,2,0),IF(L$5='Conceptos Desglosados'!$H$10,VLOOKUP($A83,comandancia,2,0),IF(L$5='Conceptos Desglosados'!$H$11,VLOOKUP($A83,mantenimiento,2,0),IF(L$5='Conceptos Desglosados'!$H$12,VLOOKUP($A83,serestatal,2,0),IF(L$5='Conceptos Desglosados'!$H$13,VLOOKUP($A83,conferencias,2,0),"")))))))))),"")*L$3,"")</f>
        <v/>
      </c>
      <c r="M83" t="str">
        <f>IFERROR(IFERROR(IF(M$5='Conceptos Desglosados'!$H$4,VLOOKUP($A83,dormitorios,2,0),IF(M$5='Conceptos Desglosados'!$H$5,VLOOKUP($A83,comedor,2,0),IF(M$5='Conceptos Desglosados'!$H$6,VLOOKUP($A83,alojamiento,2,0),IF(M$5='Conceptos Desglosados'!$H$7,VLOOKUP($A83,sanidad,2,0),IF(M$5='Conceptos Desglosados'!$H$8,VLOOKUP($A83,servicios,2,0),IF(M$5='Conceptos Desglosados'!$H$9,VLOOKUP($A83,comyaloj,2,0),IF(M$5='Conceptos Desglosados'!$H$10,VLOOKUP($A83,comandancia,2,0),IF(M$5='Conceptos Desglosados'!$H$11,VLOOKUP($A83,mantenimiento,2,0),IF(M$5='Conceptos Desglosados'!$H$12,VLOOKUP($A83,serestatal,2,0),IF(M$5='Conceptos Desglosados'!$H$13,VLOOKUP($A83,conferencias,2,0),"")))))))))),"")*M$3,"")</f>
        <v/>
      </c>
      <c r="O83">
        <f>SUM(K83:M83)</f>
        <v>0</v>
      </c>
    </row>
    <row r="84" spans="1:15" x14ac:dyDescent="0.35">
      <c r="A84">
        <v>79</v>
      </c>
      <c r="B84" t="s">
        <v>10</v>
      </c>
      <c r="C84" t="s">
        <v>559</v>
      </c>
      <c r="D84" t="s">
        <v>553</v>
      </c>
      <c r="E84" t="s">
        <v>1</v>
      </c>
      <c r="F84" t="s">
        <v>883</v>
      </c>
      <c r="G84" t="s">
        <v>0</v>
      </c>
      <c r="H84">
        <v>1.31</v>
      </c>
      <c r="I84">
        <v>2.7149999999999999</v>
      </c>
      <c r="J84" t="s">
        <v>6</v>
      </c>
      <c r="K84" t="str">
        <f>IFERROR(IFERROR(IF(K$5='Conceptos Desglosados'!$H$4,VLOOKUP($A84,dormitorios,2,0),IF(K$5='Conceptos Desglosados'!$H$5,VLOOKUP($A84,comedor,2,0),IF(K$5='Conceptos Desglosados'!$H$6,VLOOKUP($A84,alojamiento,2,0),IF(K$5='Conceptos Desglosados'!$H$7,VLOOKUP($A84,sanidad,2,0),IF(K$5='Conceptos Desglosados'!$H$8,VLOOKUP($A84,servicios,2,0),IF(K$5='Conceptos Desglosados'!$H$9,VLOOKUP($A84,comyaloj,2,0),IF(K$5='Conceptos Desglosados'!$H$10,VLOOKUP($A84,comandancia,2,0),IF(K$5='Conceptos Desglosados'!$H$11,VLOOKUP($A84,mantenimiento,2,0),IF(K$5='Conceptos Desglosados'!$H$12,VLOOKUP($A84,serestatal,2,0),IF(K$5='Conceptos Desglosados'!$H$13,VLOOKUP($A84,conferencias,2,0),"")))))))))),"")*K$3,"")</f>
        <v/>
      </c>
      <c r="L84" t="str">
        <f>IFERROR(IFERROR(IF(L$5='Conceptos Desglosados'!$H$4,VLOOKUP($A84,dormitorios,2,0),IF(L$5='Conceptos Desglosados'!$H$5,VLOOKUP($A84,comedor,2,0),IF(L$5='Conceptos Desglosados'!$H$6,VLOOKUP($A84,alojamiento,2,0),IF(L$5='Conceptos Desglosados'!$H$7,VLOOKUP($A84,sanidad,2,0),IF(L$5='Conceptos Desglosados'!$H$8,VLOOKUP($A84,servicios,2,0),IF(L$5='Conceptos Desglosados'!$H$9,VLOOKUP($A84,comyaloj,2,0),IF(L$5='Conceptos Desglosados'!$H$10,VLOOKUP($A84,comandancia,2,0),IF(L$5='Conceptos Desglosados'!$H$11,VLOOKUP($A84,mantenimiento,2,0),IF(L$5='Conceptos Desglosados'!$H$12,VLOOKUP($A84,serestatal,2,0),IF(L$5='Conceptos Desglosados'!$H$13,VLOOKUP($A84,conferencias,2,0),"")))))))))),"")*L$3,"")</f>
        <v/>
      </c>
      <c r="M84" t="str">
        <f>IFERROR(IFERROR(IF(M$5='Conceptos Desglosados'!$H$4,VLOOKUP($A84,dormitorios,2,0),IF(M$5='Conceptos Desglosados'!$H$5,VLOOKUP($A84,comedor,2,0),IF(M$5='Conceptos Desglosados'!$H$6,VLOOKUP($A84,alojamiento,2,0),IF(M$5='Conceptos Desglosados'!$H$7,VLOOKUP($A84,sanidad,2,0),IF(M$5='Conceptos Desglosados'!$H$8,VLOOKUP($A84,servicios,2,0),IF(M$5='Conceptos Desglosados'!$H$9,VLOOKUP($A84,comyaloj,2,0),IF(M$5='Conceptos Desglosados'!$H$10,VLOOKUP($A84,comandancia,2,0),IF(M$5='Conceptos Desglosados'!$H$11,VLOOKUP($A84,mantenimiento,2,0),IF(M$5='Conceptos Desglosados'!$H$12,VLOOKUP($A84,serestatal,2,0),IF(M$5='Conceptos Desglosados'!$H$13,VLOOKUP($A84,conferencias,2,0),"")))))))))),"")*M$3,"")</f>
        <v/>
      </c>
      <c r="O84">
        <f>SUM(K84:M84)</f>
        <v>0</v>
      </c>
    </row>
    <row r="85" spans="1:15" x14ac:dyDescent="0.35">
      <c r="A85">
        <v>80</v>
      </c>
      <c r="B85" t="s">
        <v>10</v>
      </c>
      <c r="C85" t="s">
        <v>560</v>
      </c>
      <c r="D85" t="s">
        <v>557</v>
      </c>
      <c r="E85" t="s">
        <v>1</v>
      </c>
      <c r="F85" t="s">
        <v>883</v>
      </c>
      <c r="G85" t="s">
        <v>2</v>
      </c>
      <c r="H85">
        <v>1.74</v>
      </c>
      <c r="I85">
        <v>2.7149999999999999</v>
      </c>
      <c r="J85" t="s">
        <v>6</v>
      </c>
      <c r="K85" t="str">
        <f>IFERROR(IFERROR(IF(K$5='Conceptos Desglosados'!$H$4,VLOOKUP($A85,dormitorios,2,0),IF(K$5='Conceptos Desglosados'!$H$5,VLOOKUP($A85,comedor,2,0),IF(K$5='Conceptos Desglosados'!$H$6,VLOOKUP($A85,alojamiento,2,0),IF(K$5='Conceptos Desglosados'!$H$7,VLOOKUP($A85,sanidad,2,0),IF(K$5='Conceptos Desglosados'!$H$8,VLOOKUP($A85,servicios,2,0),IF(K$5='Conceptos Desglosados'!$H$9,VLOOKUP($A85,comyaloj,2,0),IF(K$5='Conceptos Desglosados'!$H$10,VLOOKUP($A85,comandancia,2,0),IF(K$5='Conceptos Desglosados'!$H$11,VLOOKUP($A85,mantenimiento,2,0),IF(K$5='Conceptos Desglosados'!$H$12,VLOOKUP($A85,serestatal,2,0),IF(K$5='Conceptos Desglosados'!$H$13,VLOOKUP($A85,conferencias,2,0),"")))))))))),"")*K$3,"")</f>
        <v/>
      </c>
      <c r="L85" t="str">
        <f>IFERROR(IFERROR(IF(L$5='Conceptos Desglosados'!$H$4,VLOOKUP($A85,dormitorios,2,0),IF(L$5='Conceptos Desglosados'!$H$5,VLOOKUP($A85,comedor,2,0),IF(L$5='Conceptos Desglosados'!$H$6,VLOOKUP($A85,alojamiento,2,0),IF(L$5='Conceptos Desglosados'!$H$7,VLOOKUP($A85,sanidad,2,0),IF(L$5='Conceptos Desglosados'!$H$8,VLOOKUP($A85,servicios,2,0),IF(L$5='Conceptos Desglosados'!$H$9,VLOOKUP($A85,comyaloj,2,0),IF(L$5='Conceptos Desglosados'!$H$10,VLOOKUP($A85,comandancia,2,0),IF(L$5='Conceptos Desglosados'!$H$11,VLOOKUP($A85,mantenimiento,2,0),IF(L$5='Conceptos Desglosados'!$H$12,VLOOKUP($A85,serestatal,2,0),IF(L$5='Conceptos Desglosados'!$H$13,VLOOKUP($A85,conferencias,2,0),"")))))))))),"")*L$3,"")</f>
        <v/>
      </c>
      <c r="M85" t="str">
        <f>IFERROR(IFERROR(IF(M$5='Conceptos Desglosados'!$H$4,VLOOKUP($A85,dormitorios,2,0),IF(M$5='Conceptos Desglosados'!$H$5,VLOOKUP($A85,comedor,2,0),IF(M$5='Conceptos Desglosados'!$H$6,VLOOKUP($A85,alojamiento,2,0),IF(M$5='Conceptos Desglosados'!$H$7,VLOOKUP($A85,sanidad,2,0),IF(M$5='Conceptos Desglosados'!$H$8,VLOOKUP($A85,servicios,2,0),IF(M$5='Conceptos Desglosados'!$H$9,VLOOKUP($A85,comyaloj,2,0),IF(M$5='Conceptos Desglosados'!$H$10,VLOOKUP($A85,comandancia,2,0),IF(M$5='Conceptos Desglosados'!$H$11,VLOOKUP($A85,mantenimiento,2,0),IF(M$5='Conceptos Desglosados'!$H$12,VLOOKUP($A85,serestatal,2,0),IF(M$5='Conceptos Desglosados'!$H$13,VLOOKUP($A85,conferencias,2,0),"")))))))))),"")*M$3,"")</f>
        <v/>
      </c>
      <c r="O85">
        <f>SUM(K85:M85)</f>
        <v>0</v>
      </c>
    </row>
    <row r="86" spans="1:15" x14ac:dyDescent="0.35">
      <c r="A86">
        <v>81</v>
      </c>
      <c r="B86" t="s">
        <v>10</v>
      </c>
      <c r="C86" t="s">
        <v>581</v>
      </c>
      <c r="D86" t="s">
        <v>582</v>
      </c>
      <c r="E86" t="s">
        <v>1</v>
      </c>
      <c r="F86" t="s">
        <v>883</v>
      </c>
      <c r="G86" t="s">
        <v>2</v>
      </c>
      <c r="H86">
        <v>2.12</v>
      </c>
      <c r="I86">
        <v>2.7149999999999999</v>
      </c>
      <c r="J86" t="s">
        <v>6</v>
      </c>
      <c r="K86" t="str">
        <f>IFERROR(IFERROR(IF(K$5='Conceptos Desglosados'!$H$4,VLOOKUP($A86,dormitorios,2,0),IF(K$5='Conceptos Desglosados'!$H$5,VLOOKUP($A86,comedor,2,0),IF(K$5='Conceptos Desglosados'!$H$6,VLOOKUP($A86,alojamiento,2,0),IF(K$5='Conceptos Desglosados'!$H$7,VLOOKUP($A86,sanidad,2,0),IF(K$5='Conceptos Desglosados'!$H$8,VLOOKUP($A86,servicios,2,0),IF(K$5='Conceptos Desglosados'!$H$9,VLOOKUP($A86,comyaloj,2,0),IF(K$5='Conceptos Desglosados'!$H$10,VLOOKUP($A86,comandancia,2,0),IF(K$5='Conceptos Desglosados'!$H$11,VLOOKUP($A86,mantenimiento,2,0),IF(K$5='Conceptos Desglosados'!$H$12,VLOOKUP($A86,serestatal,2,0),IF(K$5='Conceptos Desglosados'!$H$13,VLOOKUP($A86,conferencias,2,0),"")))))))))),"")*K$3,"")</f>
        <v/>
      </c>
      <c r="L86" t="str">
        <f>IFERROR(IFERROR(IF(L$5='Conceptos Desglosados'!$H$4,VLOOKUP($A86,dormitorios,2,0),IF(L$5='Conceptos Desglosados'!$H$5,VLOOKUP($A86,comedor,2,0),IF(L$5='Conceptos Desglosados'!$H$6,VLOOKUP($A86,alojamiento,2,0),IF(L$5='Conceptos Desglosados'!$H$7,VLOOKUP($A86,sanidad,2,0),IF(L$5='Conceptos Desglosados'!$H$8,VLOOKUP($A86,servicios,2,0),IF(L$5='Conceptos Desglosados'!$H$9,VLOOKUP($A86,comyaloj,2,0),IF(L$5='Conceptos Desglosados'!$H$10,VLOOKUP($A86,comandancia,2,0),IF(L$5='Conceptos Desglosados'!$H$11,VLOOKUP($A86,mantenimiento,2,0),IF(L$5='Conceptos Desglosados'!$H$12,VLOOKUP($A86,serestatal,2,0),IF(L$5='Conceptos Desglosados'!$H$13,VLOOKUP($A86,conferencias,2,0),"")))))))))),"")*L$3,"")</f>
        <v/>
      </c>
      <c r="M86" t="str">
        <f>IFERROR(IFERROR(IF(M$5='Conceptos Desglosados'!$H$4,VLOOKUP($A86,dormitorios,2,0),IF(M$5='Conceptos Desglosados'!$H$5,VLOOKUP($A86,comedor,2,0),IF(M$5='Conceptos Desglosados'!$H$6,VLOOKUP($A86,alojamiento,2,0),IF(M$5='Conceptos Desglosados'!$H$7,VLOOKUP($A86,sanidad,2,0),IF(M$5='Conceptos Desglosados'!$H$8,VLOOKUP($A86,servicios,2,0),IF(M$5='Conceptos Desglosados'!$H$9,VLOOKUP($A86,comyaloj,2,0),IF(M$5='Conceptos Desglosados'!$H$10,VLOOKUP($A86,comandancia,2,0),IF(M$5='Conceptos Desglosados'!$H$11,VLOOKUP($A86,mantenimiento,2,0),IF(M$5='Conceptos Desglosados'!$H$12,VLOOKUP($A86,serestatal,2,0),IF(M$5='Conceptos Desglosados'!$H$13,VLOOKUP($A86,conferencias,2,0),"")))))))))),"")*M$3,"")</f>
        <v/>
      </c>
      <c r="O86">
        <f>SUM(K86:M86)</f>
        <v>0</v>
      </c>
    </row>
    <row r="87" spans="1:15" x14ac:dyDescent="0.35">
      <c r="A87">
        <v>82</v>
      </c>
      <c r="B87" t="s">
        <v>10</v>
      </c>
      <c r="C87" t="s">
        <v>583</v>
      </c>
      <c r="D87" t="s">
        <v>584</v>
      </c>
      <c r="E87" t="s">
        <v>1</v>
      </c>
      <c r="F87" t="s">
        <v>883</v>
      </c>
      <c r="G87" t="s">
        <v>2</v>
      </c>
      <c r="H87">
        <v>1.81</v>
      </c>
      <c r="I87">
        <v>2.7149999999999999</v>
      </c>
      <c r="J87" t="s">
        <v>6</v>
      </c>
      <c r="K87" t="str">
        <f>IFERROR(IFERROR(IF(K$5='Conceptos Desglosados'!$H$4,VLOOKUP($A87,dormitorios,2,0),IF(K$5='Conceptos Desglosados'!$H$5,VLOOKUP($A87,comedor,2,0),IF(K$5='Conceptos Desglosados'!$H$6,VLOOKUP($A87,alojamiento,2,0),IF(K$5='Conceptos Desglosados'!$H$7,VLOOKUP($A87,sanidad,2,0),IF(K$5='Conceptos Desglosados'!$H$8,VLOOKUP($A87,servicios,2,0),IF(K$5='Conceptos Desglosados'!$H$9,VLOOKUP($A87,comyaloj,2,0),IF(K$5='Conceptos Desglosados'!$H$10,VLOOKUP($A87,comandancia,2,0),IF(K$5='Conceptos Desglosados'!$H$11,VLOOKUP($A87,mantenimiento,2,0),IF(K$5='Conceptos Desglosados'!$H$12,VLOOKUP($A87,serestatal,2,0),IF(K$5='Conceptos Desglosados'!$H$13,VLOOKUP($A87,conferencias,2,0),"")))))))))),"")*K$3,"")</f>
        <v/>
      </c>
      <c r="L87" t="str">
        <f>IFERROR(IFERROR(IF(L$5='Conceptos Desglosados'!$H$4,VLOOKUP($A87,dormitorios,2,0),IF(L$5='Conceptos Desglosados'!$H$5,VLOOKUP($A87,comedor,2,0),IF(L$5='Conceptos Desglosados'!$H$6,VLOOKUP($A87,alojamiento,2,0),IF(L$5='Conceptos Desglosados'!$H$7,VLOOKUP($A87,sanidad,2,0),IF(L$5='Conceptos Desglosados'!$H$8,VLOOKUP($A87,servicios,2,0),IF(L$5='Conceptos Desglosados'!$H$9,VLOOKUP($A87,comyaloj,2,0),IF(L$5='Conceptos Desglosados'!$H$10,VLOOKUP($A87,comandancia,2,0),IF(L$5='Conceptos Desglosados'!$H$11,VLOOKUP($A87,mantenimiento,2,0),IF(L$5='Conceptos Desglosados'!$H$12,VLOOKUP($A87,serestatal,2,0),IF(L$5='Conceptos Desglosados'!$H$13,VLOOKUP($A87,conferencias,2,0),"")))))))))),"")*L$3,"")</f>
        <v/>
      </c>
      <c r="M87" t="str">
        <f>IFERROR(IFERROR(IF(M$5='Conceptos Desglosados'!$H$4,VLOOKUP($A87,dormitorios,2,0),IF(M$5='Conceptos Desglosados'!$H$5,VLOOKUP($A87,comedor,2,0),IF(M$5='Conceptos Desglosados'!$H$6,VLOOKUP($A87,alojamiento,2,0),IF(M$5='Conceptos Desglosados'!$H$7,VLOOKUP($A87,sanidad,2,0),IF(M$5='Conceptos Desglosados'!$H$8,VLOOKUP($A87,servicios,2,0),IF(M$5='Conceptos Desglosados'!$H$9,VLOOKUP($A87,comyaloj,2,0),IF(M$5='Conceptos Desglosados'!$H$10,VLOOKUP($A87,comandancia,2,0),IF(M$5='Conceptos Desglosados'!$H$11,VLOOKUP($A87,mantenimiento,2,0),IF(M$5='Conceptos Desglosados'!$H$12,VLOOKUP($A87,serestatal,2,0),IF(M$5='Conceptos Desglosados'!$H$13,VLOOKUP($A87,conferencias,2,0),"")))))))))),"")*M$3,"")</f>
        <v/>
      </c>
      <c r="O87">
        <f>SUM(K87:M87)</f>
        <v>0</v>
      </c>
    </row>
    <row r="88" spans="1:15" x14ac:dyDescent="0.35">
      <c r="A88">
        <v>83</v>
      </c>
      <c r="B88" t="s">
        <v>10</v>
      </c>
      <c r="C88" t="s">
        <v>585</v>
      </c>
      <c r="D88" t="s">
        <v>586</v>
      </c>
      <c r="E88" t="s">
        <v>1</v>
      </c>
      <c r="F88" t="s">
        <v>883</v>
      </c>
      <c r="G88" t="s">
        <v>0</v>
      </c>
      <c r="H88">
        <v>2.0299999999999998</v>
      </c>
      <c r="I88">
        <v>2.7149999999999999</v>
      </c>
      <c r="J88" t="s">
        <v>6</v>
      </c>
      <c r="K88" t="str">
        <f>IFERROR(IFERROR(IF(K$5='Conceptos Desglosados'!$H$4,VLOOKUP($A88,dormitorios,2,0),IF(K$5='Conceptos Desglosados'!$H$5,VLOOKUP($A88,comedor,2,0),IF(K$5='Conceptos Desglosados'!$H$6,VLOOKUP($A88,alojamiento,2,0),IF(K$5='Conceptos Desglosados'!$H$7,VLOOKUP($A88,sanidad,2,0),IF(K$5='Conceptos Desglosados'!$H$8,VLOOKUP($A88,servicios,2,0),IF(K$5='Conceptos Desglosados'!$H$9,VLOOKUP($A88,comyaloj,2,0),IF(K$5='Conceptos Desglosados'!$H$10,VLOOKUP($A88,comandancia,2,0),IF(K$5='Conceptos Desglosados'!$H$11,VLOOKUP($A88,mantenimiento,2,0),IF(K$5='Conceptos Desglosados'!$H$12,VLOOKUP($A88,serestatal,2,0),IF(K$5='Conceptos Desglosados'!$H$13,VLOOKUP($A88,conferencias,2,0),"")))))))))),"")*K$3,"")</f>
        <v/>
      </c>
      <c r="L88" t="str">
        <f>IFERROR(IFERROR(IF(L$5='Conceptos Desglosados'!$H$4,VLOOKUP($A88,dormitorios,2,0),IF(L$5='Conceptos Desglosados'!$H$5,VLOOKUP($A88,comedor,2,0),IF(L$5='Conceptos Desglosados'!$H$6,VLOOKUP($A88,alojamiento,2,0),IF(L$5='Conceptos Desglosados'!$H$7,VLOOKUP($A88,sanidad,2,0),IF(L$5='Conceptos Desglosados'!$H$8,VLOOKUP($A88,servicios,2,0),IF(L$5='Conceptos Desglosados'!$H$9,VLOOKUP($A88,comyaloj,2,0),IF(L$5='Conceptos Desglosados'!$H$10,VLOOKUP($A88,comandancia,2,0),IF(L$5='Conceptos Desglosados'!$H$11,VLOOKUP($A88,mantenimiento,2,0),IF(L$5='Conceptos Desglosados'!$H$12,VLOOKUP($A88,serestatal,2,0),IF(L$5='Conceptos Desglosados'!$H$13,VLOOKUP($A88,conferencias,2,0),"")))))))))),"")*L$3,"")</f>
        <v/>
      </c>
      <c r="M88" t="str">
        <f>IFERROR(IFERROR(IF(M$5='Conceptos Desglosados'!$H$4,VLOOKUP($A88,dormitorios,2,0),IF(M$5='Conceptos Desglosados'!$H$5,VLOOKUP($A88,comedor,2,0),IF(M$5='Conceptos Desglosados'!$H$6,VLOOKUP($A88,alojamiento,2,0),IF(M$5='Conceptos Desglosados'!$H$7,VLOOKUP($A88,sanidad,2,0),IF(M$5='Conceptos Desglosados'!$H$8,VLOOKUP($A88,servicios,2,0),IF(M$5='Conceptos Desglosados'!$H$9,VLOOKUP($A88,comyaloj,2,0),IF(M$5='Conceptos Desglosados'!$H$10,VLOOKUP($A88,comandancia,2,0),IF(M$5='Conceptos Desglosados'!$H$11,VLOOKUP($A88,mantenimiento,2,0),IF(M$5='Conceptos Desglosados'!$H$12,VLOOKUP($A88,serestatal,2,0),IF(M$5='Conceptos Desglosados'!$H$13,VLOOKUP($A88,conferencias,2,0),"")))))))))),"")*M$3,"")</f>
        <v/>
      </c>
      <c r="O88">
        <f>SUM(K88:M88)</f>
        <v>0</v>
      </c>
    </row>
    <row r="89" spans="1:15" x14ac:dyDescent="0.35">
      <c r="A89">
        <v>84</v>
      </c>
      <c r="B89" t="s">
        <v>10</v>
      </c>
      <c r="C89" t="s">
        <v>587</v>
      </c>
      <c r="D89" t="s">
        <v>588</v>
      </c>
      <c r="E89" t="s">
        <v>1</v>
      </c>
      <c r="F89" t="s">
        <v>883</v>
      </c>
      <c r="G89" t="s">
        <v>0</v>
      </c>
      <c r="H89">
        <v>0.98</v>
      </c>
      <c r="I89">
        <v>2.7149999999999999</v>
      </c>
      <c r="J89" t="s">
        <v>6</v>
      </c>
      <c r="K89" t="str">
        <f>IFERROR(IFERROR(IF(K$5='Conceptos Desglosados'!$H$4,VLOOKUP($A89,dormitorios,2,0),IF(K$5='Conceptos Desglosados'!$H$5,VLOOKUP($A89,comedor,2,0),IF(K$5='Conceptos Desglosados'!$H$6,VLOOKUP($A89,alojamiento,2,0),IF(K$5='Conceptos Desglosados'!$H$7,VLOOKUP($A89,sanidad,2,0),IF(K$5='Conceptos Desglosados'!$H$8,VLOOKUP($A89,servicios,2,0),IF(K$5='Conceptos Desglosados'!$H$9,VLOOKUP($A89,comyaloj,2,0),IF(K$5='Conceptos Desglosados'!$H$10,VLOOKUP($A89,comandancia,2,0),IF(K$5='Conceptos Desglosados'!$H$11,VLOOKUP($A89,mantenimiento,2,0),IF(K$5='Conceptos Desglosados'!$H$12,VLOOKUP($A89,serestatal,2,0),IF(K$5='Conceptos Desglosados'!$H$13,VLOOKUP($A89,conferencias,2,0),"")))))))))),"")*K$3,"")</f>
        <v/>
      </c>
      <c r="L89" t="str">
        <f>IFERROR(IFERROR(IF(L$5='Conceptos Desglosados'!$H$4,VLOOKUP($A89,dormitorios,2,0),IF(L$5='Conceptos Desglosados'!$H$5,VLOOKUP($A89,comedor,2,0),IF(L$5='Conceptos Desglosados'!$H$6,VLOOKUP($A89,alojamiento,2,0),IF(L$5='Conceptos Desglosados'!$H$7,VLOOKUP($A89,sanidad,2,0),IF(L$5='Conceptos Desglosados'!$H$8,VLOOKUP($A89,servicios,2,0),IF(L$5='Conceptos Desglosados'!$H$9,VLOOKUP($A89,comyaloj,2,0),IF(L$5='Conceptos Desglosados'!$H$10,VLOOKUP($A89,comandancia,2,0),IF(L$5='Conceptos Desglosados'!$H$11,VLOOKUP($A89,mantenimiento,2,0),IF(L$5='Conceptos Desglosados'!$H$12,VLOOKUP($A89,serestatal,2,0),IF(L$5='Conceptos Desglosados'!$H$13,VLOOKUP($A89,conferencias,2,0),"")))))))))),"")*L$3,"")</f>
        <v/>
      </c>
      <c r="M89" t="str">
        <f>IFERROR(IFERROR(IF(M$5='Conceptos Desglosados'!$H$4,VLOOKUP($A89,dormitorios,2,0),IF(M$5='Conceptos Desglosados'!$H$5,VLOOKUP($A89,comedor,2,0),IF(M$5='Conceptos Desglosados'!$H$6,VLOOKUP($A89,alojamiento,2,0),IF(M$5='Conceptos Desglosados'!$H$7,VLOOKUP($A89,sanidad,2,0),IF(M$5='Conceptos Desglosados'!$H$8,VLOOKUP($A89,servicios,2,0),IF(M$5='Conceptos Desglosados'!$H$9,VLOOKUP($A89,comyaloj,2,0),IF(M$5='Conceptos Desglosados'!$H$10,VLOOKUP($A89,comandancia,2,0),IF(M$5='Conceptos Desglosados'!$H$11,VLOOKUP($A89,mantenimiento,2,0),IF(M$5='Conceptos Desglosados'!$H$12,VLOOKUP($A89,serestatal,2,0),IF(M$5='Conceptos Desglosados'!$H$13,VLOOKUP($A89,conferencias,2,0),"")))))))))),"")*M$3,"")</f>
        <v/>
      </c>
      <c r="O89">
        <f>SUM(K89:M89)</f>
        <v>0</v>
      </c>
    </row>
    <row r="90" spans="1:15" x14ac:dyDescent="0.35">
      <c r="A90">
        <v>85</v>
      </c>
      <c r="B90" t="s">
        <v>10</v>
      </c>
      <c r="C90" t="s">
        <v>589</v>
      </c>
      <c r="D90" t="s">
        <v>590</v>
      </c>
      <c r="E90" t="s">
        <v>1</v>
      </c>
      <c r="F90" t="s">
        <v>511</v>
      </c>
      <c r="G90" t="s">
        <v>0</v>
      </c>
      <c r="H90">
        <v>1.96</v>
      </c>
      <c r="I90">
        <v>2.7149999999999999</v>
      </c>
      <c r="J90" t="s">
        <v>6</v>
      </c>
      <c r="K90" t="str">
        <f>IFERROR(IFERROR(IF(K$5='Conceptos Desglosados'!$H$4,VLOOKUP($A90,dormitorios,2,0),IF(K$5='Conceptos Desglosados'!$H$5,VLOOKUP($A90,comedor,2,0),IF(K$5='Conceptos Desglosados'!$H$6,VLOOKUP($A90,alojamiento,2,0),IF(K$5='Conceptos Desglosados'!$H$7,VLOOKUP($A90,sanidad,2,0),IF(K$5='Conceptos Desglosados'!$H$8,VLOOKUP($A90,servicios,2,0),IF(K$5='Conceptos Desglosados'!$H$9,VLOOKUP($A90,comyaloj,2,0),IF(K$5='Conceptos Desglosados'!$H$10,VLOOKUP($A90,comandancia,2,0),IF(K$5='Conceptos Desglosados'!$H$11,VLOOKUP($A90,mantenimiento,2,0),IF(K$5='Conceptos Desglosados'!$H$12,VLOOKUP($A90,serestatal,2,0),IF(K$5='Conceptos Desglosados'!$H$13,VLOOKUP($A90,conferencias,2,0),"")))))))))),"")*K$3,"")</f>
        <v/>
      </c>
      <c r="L90" t="str">
        <f>IFERROR(IFERROR(IF(L$5='Conceptos Desglosados'!$H$4,VLOOKUP($A90,dormitorios,2,0),IF(L$5='Conceptos Desglosados'!$H$5,VLOOKUP($A90,comedor,2,0),IF(L$5='Conceptos Desglosados'!$H$6,VLOOKUP($A90,alojamiento,2,0),IF(L$5='Conceptos Desglosados'!$H$7,VLOOKUP($A90,sanidad,2,0),IF(L$5='Conceptos Desglosados'!$H$8,VLOOKUP($A90,servicios,2,0),IF(L$5='Conceptos Desglosados'!$H$9,VLOOKUP($A90,comyaloj,2,0),IF(L$5='Conceptos Desglosados'!$H$10,VLOOKUP($A90,comandancia,2,0),IF(L$5='Conceptos Desglosados'!$H$11,VLOOKUP($A90,mantenimiento,2,0),IF(L$5='Conceptos Desglosados'!$H$12,VLOOKUP($A90,serestatal,2,0),IF(L$5='Conceptos Desglosados'!$H$13,VLOOKUP($A90,conferencias,2,0),"")))))))))),"")*L$3,"")</f>
        <v/>
      </c>
      <c r="M90" t="str">
        <f>IFERROR(IFERROR(IF(M$5='Conceptos Desglosados'!$H$4,VLOOKUP($A90,dormitorios,2,0),IF(M$5='Conceptos Desglosados'!$H$5,VLOOKUP($A90,comedor,2,0),IF(M$5='Conceptos Desglosados'!$H$6,VLOOKUP($A90,alojamiento,2,0),IF(M$5='Conceptos Desglosados'!$H$7,VLOOKUP($A90,sanidad,2,0),IF(M$5='Conceptos Desglosados'!$H$8,VLOOKUP($A90,servicios,2,0),IF(M$5='Conceptos Desglosados'!$H$9,VLOOKUP($A90,comyaloj,2,0),IF(M$5='Conceptos Desglosados'!$H$10,VLOOKUP($A90,comandancia,2,0),IF(M$5='Conceptos Desglosados'!$H$11,VLOOKUP($A90,mantenimiento,2,0),IF(M$5='Conceptos Desglosados'!$H$12,VLOOKUP($A90,serestatal,2,0),IF(M$5='Conceptos Desglosados'!$H$13,VLOOKUP($A90,conferencias,2,0),"")))))))))),"")*M$3,"")</f>
        <v/>
      </c>
      <c r="O90">
        <f>SUM(K90:M90)</f>
        <v>0</v>
      </c>
    </row>
    <row r="91" spans="1:15" x14ac:dyDescent="0.35">
      <c r="A91">
        <v>86</v>
      </c>
      <c r="B91" t="s">
        <v>10</v>
      </c>
      <c r="C91" t="s">
        <v>623</v>
      </c>
      <c r="D91" t="s">
        <v>624</v>
      </c>
      <c r="E91" t="s">
        <v>1</v>
      </c>
      <c r="F91" t="s">
        <v>883</v>
      </c>
      <c r="G91" t="s">
        <v>0</v>
      </c>
      <c r="H91">
        <v>1.2</v>
      </c>
      <c r="I91">
        <v>2.7149999999999999</v>
      </c>
      <c r="J91" t="s">
        <v>6</v>
      </c>
      <c r="K91" t="str">
        <f>IFERROR(IFERROR(IF(K$5='Conceptos Desglosados'!$H$4,VLOOKUP($A91,dormitorios,2,0),IF(K$5='Conceptos Desglosados'!$H$5,VLOOKUP($A91,comedor,2,0),IF(K$5='Conceptos Desglosados'!$H$6,VLOOKUP($A91,alojamiento,2,0),IF(K$5='Conceptos Desglosados'!$H$7,VLOOKUP($A91,sanidad,2,0),IF(K$5='Conceptos Desglosados'!$H$8,VLOOKUP($A91,servicios,2,0),IF(K$5='Conceptos Desglosados'!$H$9,VLOOKUP($A91,comyaloj,2,0),IF(K$5='Conceptos Desglosados'!$H$10,VLOOKUP($A91,comandancia,2,0),IF(K$5='Conceptos Desglosados'!$H$11,VLOOKUP($A91,mantenimiento,2,0),IF(K$5='Conceptos Desglosados'!$H$12,VLOOKUP($A91,serestatal,2,0),IF(K$5='Conceptos Desglosados'!$H$13,VLOOKUP($A91,conferencias,2,0),"")))))))))),"")*K$3,"")</f>
        <v/>
      </c>
      <c r="L91" t="str">
        <f>IFERROR(IFERROR(IF(L$5='Conceptos Desglosados'!$H$4,VLOOKUP($A91,dormitorios,2,0),IF(L$5='Conceptos Desglosados'!$H$5,VLOOKUP($A91,comedor,2,0),IF(L$5='Conceptos Desglosados'!$H$6,VLOOKUP($A91,alojamiento,2,0),IF(L$5='Conceptos Desglosados'!$H$7,VLOOKUP($A91,sanidad,2,0),IF(L$5='Conceptos Desglosados'!$H$8,VLOOKUP($A91,servicios,2,0),IF(L$5='Conceptos Desglosados'!$H$9,VLOOKUP($A91,comyaloj,2,0),IF(L$5='Conceptos Desglosados'!$H$10,VLOOKUP($A91,comandancia,2,0),IF(L$5='Conceptos Desglosados'!$H$11,VLOOKUP($A91,mantenimiento,2,0),IF(L$5='Conceptos Desglosados'!$H$12,VLOOKUP($A91,serestatal,2,0),IF(L$5='Conceptos Desglosados'!$H$13,VLOOKUP($A91,conferencias,2,0),"")))))))))),"")*L$3,"")</f>
        <v/>
      </c>
      <c r="M91" t="str">
        <f>IFERROR(IFERROR(IF(M$5='Conceptos Desglosados'!$H$4,VLOOKUP($A91,dormitorios,2,0),IF(M$5='Conceptos Desglosados'!$H$5,VLOOKUP($A91,comedor,2,0),IF(M$5='Conceptos Desglosados'!$H$6,VLOOKUP($A91,alojamiento,2,0),IF(M$5='Conceptos Desglosados'!$H$7,VLOOKUP($A91,sanidad,2,0),IF(M$5='Conceptos Desglosados'!$H$8,VLOOKUP($A91,servicios,2,0),IF(M$5='Conceptos Desglosados'!$H$9,VLOOKUP($A91,comyaloj,2,0),IF(M$5='Conceptos Desglosados'!$H$10,VLOOKUP($A91,comandancia,2,0),IF(M$5='Conceptos Desglosados'!$H$11,VLOOKUP($A91,mantenimiento,2,0),IF(M$5='Conceptos Desglosados'!$H$12,VLOOKUP($A91,serestatal,2,0),IF(M$5='Conceptos Desglosados'!$H$13,VLOOKUP($A91,conferencias,2,0),"")))))))))),"")*M$3,"")</f>
        <v/>
      </c>
      <c r="O91">
        <f>SUM(K91:M91)</f>
        <v>0</v>
      </c>
    </row>
    <row r="92" spans="1:15" x14ac:dyDescent="0.35">
      <c r="A92">
        <v>87</v>
      </c>
      <c r="B92" t="s">
        <v>10</v>
      </c>
      <c r="C92" t="s">
        <v>625</v>
      </c>
      <c r="D92" t="s">
        <v>626</v>
      </c>
      <c r="E92" t="s">
        <v>1</v>
      </c>
      <c r="F92" t="s">
        <v>883</v>
      </c>
      <c r="G92" t="s">
        <v>0</v>
      </c>
      <c r="H92">
        <v>1.65</v>
      </c>
      <c r="I92">
        <v>2.7149999999999999</v>
      </c>
      <c r="J92" t="s">
        <v>6</v>
      </c>
      <c r="K92" t="str">
        <f>IFERROR(IFERROR(IF(K$5='Conceptos Desglosados'!$H$4,VLOOKUP($A92,dormitorios,2,0),IF(K$5='Conceptos Desglosados'!$H$5,VLOOKUP($A92,comedor,2,0),IF(K$5='Conceptos Desglosados'!$H$6,VLOOKUP($A92,alojamiento,2,0),IF(K$5='Conceptos Desglosados'!$H$7,VLOOKUP($A92,sanidad,2,0),IF(K$5='Conceptos Desglosados'!$H$8,VLOOKUP($A92,servicios,2,0),IF(K$5='Conceptos Desglosados'!$H$9,VLOOKUP($A92,comyaloj,2,0),IF(K$5='Conceptos Desglosados'!$H$10,VLOOKUP($A92,comandancia,2,0),IF(K$5='Conceptos Desglosados'!$H$11,VLOOKUP($A92,mantenimiento,2,0),IF(K$5='Conceptos Desglosados'!$H$12,VLOOKUP($A92,serestatal,2,0),IF(K$5='Conceptos Desglosados'!$H$13,VLOOKUP($A92,conferencias,2,0),"")))))))))),"")*K$3,"")</f>
        <v/>
      </c>
      <c r="L92" t="str">
        <f>IFERROR(IFERROR(IF(L$5='Conceptos Desglosados'!$H$4,VLOOKUP($A92,dormitorios,2,0),IF(L$5='Conceptos Desglosados'!$H$5,VLOOKUP($A92,comedor,2,0),IF(L$5='Conceptos Desglosados'!$H$6,VLOOKUP($A92,alojamiento,2,0),IF(L$5='Conceptos Desglosados'!$H$7,VLOOKUP($A92,sanidad,2,0),IF(L$5='Conceptos Desglosados'!$H$8,VLOOKUP($A92,servicios,2,0),IF(L$5='Conceptos Desglosados'!$H$9,VLOOKUP($A92,comyaloj,2,0),IF(L$5='Conceptos Desglosados'!$H$10,VLOOKUP($A92,comandancia,2,0),IF(L$5='Conceptos Desglosados'!$H$11,VLOOKUP($A92,mantenimiento,2,0),IF(L$5='Conceptos Desglosados'!$H$12,VLOOKUP($A92,serestatal,2,0),IF(L$5='Conceptos Desglosados'!$H$13,VLOOKUP($A92,conferencias,2,0),"")))))))))),"")*L$3,"")</f>
        <v/>
      </c>
      <c r="M92" t="str">
        <f>IFERROR(IFERROR(IF(M$5='Conceptos Desglosados'!$H$4,VLOOKUP($A92,dormitorios,2,0),IF(M$5='Conceptos Desglosados'!$H$5,VLOOKUP($A92,comedor,2,0),IF(M$5='Conceptos Desglosados'!$H$6,VLOOKUP($A92,alojamiento,2,0),IF(M$5='Conceptos Desglosados'!$H$7,VLOOKUP($A92,sanidad,2,0),IF(M$5='Conceptos Desglosados'!$H$8,VLOOKUP($A92,servicios,2,0),IF(M$5='Conceptos Desglosados'!$H$9,VLOOKUP($A92,comyaloj,2,0),IF(M$5='Conceptos Desglosados'!$H$10,VLOOKUP($A92,comandancia,2,0),IF(M$5='Conceptos Desglosados'!$H$11,VLOOKUP($A92,mantenimiento,2,0),IF(M$5='Conceptos Desglosados'!$H$12,VLOOKUP($A92,serestatal,2,0),IF(M$5='Conceptos Desglosados'!$H$13,VLOOKUP($A92,conferencias,2,0),"")))))))))),"")*M$3,"")</f>
        <v/>
      </c>
      <c r="O92">
        <f>SUM(K92:M92)</f>
        <v>0</v>
      </c>
    </row>
    <row r="93" spans="1:15" x14ac:dyDescent="0.35">
      <c r="A93">
        <v>88</v>
      </c>
      <c r="B93" t="s">
        <v>10</v>
      </c>
      <c r="C93" t="s">
        <v>632</v>
      </c>
      <c r="D93" t="s">
        <v>631</v>
      </c>
      <c r="E93" t="s">
        <v>1</v>
      </c>
      <c r="F93" t="s">
        <v>883</v>
      </c>
      <c r="G93" t="s">
        <v>2</v>
      </c>
      <c r="H93">
        <v>1.68</v>
      </c>
      <c r="I93">
        <v>2.7149999999999999</v>
      </c>
      <c r="J93" t="s">
        <v>6</v>
      </c>
      <c r="K93" t="str">
        <f>IFERROR(IFERROR(IF(K$5='Conceptos Desglosados'!$H$4,VLOOKUP($A93,dormitorios,2,0),IF(K$5='Conceptos Desglosados'!$H$5,VLOOKUP($A93,comedor,2,0),IF(K$5='Conceptos Desglosados'!$H$6,VLOOKUP($A93,alojamiento,2,0),IF(K$5='Conceptos Desglosados'!$H$7,VLOOKUP($A93,sanidad,2,0),IF(K$5='Conceptos Desglosados'!$H$8,VLOOKUP($A93,servicios,2,0),IF(K$5='Conceptos Desglosados'!$H$9,VLOOKUP($A93,comyaloj,2,0),IF(K$5='Conceptos Desglosados'!$H$10,VLOOKUP($A93,comandancia,2,0),IF(K$5='Conceptos Desglosados'!$H$11,VLOOKUP($A93,mantenimiento,2,0),IF(K$5='Conceptos Desglosados'!$H$12,VLOOKUP($A93,serestatal,2,0),IF(K$5='Conceptos Desglosados'!$H$13,VLOOKUP($A93,conferencias,2,0),"")))))))))),"")*K$3,"")</f>
        <v/>
      </c>
      <c r="L93">
        <f>IFERROR(IFERROR(IF(L$5='Conceptos Desglosados'!$H$4,VLOOKUP($A93,dormitorios,2,0),IF(L$5='Conceptos Desglosados'!$H$5,VLOOKUP($A93,comedor,2,0),IF(L$5='Conceptos Desglosados'!$H$6,VLOOKUP($A93,alojamiento,2,0),IF(L$5='Conceptos Desglosados'!$H$7,VLOOKUP($A93,sanidad,2,0),IF(L$5='Conceptos Desglosados'!$H$8,VLOOKUP($A93,servicios,2,0),IF(L$5='Conceptos Desglosados'!$H$9,VLOOKUP($A93,comyaloj,2,0),IF(L$5='Conceptos Desglosados'!$H$10,VLOOKUP($A93,comandancia,2,0),IF(L$5='Conceptos Desglosados'!$H$11,VLOOKUP($A93,mantenimiento,2,0),IF(L$5='Conceptos Desglosados'!$H$12,VLOOKUP($A93,serestatal,2,0),IF(L$5='Conceptos Desglosados'!$H$13,VLOOKUP($A93,conferencias,2,0),"")))))))))),"")*L$3,"")</f>
        <v>1</v>
      </c>
      <c r="M93" t="str">
        <f>IFERROR(IFERROR(IF(M$5='Conceptos Desglosados'!$H$4,VLOOKUP($A93,dormitorios,2,0),IF(M$5='Conceptos Desglosados'!$H$5,VLOOKUP($A93,comedor,2,0),IF(M$5='Conceptos Desglosados'!$H$6,VLOOKUP($A93,alojamiento,2,0),IF(M$5='Conceptos Desglosados'!$H$7,VLOOKUP($A93,sanidad,2,0),IF(M$5='Conceptos Desglosados'!$H$8,VLOOKUP($A93,servicios,2,0),IF(M$5='Conceptos Desglosados'!$H$9,VLOOKUP($A93,comyaloj,2,0),IF(M$5='Conceptos Desglosados'!$H$10,VLOOKUP($A93,comandancia,2,0),IF(M$5='Conceptos Desglosados'!$H$11,VLOOKUP($A93,mantenimiento,2,0),IF(M$5='Conceptos Desglosados'!$H$12,VLOOKUP($A93,serestatal,2,0),IF(M$5='Conceptos Desglosados'!$H$13,VLOOKUP($A93,conferencias,2,0),"")))))))))),"")*M$3,"")</f>
        <v/>
      </c>
      <c r="O93">
        <f>SUM(K93:M93)</f>
        <v>1</v>
      </c>
    </row>
    <row r="94" spans="1:15" x14ac:dyDescent="0.35">
      <c r="A94">
        <v>89</v>
      </c>
      <c r="B94" t="s">
        <v>10</v>
      </c>
      <c r="C94" t="s">
        <v>633</v>
      </c>
      <c r="D94" t="s">
        <v>634</v>
      </c>
      <c r="E94" t="s">
        <v>1</v>
      </c>
      <c r="F94" t="s">
        <v>883</v>
      </c>
      <c r="G94" t="s">
        <v>0</v>
      </c>
      <c r="H94">
        <v>0.81</v>
      </c>
      <c r="I94">
        <v>2.7149999999999999</v>
      </c>
      <c r="J94" t="s">
        <v>6</v>
      </c>
      <c r="K94" t="str">
        <f>IFERROR(IFERROR(IF(K$5='Conceptos Desglosados'!$H$4,VLOOKUP($A94,dormitorios,2,0),IF(K$5='Conceptos Desglosados'!$H$5,VLOOKUP($A94,comedor,2,0),IF(K$5='Conceptos Desglosados'!$H$6,VLOOKUP($A94,alojamiento,2,0),IF(K$5='Conceptos Desglosados'!$H$7,VLOOKUP($A94,sanidad,2,0),IF(K$5='Conceptos Desglosados'!$H$8,VLOOKUP($A94,servicios,2,0),IF(K$5='Conceptos Desglosados'!$H$9,VLOOKUP($A94,comyaloj,2,0),IF(K$5='Conceptos Desglosados'!$H$10,VLOOKUP($A94,comandancia,2,0),IF(K$5='Conceptos Desglosados'!$H$11,VLOOKUP($A94,mantenimiento,2,0),IF(K$5='Conceptos Desglosados'!$H$12,VLOOKUP($A94,serestatal,2,0),IF(K$5='Conceptos Desglosados'!$H$13,VLOOKUP($A94,conferencias,2,0),"")))))))))),"")*K$3,"")</f>
        <v/>
      </c>
      <c r="L94" t="str">
        <f>IFERROR(IFERROR(IF(L$5='Conceptos Desglosados'!$H$4,VLOOKUP($A94,dormitorios,2,0),IF(L$5='Conceptos Desglosados'!$H$5,VLOOKUP($A94,comedor,2,0),IF(L$5='Conceptos Desglosados'!$H$6,VLOOKUP($A94,alojamiento,2,0),IF(L$5='Conceptos Desglosados'!$H$7,VLOOKUP($A94,sanidad,2,0),IF(L$5='Conceptos Desglosados'!$H$8,VLOOKUP($A94,servicios,2,0),IF(L$5='Conceptos Desglosados'!$H$9,VLOOKUP($A94,comyaloj,2,0),IF(L$5='Conceptos Desglosados'!$H$10,VLOOKUP($A94,comandancia,2,0),IF(L$5='Conceptos Desglosados'!$H$11,VLOOKUP($A94,mantenimiento,2,0),IF(L$5='Conceptos Desglosados'!$H$12,VLOOKUP($A94,serestatal,2,0),IF(L$5='Conceptos Desglosados'!$H$13,VLOOKUP($A94,conferencias,2,0),"")))))))))),"")*L$3,"")</f>
        <v/>
      </c>
      <c r="M94" t="str">
        <f>IFERROR(IFERROR(IF(M$5='Conceptos Desglosados'!$H$4,VLOOKUP($A94,dormitorios,2,0),IF(M$5='Conceptos Desglosados'!$H$5,VLOOKUP($A94,comedor,2,0),IF(M$5='Conceptos Desglosados'!$H$6,VLOOKUP($A94,alojamiento,2,0),IF(M$5='Conceptos Desglosados'!$H$7,VLOOKUP($A94,sanidad,2,0),IF(M$5='Conceptos Desglosados'!$H$8,VLOOKUP($A94,servicios,2,0),IF(M$5='Conceptos Desglosados'!$H$9,VLOOKUP($A94,comyaloj,2,0),IF(M$5='Conceptos Desglosados'!$H$10,VLOOKUP($A94,comandancia,2,0),IF(M$5='Conceptos Desglosados'!$H$11,VLOOKUP($A94,mantenimiento,2,0),IF(M$5='Conceptos Desglosados'!$H$12,VLOOKUP($A94,serestatal,2,0),IF(M$5='Conceptos Desglosados'!$H$13,VLOOKUP($A94,conferencias,2,0),"")))))))))),"")*M$3,"")</f>
        <v/>
      </c>
      <c r="O94">
        <f>SUM(K94:M94)</f>
        <v>0</v>
      </c>
    </row>
    <row r="95" spans="1:15" x14ac:dyDescent="0.35">
      <c r="A95">
        <v>90</v>
      </c>
      <c r="B95" t="s">
        <v>10</v>
      </c>
      <c r="C95" t="s">
        <v>639</v>
      </c>
      <c r="D95" t="s">
        <v>640</v>
      </c>
      <c r="E95" t="s">
        <v>1</v>
      </c>
      <c r="F95" t="s">
        <v>883</v>
      </c>
      <c r="G95" t="s">
        <v>2</v>
      </c>
      <c r="H95">
        <v>1.1299999999999999</v>
      </c>
      <c r="I95">
        <v>2.7149999999999999</v>
      </c>
      <c r="J95" t="s">
        <v>6</v>
      </c>
      <c r="K95" t="str">
        <f>IFERROR(IFERROR(IF(K$5='Conceptos Desglosados'!$H$4,VLOOKUP($A95,dormitorios,2,0),IF(K$5='Conceptos Desglosados'!$H$5,VLOOKUP($A95,comedor,2,0),IF(K$5='Conceptos Desglosados'!$H$6,VLOOKUP($A95,alojamiento,2,0),IF(K$5='Conceptos Desglosados'!$H$7,VLOOKUP($A95,sanidad,2,0),IF(K$5='Conceptos Desglosados'!$H$8,VLOOKUP($A95,servicios,2,0),IF(K$5='Conceptos Desglosados'!$H$9,VLOOKUP($A95,comyaloj,2,0),IF(K$5='Conceptos Desglosados'!$H$10,VLOOKUP($A95,comandancia,2,0),IF(K$5='Conceptos Desglosados'!$H$11,VLOOKUP($A95,mantenimiento,2,0),IF(K$5='Conceptos Desglosados'!$H$12,VLOOKUP($A95,serestatal,2,0),IF(K$5='Conceptos Desglosados'!$H$13,VLOOKUP($A95,conferencias,2,0),"")))))))))),"")*K$3,"")</f>
        <v/>
      </c>
      <c r="L95" t="str">
        <f>IFERROR(IFERROR(IF(L$5='Conceptos Desglosados'!$H$4,VLOOKUP($A95,dormitorios,2,0),IF(L$5='Conceptos Desglosados'!$H$5,VLOOKUP($A95,comedor,2,0),IF(L$5='Conceptos Desglosados'!$H$6,VLOOKUP($A95,alojamiento,2,0),IF(L$5='Conceptos Desglosados'!$H$7,VLOOKUP($A95,sanidad,2,0),IF(L$5='Conceptos Desglosados'!$H$8,VLOOKUP($A95,servicios,2,0),IF(L$5='Conceptos Desglosados'!$H$9,VLOOKUP($A95,comyaloj,2,0),IF(L$5='Conceptos Desglosados'!$H$10,VLOOKUP($A95,comandancia,2,0),IF(L$5='Conceptos Desglosados'!$H$11,VLOOKUP($A95,mantenimiento,2,0),IF(L$5='Conceptos Desglosados'!$H$12,VLOOKUP($A95,serestatal,2,0),IF(L$5='Conceptos Desglosados'!$H$13,VLOOKUP($A95,conferencias,2,0),"")))))))))),"")*L$3,"")</f>
        <v/>
      </c>
      <c r="M95" t="str">
        <f>IFERROR(IFERROR(IF(M$5='Conceptos Desglosados'!$H$4,VLOOKUP($A95,dormitorios,2,0),IF(M$5='Conceptos Desglosados'!$H$5,VLOOKUP($A95,comedor,2,0),IF(M$5='Conceptos Desglosados'!$H$6,VLOOKUP($A95,alojamiento,2,0),IF(M$5='Conceptos Desglosados'!$H$7,VLOOKUP($A95,sanidad,2,0),IF(M$5='Conceptos Desglosados'!$H$8,VLOOKUP($A95,servicios,2,0),IF(M$5='Conceptos Desglosados'!$H$9,VLOOKUP($A95,comyaloj,2,0),IF(M$5='Conceptos Desglosados'!$H$10,VLOOKUP($A95,comandancia,2,0),IF(M$5='Conceptos Desglosados'!$H$11,VLOOKUP($A95,mantenimiento,2,0),IF(M$5='Conceptos Desglosados'!$H$12,VLOOKUP($A95,serestatal,2,0),IF(M$5='Conceptos Desglosados'!$H$13,VLOOKUP($A95,conferencias,2,0),"")))))))))),"")*M$3,"")</f>
        <v/>
      </c>
      <c r="O95">
        <f>SUM(K95:M95)</f>
        <v>0</v>
      </c>
    </row>
    <row r="96" spans="1:15" x14ac:dyDescent="0.35">
      <c r="A96">
        <v>91</v>
      </c>
      <c r="B96" t="s">
        <v>10</v>
      </c>
      <c r="C96" t="s">
        <v>641</v>
      </c>
      <c r="D96" t="s">
        <v>642</v>
      </c>
      <c r="E96" t="s">
        <v>1</v>
      </c>
      <c r="F96" t="s">
        <v>883</v>
      </c>
      <c r="G96" t="s">
        <v>0</v>
      </c>
      <c r="H96">
        <v>2.4300000000000002</v>
      </c>
      <c r="I96">
        <v>2.7149999999999999</v>
      </c>
      <c r="J96" t="s">
        <v>6</v>
      </c>
      <c r="K96" t="str">
        <f>IFERROR(IFERROR(IF(K$5='Conceptos Desglosados'!$H$4,VLOOKUP($A96,dormitorios,2,0),IF(K$5='Conceptos Desglosados'!$H$5,VLOOKUP($A96,comedor,2,0),IF(K$5='Conceptos Desglosados'!$H$6,VLOOKUP($A96,alojamiento,2,0),IF(K$5='Conceptos Desglosados'!$H$7,VLOOKUP($A96,sanidad,2,0),IF(K$5='Conceptos Desglosados'!$H$8,VLOOKUP($A96,servicios,2,0),IF(K$5='Conceptos Desglosados'!$H$9,VLOOKUP($A96,comyaloj,2,0),IF(K$5='Conceptos Desglosados'!$H$10,VLOOKUP($A96,comandancia,2,0),IF(K$5='Conceptos Desglosados'!$H$11,VLOOKUP($A96,mantenimiento,2,0),IF(K$5='Conceptos Desglosados'!$H$12,VLOOKUP($A96,serestatal,2,0),IF(K$5='Conceptos Desglosados'!$H$13,VLOOKUP($A96,conferencias,2,0),"")))))))))),"")*K$3,"")</f>
        <v/>
      </c>
      <c r="L96" t="str">
        <f>IFERROR(IFERROR(IF(L$5='Conceptos Desglosados'!$H$4,VLOOKUP($A96,dormitorios,2,0),IF(L$5='Conceptos Desglosados'!$H$5,VLOOKUP($A96,comedor,2,0),IF(L$5='Conceptos Desglosados'!$H$6,VLOOKUP($A96,alojamiento,2,0),IF(L$5='Conceptos Desglosados'!$H$7,VLOOKUP($A96,sanidad,2,0),IF(L$5='Conceptos Desglosados'!$H$8,VLOOKUP($A96,servicios,2,0),IF(L$5='Conceptos Desglosados'!$H$9,VLOOKUP($A96,comyaloj,2,0),IF(L$5='Conceptos Desglosados'!$H$10,VLOOKUP($A96,comandancia,2,0),IF(L$5='Conceptos Desglosados'!$H$11,VLOOKUP($A96,mantenimiento,2,0),IF(L$5='Conceptos Desglosados'!$H$12,VLOOKUP($A96,serestatal,2,0),IF(L$5='Conceptos Desglosados'!$H$13,VLOOKUP($A96,conferencias,2,0),"")))))))))),"")*L$3,"")</f>
        <v/>
      </c>
      <c r="M96" t="str">
        <f>IFERROR(IFERROR(IF(M$5='Conceptos Desglosados'!$H$4,VLOOKUP($A96,dormitorios,2,0),IF(M$5='Conceptos Desglosados'!$H$5,VLOOKUP($A96,comedor,2,0),IF(M$5='Conceptos Desglosados'!$H$6,VLOOKUP($A96,alojamiento,2,0),IF(M$5='Conceptos Desglosados'!$H$7,VLOOKUP($A96,sanidad,2,0),IF(M$5='Conceptos Desglosados'!$H$8,VLOOKUP($A96,servicios,2,0),IF(M$5='Conceptos Desglosados'!$H$9,VLOOKUP($A96,comyaloj,2,0),IF(M$5='Conceptos Desglosados'!$H$10,VLOOKUP($A96,comandancia,2,0),IF(M$5='Conceptos Desglosados'!$H$11,VLOOKUP($A96,mantenimiento,2,0),IF(M$5='Conceptos Desglosados'!$H$12,VLOOKUP($A96,serestatal,2,0),IF(M$5='Conceptos Desglosados'!$H$13,VLOOKUP($A96,conferencias,2,0),"")))))))))),"")*M$3,"")</f>
        <v/>
      </c>
      <c r="O96">
        <f>SUM(K96:M96)</f>
        <v>0</v>
      </c>
    </row>
    <row r="97" spans="1:15" x14ac:dyDescent="0.35">
      <c r="A97">
        <v>92</v>
      </c>
      <c r="B97" t="s">
        <v>10</v>
      </c>
      <c r="C97" t="s">
        <v>643</v>
      </c>
      <c r="D97" t="s">
        <v>644</v>
      </c>
      <c r="E97" t="s">
        <v>1</v>
      </c>
      <c r="F97" t="s">
        <v>883</v>
      </c>
      <c r="G97" t="s">
        <v>0</v>
      </c>
      <c r="H97">
        <v>2.11</v>
      </c>
      <c r="I97">
        <v>2.7149999999999999</v>
      </c>
      <c r="J97" t="s">
        <v>6</v>
      </c>
      <c r="K97" t="str">
        <f>IFERROR(IFERROR(IF(K$5='Conceptos Desglosados'!$H$4,VLOOKUP($A97,dormitorios,2,0),IF(K$5='Conceptos Desglosados'!$H$5,VLOOKUP($A97,comedor,2,0),IF(K$5='Conceptos Desglosados'!$H$6,VLOOKUP($A97,alojamiento,2,0),IF(K$5='Conceptos Desglosados'!$H$7,VLOOKUP($A97,sanidad,2,0),IF(K$5='Conceptos Desglosados'!$H$8,VLOOKUP($A97,servicios,2,0),IF(K$5='Conceptos Desglosados'!$H$9,VLOOKUP($A97,comyaloj,2,0),IF(K$5='Conceptos Desglosados'!$H$10,VLOOKUP($A97,comandancia,2,0),IF(K$5='Conceptos Desglosados'!$H$11,VLOOKUP($A97,mantenimiento,2,0),IF(K$5='Conceptos Desglosados'!$H$12,VLOOKUP($A97,serestatal,2,0),IF(K$5='Conceptos Desglosados'!$H$13,VLOOKUP($A97,conferencias,2,0),"")))))))))),"")*K$3,"")</f>
        <v/>
      </c>
      <c r="L97" t="str">
        <f>IFERROR(IFERROR(IF(L$5='Conceptos Desglosados'!$H$4,VLOOKUP($A97,dormitorios,2,0),IF(L$5='Conceptos Desglosados'!$H$5,VLOOKUP($A97,comedor,2,0),IF(L$5='Conceptos Desglosados'!$H$6,VLOOKUP($A97,alojamiento,2,0),IF(L$5='Conceptos Desglosados'!$H$7,VLOOKUP($A97,sanidad,2,0),IF(L$5='Conceptos Desglosados'!$H$8,VLOOKUP($A97,servicios,2,0),IF(L$5='Conceptos Desglosados'!$H$9,VLOOKUP($A97,comyaloj,2,0),IF(L$5='Conceptos Desglosados'!$H$10,VLOOKUP($A97,comandancia,2,0),IF(L$5='Conceptos Desglosados'!$H$11,VLOOKUP($A97,mantenimiento,2,0),IF(L$5='Conceptos Desglosados'!$H$12,VLOOKUP($A97,serestatal,2,0),IF(L$5='Conceptos Desglosados'!$H$13,VLOOKUP($A97,conferencias,2,0),"")))))))))),"")*L$3,"")</f>
        <v/>
      </c>
      <c r="M97" t="str">
        <f>IFERROR(IFERROR(IF(M$5='Conceptos Desglosados'!$H$4,VLOOKUP($A97,dormitorios,2,0),IF(M$5='Conceptos Desglosados'!$H$5,VLOOKUP($A97,comedor,2,0),IF(M$5='Conceptos Desglosados'!$H$6,VLOOKUP($A97,alojamiento,2,0),IF(M$5='Conceptos Desglosados'!$H$7,VLOOKUP($A97,sanidad,2,0),IF(M$5='Conceptos Desglosados'!$H$8,VLOOKUP($A97,servicios,2,0),IF(M$5='Conceptos Desglosados'!$H$9,VLOOKUP($A97,comyaloj,2,0),IF(M$5='Conceptos Desglosados'!$H$10,VLOOKUP($A97,comandancia,2,0),IF(M$5='Conceptos Desglosados'!$H$11,VLOOKUP($A97,mantenimiento,2,0),IF(M$5='Conceptos Desglosados'!$H$12,VLOOKUP($A97,serestatal,2,0),IF(M$5='Conceptos Desglosados'!$H$13,VLOOKUP($A97,conferencias,2,0),"")))))))))),"")*M$3,"")</f>
        <v/>
      </c>
      <c r="O97">
        <f>SUM(K97:M97)</f>
        <v>0</v>
      </c>
    </row>
    <row r="98" spans="1:15" x14ac:dyDescent="0.35">
      <c r="A98">
        <v>93</v>
      </c>
      <c r="B98" t="s">
        <v>10</v>
      </c>
      <c r="C98" t="s">
        <v>647</v>
      </c>
      <c r="D98" t="s">
        <v>648</v>
      </c>
      <c r="E98" t="s">
        <v>1</v>
      </c>
      <c r="F98" t="s">
        <v>883</v>
      </c>
      <c r="G98" t="s">
        <v>2</v>
      </c>
      <c r="H98">
        <v>1.36</v>
      </c>
      <c r="I98">
        <v>2.7149999999999999</v>
      </c>
      <c r="J98" t="s">
        <v>6</v>
      </c>
      <c r="K98" t="str">
        <f>IFERROR(IFERROR(IF(K$5='Conceptos Desglosados'!$H$4,VLOOKUP($A98,dormitorios,2,0),IF(K$5='Conceptos Desglosados'!$H$5,VLOOKUP($A98,comedor,2,0),IF(K$5='Conceptos Desglosados'!$H$6,VLOOKUP($A98,alojamiento,2,0),IF(K$5='Conceptos Desglosados'!$H$7,VLOOKUP($A98,sanidad,2,0),IF(K$5='Conceptos Desglosados'!$H$8,VLOOKUP($A98,servicios,2,0),IF(K$5='Conceptos Desglosados'!$H$9,VLOOKUP($A98,comyaloj,2,0),IF(K$5='Conceptos Desglosados'!$H$10,VLOOKUP($A98,comandancia,2,0),IF(K$5='Conceptos Desglosados'!$H$11,VLOOKUP($A98,mantenimiento,2,0),IF(K$5='Conceptos Desglosados'!$H$12,VLOOKUP($A98,serestatal,2,0),IF(K$5='Conceptos Desglosados'!$H$13,VLOOKUP($A98,conferencias,2,0),"")))))))))),"")*K$3,"")</f>
        <v/>
      </c>
      <c r="L98" t="str">
        <f>IFERROR(IFERROR(IF(L$5='Conceptos Desglosados'!$H$4,VLOOKUP($A98,dormitorios,2,0),IF(L$5='Conceptos Desglosados'!$H$5,VLOOKUP($A98,comedor,2,0),IF(L$5='Conceptos Desglosados'!$H$6,VLOOKUP($A98,alojamiento,2,0),IF(L$5='Conceptos Desglosados'!$H$7,VLOOKUP($A98,sanidad,2,0),IF(L$5='Conceptos Desglosados'!$H$8,VLOOKUP($A98,servicios,2,0),IF(L$5='Conceptos Desglosados'!$H$9,VLOOKUP($A98,comyaloj,2,0),IF(L$5='Conceptos Desglosados'!$H$10,VLOOKUP($A98,comandancia,2,0),IF(L$5='Conceptos Desglosados'!$H$11,VLOOKUP($A98,mantenimiento,2,0),IF(L$5='Conceptos Desglosados'!$H$12,VLOOKUP($A98,serestatal,2,0),IF(L$5='Conceptos Desglosados'!$H$13,VLOOKUP($A98,conferencias,2,0),"")))))))))),"")*L$3,"")</f>
        <v/>
      </c>
      <c r="M98" t="str">
        <f>IFERROR(IFERROR(IF(M$5='Conceptos Desglosados'!$H$4,VLOOKUP($A98,dormitorios,2,0),IF(M$5='Conceptos Desglosados'!$H$5,VLOOKUP($A98,comedor,2,0),IF(M$5='Conceptos Desglosados'!$H$6,VLOOKUP($A98,alojamiento,2,0),IF(M$5='Conceptos Desglosados'!$H$7,VLOOKUP($A98,sanidad,2,0),IF(M$5='Conceptos Desglosados'!$H$8,VLOOKUP($A98,servicios,2,0),IF(M$5='Conceptos Desglosados'!$H$9,VLOOKUP($A98,comyaloj,2,0),IF(M$5='Conceptos Desglosados'!$H$10,VLOOKUP($A98,comandancia,2,0),IF(M$5='Conceptos Desglosados'!$H$11,VLOOKUP($A98,mantenimiento,2,0),IF(M$5='Conceptos Desglosados'!$H$12,VLOOKUP($A98,serestatal,2,0),IF(M$5='Conceptos Desglosados'!$H$13,VLOOKUP($A98,conferencias,2,0),"")))))))))),"")*M$3,"")</f>
        <v/>
      </c>
      <c r="O98">
        <f>SUM(K98:M98)</f>
        <v>0</v>
      </c>
    </row>
    <row r="99" spans="1:15" x14ac:dyDescent="0.35">
      <c r="A99">
        <v>94</v>
      </c>
      <c r="B99" t="s">
        <v>10</v>
      </c>
      <c r="C99" t="s">
        <v>661</v>
      </c>
      <c r="D99" t="s">
        <v>662</v>
      </c>
      <c r="E99" t="s">
        <v>656</v>
      </c>
      <c r="F99" t="s">
        <v>511</v>
      </c>
      <c r="G99" t="s">
        <v>0</v>
      </c>
      <c r="H99">
        <v>2.02</v>
      </c>
      <c r="I99">
        <v>2.7149999999999999</v>
      </c>
      <c r="J99" t="s">
        <v>6</v>
      </c>
      <c r="K99">
        <f>IFERROR(IFERROR(IF(K$5='Conceptos Desglosados'!$H$4,VLOOKUP($A99,dormitorios,2,0),IF(K$5='Conceptos Desglosados'!$H$5,VLOOKUP($A99,comedor,2,0),IF(K$5='Conceptos Desglosados'!$H$6,VLOOKUP($A99,alojamiento,2,0),IF(K$5='Conceptos Desglosados'!$H$7,VLOOKUP($A99,sanidad,2,0),IF(K$5='Conceptos Desglosados'!$H$8,VLOOKUP($A99,servicios,2,0),IF(K$5='Conceptos Desglosados'!$H$9,VLOOKUP($A99,comyaloj,2,0),IF(K$5='Conceptos Desglosados'!$H$10,VLOOKUP($A99,comandancia,2,0),IF(K$5='Conceptos Desglosados'!$H$11,VLOOKUP($A99,mantenimiento,2,0),IF(K$5='Conceptos Desglosados'!$H$12,VLOOKUP($A99,serestatal,2,0),IF(K$5='Conceptos Desglosados'!$H$13,VLOOKUP($A99,conferencias,2,0),"")))))))))),"")*K$3,"")</f>
        <v>14</v>
      </c>
      <c r="L99">
        <f>IFERROR(IFERROR(IF(L$5='Conceptos Desglosados'!$H$4,VLOOKUP($A99,dormitorios,2,0),IF(L$5='Conceptos Desglosados'!$H$5,VLOOKUP($A99,comedor,2,0),IF(L$5='Conceptos Desglosados'!$H$6,VLOOKUP($A99,alojamiento,2,0),IF(L$5='Conceptos Desglosados'!$H$7,VLOOKUP($A99,sanidad,2,0),IF(L$5='Conceptos Desglosados'!$H$8,VLOOKUP($A99,servicios,2,0),IF(L$5='Conceptos Desglosados'!$H$9,VLOOKUP($A99,comyaloj,2,0),IF(L$5='Conceptos Desglosados'!$H$10,VLOOKUP($A99,comandancia,2,0),IF(L$5='Conceptos Desglosados'!$H$11,VLOOKUP($A99,mantenimiento,2,0),IF(L$5='Conceptos Desglosados'!$H$12,VLOOKUP($A99,serestatal,2,0),IF(L$5='Conceptos Desglosados'!$H$13,VLOOKUP($A99,conferencias,2,0),"")))))))))),"")*L$3,"")</f>
        <v>1</v>
      </c>
      <c r="M99" t="str">
        <f>IFERROR(IFERROR(IF(M$5='Conceptos Desglosados'!$H$4,VLOOKUP($A99,dormitorios,2,0),IF(M$5='Conceptos Desglosados'!$H$5,VLOOKUP($A99,comedor,2,0),IF(M$5='Conceptos Desglosados'!$H$6,VLOOKUP($A99,alojamiento,2,0),IF(M$5='Conceptos Desglosados'!$H$7,VLOOKUP($A99,sanidad,2,0),IF(M$5='Conceptos Desglosados'!$H$8,VLOOKUP($A99,servicios,2,0),IF(M$5='Conceptos Desglosados'!$H$9,VLOOKUP($A99,comyaloj,2,0),IF(M$5='Conceptos Desglosados'!$H$10,VLOOKUP($A99,comandancia,2,0),IF(M$5='Conceptos Desglosados'!$H$11,VLOOKUP($A99,mantenimiento,2,0),IF(M$5='Conceptos Desglosados'!$H$12,VLOOKUP($A99,serestatal,2,0),IF(M$5='Conceptos Desglosados'!$H$13,VLOOKUP($A99,conferencias,2,0),"")))))))))),"")*M$3,"")</f>
        <v/>
      </c>
      <c r="O99">
        <f>SUM(K99:M99)</f>
        <v>15</v>
      </c>
    </row>
    <row r="100" spans="1:15" x14ac:dyDescent="0.35">
      <c r="A100">
        <v>95</v>
      </c>
      <c r="B100" t="s">
        <v>10</v>
      </c>
      <c r="C100" t="s">
        <v>663</v>
      </c>
      <c r="D100" t="s">
        <v>664</v>
      </c>
      <c r="E100" t="s">
        <v>656</v>
      </c>
      <c r="F100" t="s">
        <v>667</v>
      </c>
      <c r="G100" t="s">
        <v>0</v>
      </c>
      <c r="H100">
        <v>2.02</v>
      </c>
      <c r="I100">
        <v>2.7149999999999999</v>
      </c>
      <c r="J100" t="s">
        <v>6</v>
      </c>
      <c r="K100">
        <f>IFERROR(IFERROR(IF(K$5='Conceptos Desglosados'!$H$4,VLOOKUP($A100,dormitorios,2,0),IF(K$5='Conceptos Desglosados'!$H$5,VLOOKUP($A100,comedor,2,0),IF(K$5='Conceptos Desglosados'!$H$6,VLOOKUP($A100,alojamiento,2,0),IF(K$5='Conceptos Desglosados'!$H$7,VLOOKUP($A100,sanidad,2,0),IF(K$5='Conceptos Desglosados'!$H$8,VLOOKUP($A100,servicios,2,0),IF(K$5='Conceptos Desglosados'!$H$9,VLOOKUP($A100,comyaloj,2,0),IF(K$5='Conceptos Desglosados'!$H$10,VLOOKUP($A100,comandancia,2,0),IF(K$5='Conceptos Desglosados'!$H$11,VLOOKUP($A100,mantenimiento,2,0),IF(K$5='Conceptos Desglosados'!$H$12,VLOOKUP($A100,serestatal,2,0),IF(K$5='Conceptos Desglosados'!$H$13,VLOOKUP($A100,conferencias,2,0),"")))))))))),"")*K$3,"")</f>
        <v>4</v>
      </c>
      <c r="L100" t="str">
        <f>IFERROR(IFERROR(IF(L$5='Conceptos Desglosados'!$H$4,VLOOKUP($A100,dormitorios,2,0),IF(L$5='Conceptos Desglosados'!$H$5,VLOOKUP($A100,comedor,2,0),IF(L$5='Conceptos Desglosados'!$H$6,VLOOKUP($A100,alojamiento,2,0),IF(L$5='Conceptos Desglosados'!$H$7,VLOOKUP($A100,sanidad,2,0),IF(L$5='Conceptos Desglosados'!$H$8,VLOOKUP($A100,servicios,2,0),IF(L$5='Conceptos Desglosados'!$H$9,VLOOKUP($A100,comyaloj,2,0),IF(L$5='Conceptos Desglosados'!$H$10,VLOOKUP($A100,comandancia,2,0),IF(L$5='Conceptos Desglosados'!$H$11,VLOOKUP($A100,mantenimiento,2,0),IF(L$5='Conceptos Desglosados'!$H$12,VLOOKUP($A100,serestatal,2,0),IF(L$5='Conceptos Desglosados'!$H$13,VLOOKUP($A100,conferencias,2,0),"")))))))))),"")*L$3,"")</f>
        <v/>
      </c>
      <c r="M100" t="str">
        <f>IFERROR(IFERROR(IF(M$5='Conceptos Desglosados'!$H$4,VLOOKUP($A100,dormitorios,2,0),IF(M$5='Conceptos Desglosados'!$H$5,VLOOKUP($A100,comedor,2,0),IF(M$5='Conceptos Desglosados'!$H$6,VLOOKUP($A100,alojamiento,2,0),IF(M$5='Conceptos Desglosados'!$H$7,VLOOKUP($A100,sanidad,2,0),IF(M$5='Conceptos Desglosados'!$H$8,VLOOKUP($A100,servicios,2,0),IF(M$5='Conceptos Desglosados'!$H$9,VLOOKUP($A100,comyaloj,2,0),IF(M$5='Conceptos Desglosados'!$H$10,VLOOKUP($A100,comandancia,2,0),IF(M$5='Conceptos Desglosados'!$H$11,VLOOKUP($A100,mantenimiento,2,0),IF(M$5='Conceptos Desglosados'!$H$12,VLOOKUP($A100,serestatal,2,0),IF(M$5='Conceptos Desglosados'!$H$13,VLOOKUP($A100,conferencias,2,0),"")))))))))),"")*M$3,"")</f>
        <v/>
      </c>
      <c r="O100">
        <f>SUM(K100:M100)</f>
        <v>4</v>
      </c>
    </row>
    <row r="101" spans="1:15" x14ac:dyDescent="0.35">
      <c r="A101">
        <v>96</v>
      </c>
      <c r="B101" t="s">
        <v>10</v>
      </c>
      <c r="C101" t="s">
        <v>665</v>
      </c>
      <c r="D101" t="s">
        <v>666</v>
      </c>
      <c r="E101" t="s">
        <v>656</v>
      </c>
      <c r="F101" t="s">
        <v>511</v>
      </c>
      <c r="G101" t="s">
        <v>2</v>
      </c>
      <c r="H101">
        <v>1.99</v>
      </c>
      <c r="I101">
        <v>2.7149999999999999</v>
      </c>
      <c r="J101" t="s">
        <v>6</v>
      </c>
      <c r="K101" t="str">
        <f>IFERROR(IFERROR(IF(K$5='Conceptos Desglosados'!$H$4,VLOOKUP($A101,dormitorios,2,0),IF(K$5='Conceptos Desglosados'!$H$5,VLOOKUP($A101,comedor,2,0),IF(K$5='Conceptos Desglosados'!$H$6,VLOOKUP($A101,alojamiento,2,0),IF(K$5='Conceptos Desglosados'!$H$7,VLOOKUP($A101,sanidad,2,0),IF(K$5='Conceptos Desglosados'!$H$8,VLOOKUP($A101,servicios,2,0),IF(K$5='Conceptos Desglosados'!$H$9,VLOOKUP($A101,comyaloj,2,0),IF(K$5='Conceptos Desglosados'!$H$10,VLOOKUP($A101,comandancia,2,0),IF(K$5='Conceptos Desglosados'!$H$11,VLOOKUP($A101,mantenimiento,2,0),IF(K$5='Conceptos Desglosados'!$H$12,VLOOKUP($A101,serestatal,2,0),IF(K$5='Conceptos Desglosados'!$H$13,VLOOKUP($A101,conferencias,2,0),"")))))))))),"")*K$3,"")</f>
        <v/>
      </c>
      <c r="L101" t="str">
        <f>IFERROR(IFERROR(IF(L$5='Conceptos Desglosados'!$H$4,VLOOKUP($A101,dormitorios,2,0),IF(L$5='Conceptos Desglosados'!$H$5,VLOOKUP($A101,comedor,2,0),IF(L$5='Conceptos Desglosados'!$H$6,VLOOKUP($A101,alojamiento,2,0),IF(L$5='Conceptos Desglosados'!$H$7,VLOOKUP($A101,sanidad,2,0),IF(L$5='Conceptos Desglosados'!$H$8,VLOOKUP($A101,servicios,2,0),IF(L$5='Conceptos Desglosados'!$H$9,VLOOKUP($A101,comyaloj,2,0),IF(L$5='Conceptos Desglosados'!$H$10,VLOOKUP($A101,comandancia,2,0),IF(L$5='Conceptos Desglosados'!$H$11,VLOOKUP($A101,mantenimiento,2,0),IF(L$5='Conceptos Desglosados'!$H$12,VLOOKUP($A101,serestatal,2,0),IF(L$5='Conceptos Desglosados'!$H$13,VLOOKUP($A101,conferencias,2,0),"")))))))))),"")*L$3,"")</f>
        <v/>
      </c>
      <c r="M101" t="str">
        <f>IFERROR(IFERROR(IF(M$5='Conceptos Desglosados'!$H$4,VLOOKUP($A101,dormitorios,2,0),IF(M$5='Conceptos Desglosados'!$H$5,VLOOKUP($A101,comedor,2,0),IF(M$5='Conceptos Desglosados'!$H$6,VLOOKUP($A101,alojamiento,2,0),IF(M$5='Conceptos Desglosados'!$H$7,VLOOKUP($A101,sanidad,2,0),IF(M$5='Conceptos Desglosados'!$H$8,VLOOKUP($A101,servicios,2,0),IF(M$5='Conceptos Desglosados'!$H$9,VLOOKUP($A101,comyaloj,2,0),IF(M$5='Conceptos Desglosados'!$H$10,VLOOKUP($A101,comandancia,2,0),IF(M$5='Conceptos Desglosados'!$H$11,VLOOKUP($A101,mantenimiento,2,0),IF(M$5='Conceptos Desglosados'!$H$12,VLOOKUP($A101,serestatal,2,0),IF(M$5='Conceptos Desglosados'!$H$13,VLOOKUP($A101,conferencias,2,0),"")))))))))),"")*M$3,"")</f>
        <v/>
      </c>
      <c r="O101">
        <f>SUM(K101:M101)</f>
        <v>0</v>
      </c>
    </row>
    <row r="102" spans="1:15" x14ac:dyDescent="0.35">
      <c r="A102">
        <v>97</v>
      </c>
      <c r="B102" t="s">
        <v>10</v>
      </c>
      <c r="C102" t="s">
        <v>668</v>
      </c>
      <c r="D102" t="s">
        <v>669</v>
      </c>
      <c r="E102" t="s">
        <v>656</v>
      </c>
      <c r="F102" t="s">
        <v>511</v>
      </c>
      <c r="G102" t="s">
        <v>0</v>
      </c>
      <c r="H102">
        <v>1.96</v>
      </c>
      <c r="I102">
        <v>2.7149999999999999</v>
      </c>
      <c r="J102" t="s">
        <v>6</v>
      </c>
      <c r="K102" t="str">
        <f>IFERROR(IFERROR(IF(K$5='Conceptos Desglosados'!$H$4,VLOOKUP($A102,dormitorios,2,0),IF(K$5='Conceptos Desglosados'!$H$5,VLOOKUP($A102,comedor,2,0),IF(K$5='Conceptos Desglosados'!$H$6,VLOOKUP($A102,alojamiento,2,0),IF(K$5='Conceptos Desglosados'!$H$7,VLOOKUP($A102,sanidad,2,0),IF(K$5='Conceptos Desglosados'!$H$8,VLOOKUP($A102,servicios,2,0),IF(K$5='Conceptos Desglosados'!$H$9,VLOOKUP($A102,comyaloj,2,0),IF(K$5='Conceptos Desglosados'!$H$10,VLOOKUP($A102,comandancia,2,0),IF(K$5='Conceptos Desglosados'!$H$11,VLOOKUP($A102,mantenimiento,2,0),IF(K$5='Conceptos Desglosados'!$H$12,VLOOKUP($A102,serestatal,2,0),IF(K$5='Conceptos Desglosados'!$H$13,VLOOKUP($A102,conferencias,2,0),"")))))))))),"")*K$3,"")</f>
        <v/>
      </c>
      <c r="L102" t="str">
        <f>IFERROR(IFERROR(IF(L$5='Conceptos Desglosados'!$H$4,VLOOKUP($A102,dormitorios,2,0),IF(L$5='Conceptos Desglosados'!$H$5,VLOOKUP($A102,comedor,2,0),IF(L$5='Conceptos Desglosados'!$H$6,VLOOKUP($A102,alojamiento,2,0),IF(L$5='Conceptos Desglosados'!$H$7,VLOOKUP($A102,sanidad,2,0),IF(L$5='Conceptos Desglosados'!$H$8,VLOOKUP($A102,servicios,2,0),IF(L$5='Conceptos Desglosados'!$H$9,VLOOKUP($A102,comyaloj,2,0),IF(L$5='Conceptos Desglosados'!$H$10,VLOOKUP($A102,comandancia,2,0),IF(L$5='Conceptos Desglosados'!$H$11,VLOOKUP($A102,mantenimiento,2,0),IF(L$5='Conceptos Desglosados'!$H$12,VLOOKUP($A102,serestatal,2,0),IF(L$5='Conceptos Desglosados'!$H$13,VLOOKUP($A102,conferencias,2,0),"")))))))))),"")*L$3,"")</f>
        <v/>
      </c>
      <c r="M102" t="str">
        <f>IFERROR(IFERROR(IF(M$5='Conceptos Desglosados'!$H$4,VLOOKUP($A102,dormitorios,2,0),IF(M$5='Conceptos Desglosados'!$H$5,VLOOKUP($A102,comedor,2,0),IF(M$5='Conceptos Desglosados'!$H$6,VLOOKUP($A102,alojamiento,2,0),IF(M$5='Conceptos Desglosados'!$H$7,VLOOKUP($A102,sanidad,2,0),IF(M$5='Conceptos Desglosados'!$H$8,VLOOKUP($A102,servicios,2,0),IF(M$5='Conceptos Desglosados'!$H$9,VLOOKUP($A102,comyaloj,2,0),IF(M$5='Conceptos Desglosados'!$H$10,VLOOKUP($A102,comandancia,2,0),IF(M$5='Conceptos Desglosados'!$H$11,VLOOKUP($A102,mantenimiento,2,0),IF(M$5='Conceptos Desglosados'!$H$12,VLOOKUP($A102,serestatal,2,0),IF(M$5='Conceptos Desglosados'!$H$13,VLOOKUP($A102,conferencias,2,0),"")))))))))),"")*M$3,"")</f>
        <v/>
      </c>
      <c r="O102">
        <f>SUM(K102:M102)</f>
        <v>0</v>
      </c>
    </row>
    <row r="103" spans="1:15" x14ac:dyDescent="0.35">
      <c r="A103">
        <v>98</v>
      </c>
      <c r="B103" t="s">
        <v>10</v>
      </c>
      <c r="C103" t="s">
        <v>670</v>
      </c>
      <c r="D103" t="s">
        <v>671</v>
      </c>
      <c r="E103" t="s">
        <v>656</v>
      </c>
      <c r="F103" t="s">
        <v>667</v>
      </c>
      <c r="G103" t="s">
        <v>0</v>
      </c>
      <c r="H103">
        <v>1.96</v>
      </c>
      <c r="I103">
        <v>2.7149999999999999</v>
      </c>
      <c r="J103" t="s">
        <v>6</v>
      </c>
      <c r="K103" t="str">
        <f>IFERROR(IFERROR(IF(K$5='Conceptos Desglosados'!$H$4,VLOOKUP($A103,dormitorios,2,0),IF(K$5='Conceptos Desglosados'!$H$5,VLOOKUP($A103,comedor,2,0),IF(K$5='Conceptos Desglosados'!$H$6,VLOOKUP($A103,alojamiento,2,0),IF(K$5='Conceptos Desglosados'!$H$7,VLOOKUP($A103,sanidad,2,0),IF(K$5='Conceptos Desglosados'!$H$8,VLOOKUP($A103,servicios,2,0),IF(K$5='Conceptos Desglosados'!$H$9,VLOOKUP($A103,comyaloj,2,0),IF(K$5='Conceptos Desglosados'!$H$10,VLOOKUP($A103,comandancia,2,0),IF(K$5='Conceptos Desglosados'!$H$11,VLOOKUP($A103,mantenimiento,2,0),IF(K$5='Conceptos Desglosados'!$H$12,VLOOKUP($A103,serestatal,2,0),IF(K$5='Conceptos Desglosados'!$H$13,VLOOKUP($A103,conferencias,2,0),"")))))))))),"")*K$3,"")</f>
        <v/>
      </c>
      <c r="L103" t="str">
        <f>IFERROR(IFERROR(IF(L$5='Conceptos Desglosados'!$H$4,VLOOKUP($A103,dormitorios,2,0),IF(L$5='Conceptos Desglosados'!$H$5,VLOOKUP($A103,comedor,2,0),IF(L$5='Conceptos Desglosados'!$H$6,VLOOKUP($A103,alojamiento,2,0),IF(L$5='Conceptos Desglosados'!$H$7,VLOOKUP($A103,sanidad,2,0),IF(L$5='Conceptos Desglosados'!$H$8,VLOOKUP($A103,servicios,2,0),IF(L$5='Conceptos Desglosados'!$H$9,VLOOKUP($A103,comyaloj,2,0),IF(L$5='Conceptos Desglosados'!$H$10,VLOOKUP($A103,comandancia,2,0),IF(L$5='Conceptos Desglosados'!$H$11,VLOOKUP($A103,mantenimiento,2,0),IF(L$5='Conceptos Desglosados'!$H$12,VLOOKUP($A103,serestatal,2,0),IF(L$5='Conceptos Desglosados'!$H$13,VLOOKUP($A103,conferencias,2,0),"")))))))))),"")*L$3,"")</f>
        <v/>
      </c>
      <c r="M103" t="str">
        <f>IFERROR(IFERROR(IF(M$5='Conceptos Desglosados'!$H$4,VLOOKUP($A103,dormitorios,2,0),IF(M$5='Conceptos Desglosados'!$H$5,VLOOKUP($A103,comedor,2,0),IF(M$5='Conceptos Desglosados'!$H$6,VLOOKUP($A103,alojamiento,2,0),IF(M$5='Conceptos Desglosados'!$H$7,VLOOKUP($A103,sanidad,2,0),IF(M$5='Conceptos Desglosados'!$H$8,VLOOKUP($A103,servicios,2,0),IF(M$5='Conceptos Desglosados'!$H$9,VLOOKUP($A103,comyaloj,2,0),IF(M$5='Conceptos Desglosados'!$H$10,VLOOKUP($A103,comandancia,2,0),IF(M$5='Conceptos Desglosados'!$H$11,VLOOKUP($A103,mantenimiento,2,0),IF(M$5='Conceptos Desglosados'!$H$12,VLOOKUP($A103,serestatal,2,0),IF(M$5='Conceptos Desglosados'!$H$13,VLOOKUP($A103,conferencias,2,0),"")))))))))),"")*M$3,"")</f>
        <v/>
      </c>
      <c r="O103">
        <f>SUM(K103:M103)</f>
        <v>0</v>
      </c>
    </row>
    <row r="104" spans="1:15" x14ac:dyDescent="0.35">
      <c r="A104">
        <v>99</v>
      </c>
      <c r="B104" t="s">
        <v>10</v>
      </c>
      <c r="C104" t="s">
        <v>672</v>
      </c>
      <c r="D104" t="s">
        <v>673</v>
      </c>
      <c r="E104" t="s">
        <v>656</v>
      </c>
      <c r="F104" t="s">
        <v>667</v>
      </c>
      <c r="G104" t="s">
        <v>0</v>
      </c>
      <c r="H104">
        <v>2.09</v>
      </c>
      <c r="I104">
        <v>2.7149999999999999</v>
      </c>
      <c r="J104" t="s">
        <v>6</v>
      </c>
      <c r="K104" t="str">
        <f>IFERROR(IFERROR(IF(K$5='Conceptos Desglosados'!$H$4,VLOOKUP($A104,dormitorios,2,0),IF(K$5='Conceptos Desglosados'!$H$5,VLOOKUP($A104,comedor,2,0),IF(K$5='Conceptos Desglosados'!$H$6,VLOOKUP($A104,alojamiento,2,0),IF(K$5='Conceptos Desglosados'!$H$7,VLOOKUP($A104,sanidad,2,0),IF(K$5='Conceptos Desglosados'!$H$8,VLOOKUP($A104,servicios,2,0),IF(K$5='Conceptos Desglosados'!$H$9,VLOOKUP($A104,comyaloj,2,0),IF(K$5='Conceptos Desglosados'!$H$10,VLOOKUP($A104,comandancia,2,0),IF(K$5='Conceptos Desglosados'!$H$11,VLOOKUP($A104,mantenimiento,2,0),IF(K$5='Conceptos Desglosados'!$H$12,VLOOKUP($A104,serestatal,2,0),IF(K$5='Conceptos Desglosados'!$H$13,VLOOKUP($A104,conferencias,2,0),"")))))))))),"")*K$3,"")</f>
        <v/>
      </c>
      <c r="L104" t="str">
        <f>IFERROR(IFERROR(IF(L$5='Conceptos Desglosados'!$H$4,VLOOKUP($A104,dormitorios,2,0),IF(L$5='Conceptos Desglosados'!$H$5,VLOOKUP($A104,comedor,2,0),IF(L$5='Conceptos Desglosados'!$H$6,VLOOKUP($A104,alojamiento,2,0),IF(L$5='Conceptos Desglosados'!$H$7,VLOOKUP($A104,sanidad,2,0),IF(L$5='Conceptos Desglosados'!$H$8,VLOOKUP($A104,servicios,2,0),IF(L$5='Conceptos Desglosados'!$H$9,VLOOKUP($A104,comyaloj,2,0),IF(L$5='Conceptos Desglosados'!$H$10,VLOOKUP($A104,comandancia,2,0),IF(L$5='Conceptos Desglosados'!$H$11,VLOOKUP($A104,mantenimiento,2,0),IF(L$5='Conceptos Desglosados'!$H$12,VLOOKUP($A104,serestatal,2,0),IF(L$5='Conceptos Desglosados'!$H$13,VLOOKUP($A104,conferencias,2,0),"")))))))))),"")*L$3,"")</f>
        <v/>
      </c>
      <c r="M104" t="str">
        <f>IFERROR(IFERROR(IF(M$5='Conceptos Desglosados'!$H$4,VLOOKUP($A104,dormitorios,2,0),IF(M$5='Conceptos Desglosados'!$H$5,VLOOKUP($A104,comedor,2,0),IF(M$5='Conceptos Desglosados'!$H$6,VLOOKUP($A104,alojamiento,2,0),IF(M$5='Conceptos Desglosados'!$H$7,VLOOKUP($A104,sanidad,2,0),IF(M$5='Conceptos Desglosados'!$H$8,VLOOKUP($A104,servicios,2,0),IF(M$5='Conceptos Desglosados'!$H$9,VLOOKUP($A104,comyaloj,2,0),IF(M$5='Conceptos Desglosados'!$H$10,VLOOKUP($A104,comandancia,2,0),IF(M$5='Conceptos Desglosados'!$H$11,VLOOKUP($A104,mantenimiento,2,0),IF(M$5='Conceptos Desglosados'!$H$12,VLOOKUP($A104,serestatal,2,0),IF(M$5='Conceptos Desglosados'!$H$13,VLOOKUP($A104,conferencias,2,0),"")))))))))),"")*M$3,"")</f>
        <v/>
      </c>
      <c r="O104">
        <f>SUM(K104:M104)</f>
        <v>0</v>
      </c>
    </row>
    <row r="105" spans="1:15" x14ac:dyDescent="0.35">
      <c r="A105">
        <v>100</v>
      </c>
      <c r="B105" t="s">
        <v>10</v>
      </c>
      <c r="C105" t="s">
        <v>674</v>
      </c>
      <c r="D105" t="s">
        <v>675</v>
      </c>
      <c r="E105" t="s">
        <v>656</v>
      </c>
      <c r="F105" t="s">
        <v>667</v>
      </c>
      <c r="G105" t="s">
        <v>0</v>
      </c>
      <c r="H105">
        <v>1.56</v>
      </c>
      <c r="I105">
        <v>2.7149999999999999</v>
      </c>
      <c r="J105" t="s">
        <v>6</v>
      </c>
      <c r="K105">
        <f>IFERROR(IFERROR(IF(K$5='Conceptos Desglosados'!$H$4,VLOOKUP($A105,dormitorios,2,0),IF(K$5='Conceptos Desglosados'!$H$5,VLOOKUP($A105,comedor,2,0),IF(K$5='Conceptos Desglosados'!$H$6,VLOOKUP($A105,alojamiento,2,0),IF(K$5='Conceptos Desglosados'!$H$7,VLOOKUP($A105,sanidad,2,0),IF(K$5='Conceptos Desglosados'!$H$8,VLOOKUP($A105,servicios,2,0),IF(K$5='Conceptos Desglosados'!$H$9,VLOOKUP($A105,comyaloj,2,0),IF(K$5='Conceptos Desglosados'!$H$10,VLOOKUP($A105,comandancia,2,0),IF(K$5='Conceptos Desglosados'!$H$11,VLOOKUP($A105,mantenimiento,2,0),IF(K$5='Conceptos Desglosados'!$H$12,VLOOKUP($A105,serestatal,2,0),IF(K$5='Conceptos Desglosados'!$H$13,VLOOKUP($A105,conferencias,2,0),"")))))))))),"")*K$3,"")</f>
        <v>6</v>
      </c>
      <c r="L105" t="str">
        <f>IFERROR(IFERROR(IF(L$5='Conceptos Desglosados'!$H$4,VLOOKUP($A105,dormitorios,2,0),IF(L$5='Conceptos Desglosados'!$H$5,VLOOKUP($A105,comedor,2,0),IF(L$5='Conceptos Desglosados'!$H$6,VLOOKUP($A105,alojamiento,2,0),IF(L$5='Conceptos Desglosados'!$H$7,VLOOKUP($A105,sanidad,2,0),IF(L$5='Conceptos Desglosados'!$H$8,VLOOKUP($A105,servicios,2,0),IF(L$5='Conceptos Desglosados'!$H$9,VLOOKUP($A105,comyaloj,2,0),IF(L$5='Conceptos Desglosados'!$H$10,VLOOKUP($A105,comandancia,2,0),IF(L$5='Conceptos Desglosados'!$H$11,VLOOKUP($A105,mantenimiento,2,0),IF(L$5='Conceptos Desglosados'!$H$12,VLOOKUP($A105,serestatal,2,0),IF(L$5='Conceptos Desglosados'!$H$13,VLOOKUP($A105,conferencias,2,0),"")))))))))),"")*L$3,"")</f>
        <v/>
      </c>
      <c r="M105" t="str">
        <f>IFERROR(IFERROR(IF(M$5='Conceptos Desglosados'!$H$4,VLOOKUP($A105,dormitorios,2,0),IF(M$5='Conceptos Desglosados'!$H$5,VLOOKUP($A105,comedor,2,0),IF(M$5='Conceptos Desglosados'!$H$6,VLOOKUP($A105,alojamiento,2,0),IF(M$5='Conceptos Desglosados'!$H$7,VLOOKUP($A105,sanidad,2,0),IF(M$5='Conceptos Desglosados'!$H$8,VLOOKUP($A105,servicios,2,0),IF(M$5='Conceptos Desglosados'!$H$9,VLOOKUP($A105,comyaloj,2,0),IF(M$5='Conceptos Desglosados'!$H$10,VLOOKUP($A105,comandancia,2,0),IF(M$5='Conceptos Desglosados'!$H$11,VLOOKUP($A105,mantenimiento,2,0),IF(M$5='Conceptos Desglosados'!$H$12,VLOOKUP($A105,serestatal,2,0),IF(M$5='Conceptos Desglosados'!$H$13,VLOOKUP($A105,conferencias,2,0),"")))))))))),"")*M$3,"")</f>
        <v/>
      </c>
      <c r="O105">
        <f>SUM(K105:M105)</f>
        <v>6</v>
      </c>
    </row>
    <row r="106" spans="1:15" x14ac:dyDescent="0.35">
      <c r="A106">
        <v>101</v>
      </c>
      <c r="B106" t="s">
        <v>10</v>
      </c>
      <c r="C106" t="s">
        <v>684</v>
      </c>
      <c r="D106" t="s">
        <v>685</v>
      </c>
      <c r="E106" t="s">
        <v>656</v>
      </c>
      <c r="F106" t="s">
        <v>511</v>
      </c>
      <c r="G106" t="s">
        <v>0</v>
      </c>
      <c r="H106">
        <v>0.94</v>
      </c>
      <c r="I106">
        <v>2.7149999999999999</v>
      </c>
      <c r="J106" t="s">
        <v>6</v>
      </c>
      <c r="K106" t="str">
        <f>IFERROR(IFERROR(IF(K$5='Conceptos Desglosados'!$H$4,VLOOKUP($A106,dormitorios,2,0),IF(K$5='Conceptos Desglosados'!$H$5,VLOOKUP($A106,comedor,2,0),IF(K$5='Conceptos Desglosados'!$H$6,VLOOKUP($A106,alojamiento,2,0),IF(K$5='Conceptos Desglosados'!$H$7,VLOOKUP($A106,sanidad,2,0),IF(K$5='Conceptos Desglosados'!$H$8,VLOOKUP($A106,servicios,2,0),IF(K$5='Conceptos Desglosados'!$H$9,VLOOKUP($A106,comyaloj,2,0),IF(K$5='Conceptos Desglosados'!$H$10,VLOOKUP($A106,comandancia,2,0),IF(K$5='Conceptos Desglosados'!$H$11,VLOOKUP($A106,mantenimiento,2,0),IF(K$5='Conceptos Desglosados'!$H$12,VLOOKUP($A106,serestatal,2,0),IF(K$5='Conceptos Desglosados'!$H$13,VLOOKUP($A106,conferencias,2,0),"")))))))))),"")*K$3,"")</f>
        <v/>
      </c>
      <c r="L106" t="str">
        <f>IFERROR(IFERROR(IF(L$5='Conceptos Desglosados'!$H$4,VLOOKUP($A106,dormitorios,2,0),IF(L$5='Conceptos Desglosados'!$H$5,VLOOKUP($A106,comedor,2,0),IF(L$5='Conceptos Desglosados'!$H$6,VLOOKUP($A106,alojamiento,2,0),IF(L$5='Conceptos Desglosados'!$H$7,VLOOKUP($A106,sanidad,2,0),IF(L$5='Conceptos Desglosados'!$H$8,VLOOKUP($A106,servicios,2,0),IF(L$5='Conceptos Desglosados'!$H$9,VLOOKUP($A106,comyaloj,2,0),IF(L$5='Conceptos Desglosados'!$H$10,VLOOKUP($A106,comandancia,2,0),IF(L$5='Conceptos Desglosados'!$H$11,VLOOKUP($A106,mantenimiento,2,0),IF(L$5='Conceptos Desglosados'!$H$12,VLOOKUP($A106,serestatal,2,0),IF(L$5='Conceptos Desglosados'!$H$13,VLOOKUP($A106,conferencias,2,0),"")))))))))),"")*L$3,"")</f>
        <v/>
      </c>
      <c r="M106" t="str">
        <f>IFERROR(IFERROR(IF(M$5='Conceptos Desglosados'!$H$4,VLOOKUP($A106,dormitorios,2,0),IF(M$5='Conceptos Desglosados'!$H$5,VLOOKUP($A106,comedor,2,0),IF(M$5='Conceptos Desglosados'!$H$6,VLOOKUP($A106,alojamiento,2,0),IF(M$5='Conceptos Desglosados'!$H$7,VLOOKUP($A106,sanidad,2,0),IF(M$5='Conceptos Desglosados'!$H$8,VLOOKUP($A106,servicios,2,0),IF(M$5='Conceptos Desglosados'!$H$9,VLOOKUP($A106,comyaloj,2,0),IF(M$5='Conceptos Desglosados'!$H$10,VLOOKUP($A106,comandancia,2,0),IF(M$5='Conceptos Desglosados'!$H$11,VLOOKUP($A106,mantenimiento,2,0),IF(M$5='Conceptos Desglosados'!$H$12,VLOOKUP($A106,serestatal,2,0),IF(M$5='Conceptos Desglosados'!$H$13,VLOOKUP($A106,conferencias,2,0),"")))))))))),"")*M$3,"")</f>
        <v/>
      </c>
      <c r="O106">
        <f>SUM(K106:M106)</f>
        <v>0</v>
      </c>
    </row>
    <row r="107" spans="1:15" x14ac:dyDescent="0.35">
      <c r="A107">
        <v>102</v>
      </c>
      <c r="B107" t="s">
        <v>10</v>
      </c>
      <c r="C107" t="s">
        <v>686</v>
      </c>
      <c r="D107" t="s">
        <v>687</v>
      </c>
      <c r="E107" t="s">
        <v>656</v>
      </c>
      <c r="F107" t="s">
        <v>511</v>
      </c>
      <c r="G107" t="s">
        <v>0</v>
      </c>
      <c r="H107">
        <v>0.95</v>
      </c>
      <c r="I107">
        <v>2.7149999999999999</v>
      </c>
      <c r="J107" t="s">
        <v>6</v>
      </c>
      <c r="K107" t="str">
        <f>IFERROR(IFERROR(IF(K$5='Conceptos Desglosados'!$H$4,VLOOKUP($A107,dormitorios,2,0),IF(K$5='Conceptos Desglosados'!$H$5,VLOOKUP($A107,comedor,2,0),IF(K$5='Conceptos Desglosados'!$H$6,VLOOKUP($A107,alojamiento,2,0),IF(K$5='Conceptos Desglosados'!$H$7,VLOOKUP($A107,sanidad,2,0),IF(K$5='Conceptos Desglosados'!$H$8,VLOOKUP($A107,servicios,2,0),IF(K$5='Conceptos Desglosados'!$H$9,VLOOKUP($A107,comyaloj,2,0),IF(K$5='Conceptos Desglosados'!$H$10,VLOOKUP($A107,comandancia,2,0),IF(K$5='Conceptos Desglosados'!$H$11,VLOOKUP($A107,mantenimiento,2,0),IF(K$5='Conceptos Desglosados'!$H$12,VLOOKUP($A107,serestatal,2,0),IF(K$5='Conceptos Desglosados'!$H$13,VLOOKUP($A107,conferencias,2,0),"")))))))))),"")*K$3,"")</f>
        <v/>
      </c>
      <c r="L107">
        <f>IFERROR(IFERROR(IF(L$5='Conceptos Desglosados'!$H$4,VLOOKUP($A107,dormitorios,2,0),IF(L$5='Conceptos Desglosados'!$H$5,VLOOKUP($A107,comedor,2,0),IF(L$5='Conceptos Desglosados'!$H$6,VLOOKUP($A107,alojamiento,2,0),IF(L$5='Conceptos Desglosados'!$H$7,VLOOKUP($A107,sanidad,2,0),IF(L$5='Conceptos Desglosados'!$H$8,VLOOKUP($A107,servicios,2,0),IF(L$5='Conceptos Desglosados'!$H$9,VLOOKUP($A107,comyaloj,2,0),IF(L$5='Conceptos Desglosados'!$H$10,VLOOKUP($A107,comandancia,2,0),IF(L$5='Conceptos Desglosados'!$H$11,VLOOKUP($A107,mantenimiento,2,0),IF(L$5='Conceptos Desglosados'!$H$12,VLOOKUP($A107,serestatal,2,0),IF(L$5='Conceptos Desglosados'!$H$13,VLOOKUP($A107,conferencias,2,0),"")))))))))),"")*L$3,"")</f>
        <v>1</v>
      </c>
      <c r="M107" t="str">
        <f>IFERROR(IFERROR(IF(M$5='Conceptos Desglosados'!$H$4,VLOOKUP($A107,dormitorios,2,0),IF(M$5='Conceptos Desglosados'!$H$5,VLOOKUP($A107,comedor,2,0),IF(M$5='Conceptos Desglosados'!$H$6,VLOOKUP($A107,alojamiento,2,0),IF(M$5='Conceptos Desglosados'!$H$7,VLOOKUP($A107,sanidad,2,0),IF(M$5='Conceptos Desglosados'!$H$8,VLOOKUP($A107,servicios,2,0),IF(M$5='Conceptos Desglosados'!$H$9,VLOOKUP($A107,comyaloj,2,0),IF(M$5='Conceptos Desglosados'!$H$10,VLOOKUP($A107,comandancia,2,0),IF(M$5='Conceptos Desglosados'!$H$11,VLOOKUP($A107,mantenimiento,2,0),IF(M$5='Conceptos Desglosados'!$H$12,VLOOKUP($A107,serestatal,2,0),IF(M$5='Conceptos Desglosados'!$H$13,VLOOKUP($A107,conferencias,2,0),"")))))))))),"")*M$3,"")</f>
        <v/>
      </c>
      <c r="O107">
        <f>SUM(K107:M107)</f>
        <v>1</v>
      </c>
    </row>
    <row r="108" spans="1:15" x14ac:dyDescent="0.35">
      <c r="A108">
        <v>103</v>
      </c>
      <c r="B108" t="s">
        <v>10</v>
      </c>
      <c r="C108" t="s">
        <v>688</v>
      </c>
      <c r="D108" t="s">
        <v>689</v>
      </c>
      <c r="E108" t="s">
        <v>913</v>
      </c>
      <c r="F108" t="s">
        <v>511</v>
      </c>
      <c r="G108" t="s">
        <v>0</v>
      </c>
      <c r="H108">
        <v>2.02</v>
      </c>
      <c r="I108">
        <v>2.7149999999999999</v>
      </c>
      <c r="J108" t="s">
        <v>6</v>
      </c>
      <c r="K108" t="str">
        <f>IFERROR(IFERROR(IF(K$5='Conceptos Desglosados'!$H$4,VLOOKUP($A108,dormitorios,2,0),IF(K$5='Conceptos Desglosados'!$H$5,VLOOKUP($A108,comedor,2,0),IF(K$5='Conceptos Desglosados'!$H$6,VLOOKUP($A108,alojamiento,2,0),IF(K$5='Conceptos Desglosados'!$H$7,VLOOKUP($A108,sanidad,2,0),IF(K$5='Conceptos Desglosados'!$H$8,VLOOKUP($A108,servicios,2,0),IF(K$5='Conceptos Desglosados'!$H$9,VLOOKUP($A108,comyaloj,2,0),IF(K$5='Conceptos Desglosados'!$H$10,VLOOKUP($A108,comandancia,2,0),IF(K$5='Conceptos Desglosados'!$H$11,VLOOKUP($A108,mantenimiento,2,0),IF(K$5='Conceptos Desglosados'!$H$12,VLOOKUP($A108,serestatal,2,0),IF(K$5='Conceptos Desglosados'!$H$13,VLOOKUP($A108,conferencias,2,0),"")))))))))),"")*K$3,"")</f>
        <v/>
      </c>
      <c r="L108" t="str">
        <f>IFERROR(IFERROR(IF(L$5='Conceptos Desglosados'!$H$4,VLOOKUP($A108,dormitorios,2,0),IF(L$5='Conceptos Desglosados'!$H$5,VLOOKUP($A108,comedor,2,0),IF(L$5='Conceptos Desglosados'!$H$6,VLOOKUP($A108,alojamiento,2,0),IF(L$5='Conceptos Desglosados'!$H$7,VLOOKUP($A108,sanidad,2,0),IF(L$5='Conceptos Desglosados'!$H$8,VLOOKUP($A108,servicios,2,0),IF(L$5='Conceptos Desglosados'!$H$9,VLOOKUP($A108,comyaloj,2,0),IF(L$5='Conceptos Desglosados'!$H$10,VLOOKUP($A108,comandancia,2,0),IF(L$5='Conceptos Desglosados'!$H$11,VLOOKUP($A108,mantenimiento,2,0),IF(L$5='Conceptos Desglosados'!$H$12,VLOOKUP($A108,serestatal,2,0),IF(L$5='Conceptos Desglosados'!$H$13,VLOOKUP($A108,conferencias,2,0),"")))))))))),"")*L$3,"")</f>
        <v/>
      </c>
      <c r="M108" t="str">
        <f>IFERROR(IFERROR(IF(M$5='Conceptos Desglosados'!$H$4,VLOOKUP($A108,dormitorios,2,0),IF(M$5='Conceptos Desglosados'!$H$5,VLOOKUP($A108,comedor,2,0),IF(M$5='Conceptos Desglosados'!$H$6,VLOOKUP($A108,alojamiento,2,0),IF(M$5='Conceptos Desglosados'!$H$7,VLOOKUP($A108,sanidad,2,0),IF(M$5='Conceptos Desglosados'!$H$8,VLOOKUP($A108,servicios,2,0),IF(M$5='Conceptos Desglosados'!$H$9,VLOOKUP($A108,comyaloj,2,0),IF(M$5='Conceptos Desglosados'!$H$10,VLOOKUP($A108,comandancia,2,0),IF(M$5='Conceptos Desglosados'!$H$11,VLOOKUP($A108,mantenimiento,2,0),IF(M$5='Conceptos Desglosados'!$H$12,VLOOKUP($A108,serestatal,2,0),IF(M$5='Conceptos Desglosados'!$H$13,VLOOKUP($A108,conferencias,2,0),"")))))))))),"")*M$3,"")</f>
        <v/>
      </c>
      <c r="O108">
        <f>SUM(K108:M108)</f>
        <v>0</v>
      </c>
    </row>
    <row r="109" spans="1:15" x14ac:dyDescent="0.35">
      <c r="A109">
        <v>104</v>
      </c>
      <c r="B109" t="s">
        <v>10</v>
      </c>
      <c r="C109" t="s">
        <v>690</v>
      </c>
      <c r="D109" t="s">
        <v>691</v>
      </c>
      <c r="E109" t="s">
        <v>914</v>
      </c>
      <c r="F109" t="s">
        <v>511</v>
      </c>
      <c r="G109" t="s">
        <v>0</v>
      </c>
      <c r="H109">
        <v>2.02</v>
      </c>
      <c r="I109">
        <v>2.7149999999999999</v>
      </c>
      <c r="J109" t="s">
        <v>6</v>
      </c>
      <c r="K109" t="str">
        <f>IFERROR(IFERROR(IF(K$5='Conceptos Desglosados'!$H$4,VLOOKUP($A109,dormitorios,2,0),IF(K$5='Conceptos Desglosados'!$H$5,VLOOKUP($A109,comedor,2,0),IF(K$5='Conceptos Desglosados'!$H$6,VLOOKUP($A109,alojamiento,2,0),IF(K$5='Conceptos Desglosados'!$H$7,VLOOKUP($A109,sanidad,2,0),IF(K$5='Conceptos Desglosados'!$H$8,VLOOKUP($A109,servicios,2,0),IF(K$5='Conceptos Desglosados'!$H$9,VLOOKUP($A109,comyaloj,2,0),IF(K$5='Conceptos Desglosados'!$H$10,VLOOKUP($A109,comandancia,2,0),IF(K$5='Conceptos Desglosados'!$H$11,VLOOKUP($A109,mantenimiento,2,0),IF(K$5='Conceptos Desglosados'!$H$12,VLOOKUP($A109,serestatal,2,0),IF(K$5='Conceptos Desglosados'!$H$13,VLOOKUP($A109,conferencias,2,0),"")))))))))),"")*K$3,"")</f>
        <v/>
      </c>
      <c r="L109" t="str">
        <f>IFERROR(IFERROR(IF(L$5='Conceptos Desglosados'!$H$4,VLOOKUP($A109,dormitorios,2,0),IF(L$5='Conceptos Desglosados'!$H$5,VLOOKUP($A109,comedor,2,0),IF(L$5='Conceptos Desglosados'!$H$6,VLOOKUP($A109,alojamiento,2,0),IF(L$5='Conceptos Desglosados'!$H$7,VLOOKUP($A109,sanidad,2,0),IF(L$5='Conceptos Desglosados'!$H$8,VLOOKUP($A109,servicios,2,0),IF(L$5='Conceptos Desglosados'!$H$9,VLOOKUP($A109,comyaloj,2,0),IF(L$5='Conceptos Desglosados'!$H$10,VLOOKUP($A109,comandancia,2,0),IF(L$5='Conceptos Desglosados'!$H$11,VLOOKUP($A109,mantenimiento,2,0),IF(L$5='Conceptos Desglosados'!$H$12,VLOOKUP($A109,serestatal,2,0),IF(L$5='Conceptos Desglosados'!$H$13,VLOOKUP($A109,conferencias,2,0),"")))))))))),"")*L$3,"")</f>
        <v/>
      </c>
      <c r="M109" t="str">
        <f>IFERROR(IFERROR(IF(M$5='Conceptos Desglosados'!$H$4,VLOOKUP($A109,dormitorios,2,0),IF(M$5='Conceptos Desglosados'!$H$5,VLOOKUP($A109,comedor,2,0),IF(M$5='Conceptos Desglosados'!$H$6,VLOOKUP($A109,alojamiento,2,0),IF(M$5='Conceptos Desglosados'!$H$7,VLOOKUP($A109,sanidad,2,0),IF(M$5='Conceptos Desglosados'!$H$8,VLOOKUP($A109,servicios,2,0),IF(M$5='Conceptos Desglosados'!$H$9,VLOOKUP($A109,comyaloj,2,0),IF(M$5='Conceptos Desglosados'!$H$10,VLOOKUP($A109,comandancia,2,0),IF(M$5='Conceptos Desglosados'!$H$11,VLOOKUP($A109,mantenimiento,2,0),IF(M$5='Conceptos Desglosados'!$H$12,VLOOKUP($A109,serestatal,2,0),IF(M$5='Conceptos Desglosados'!$H$13,VLOOKUP($A109,conferencias,2,0),"")))))))))),"")*M$3,"")</f>
        <v/>
      </c>
      <c r="O109">
        <f>SUM(K109:M109)</f>
        <v>0</v>
      </c>
    </row>
    <row r="110" spans="1:15" x14ac:dyDescent="0.35">
      <c r="A110">
        <v>105</v>
      </c>
      <c r="B110" t="s">
        <v>10</v>
      </c>
      <c r="C110" t="s">
        <v>692</v>
      </c>
      <c r="D110" t="s">
        <v>693</v>
      </c>
      <c r="E110" t="s">
        <v>656</v>
      </c>
      <c r="F110" t="s">
        <v>511</v>
      </c>
      <c r="G110" t="s">
        <v>0</v>
      </c>
      <c r="H110">
        <v>2.16</v>
      </c>
      <c r="I110">
        <v>2.7149999999999999</v>
      </c>
      <c r="J110" t="s">
        <v>6</v>
      </c>
      <c r="K110" t="str">
        <f>IFERROR(IFERROR(IF(K$5='Conceptos Desglosados'!$H$4,VLOOKUP($A110,dormitorios,2,0),IF(K$5='Conceptos Desglosados'!$H$5,VLOOKUP($A110,comedor,2,0),IF(K$5='Conceptos Desglosados'!$H$6,VLOOKUP($A110,alojamiento,2,0),IF(K$5='Conceptos Desglosados'!$H$7,VLOOKUP($A110,sanidad,2,0),IF(K$5='Conceptos Desglosados'!$H$8,VLOOKUP($A110,servicios,2,0),IF(K$5='Conceptos Desglosados'!$H$9,VLOOKUP($A110,comyaloj,2,0),IF(K$5='Conceptos Desglosados'!$H$10,VLOOKUP($A110,comandancia,2,0),IF(K$5='Conceptos Desglosados'!$H$11,VLOOKUP($A110,mantenimiento,2,0),IF(K$5='Conceptos Desglosados'!$H$12,VLOOKUP($A110,serestatal,2,0),IF(K$5='Conceptos Desglosados'!$H$13,VLOOKUP($A110,conferencias,2,0),"")))))))))),"")*K$3,"")</f>
        <v/>
      </c>
      <c r="L110" t="str">
        <f>IFERROR(IFERROR(IF(L$5='Conceptos Desglosados'!$H$4,VLOOKUP($A110,dormitorios,2,0),IF(L$5='Conceptos Desglosados'!$H$5,VLOOKUP($A110,comedor,2,0),IF(L$5='Conceptos Desglosados'!$H$6,VLOOKUP($A110,alojamiento,2,0),IF(L$5='Conceptos Desglosados'!$H$7,VLOOKUP($A110,sanidad,2,0),IF(L$5='Conceptos Desglosados'!$H$8,VLOOKUP($A110,servicios,2,0),IF(L$5='Conceptos Desglosados'!$H$9,VLOOKUP($A110,comyaloj,2,0),IF(L$5='Conceptos Desglosados'!$H$10,VLOOKUP($A110,comandancia,2,0),IF(L$5='Conceptos Desglosados'!$H$11,VLOOKUP($A110,mantenimiento,2,0),IF(L$5='Conceptos Desglosados'!$H$12,VLOOKUP($A110,serestatal,2,0),IF(L$5='Conceptos Desglosados'!$H$13,VLOOKUP($A110,conferencias,2,0),"")))))))))),"")*L$3,"")</f>
        <v/>
      </c>
      <c r="M110" t="str">
        <f>IFERROR(IFERROR(IF(M$5='Conceptos Desglosados'!$H$4,VLOOKUP($A110,dormitorios,2,0),IF(M$5='Conceptos Desglosados'!$H$5,VLOOKUP($A110,comedor,2,0),IF(M$5='Conceptos Desglosados'!$H$6,VLOOKUP($A110,alojamiento,2,0),IF(M$5='Conceptos Desglosados'!$H$7,VLOOKUP($A110,sanidad,2,0),IF(M$5='Conceptos Desglosados'!$H$8,VLOOKUP($A110,servicios,2,0),IF(M$5='Conceptos Desglosados'!$H$9,VLOOKUP($A110,comyaloj,2,0),IF(M$5='Conceptos Desglosados'!$H$10,VLOOKUP($A110,comandancia,2,0),IF(M$5='Conceptos Desglosados'!$H$11,VLOOKUP($A110,mantenimiento,2,0),IF(M$5='Conceptos Desglosados'!$H$12,VLOOKUP($A110,serestatal,2,0),IF(M$5='Conceptos Desglosados'!$H$13,VLOOKUP($A110,conferencias,2,0),"")))))))))),"")*M$3,"")</f>
        <v/>
      </c>
      <c r="O110">
        <f>SUM(K110:M110)</f>
        <v>0</v>
      </c>
    </row>
    <row r="111" spans="1:15" x14ac:dyDescent="0.35">
      <c r="A111">
        <v>106</v>
      </c>
      <c r="B111" t="s">
        <v>10</v>
      </c>
      <c r="C111" t="s">
        <v>710</v>
      </c>
      <c r="D111" t="s">
        <v>711</v>
      </c>
      <c r="E111" t="s">
        <v>656</v>
      </c>
      <c r="F111" t="s">
        <v>511</v>
      </c>
      <c r="G111" t="s">
        <v>2</v>
      </c>
      <c r="H111">
        <v>1.36</v>
      </c>
      <c r="I111">
        <v>2.7149999999999999</v>
      </c>
      <c r="J111" t="s">
        <v>6</v>
      </c>
      <c r="K111" t="str">
        <f>IFERROR(IFERROR(IF(K$5='Conceptos Desglosados'!$H$4,VLOOKUP($A111,dormitorios,2,0),IF(K$5='Conceptos Desglosados'!$H$5,VLOOKUP($A111,comedor,2,0),IF(K$5='Conceptos Desglosados'!$H$6,VLOOKUP($A111,alojamiento,2,0),IF(K$5='Conceptos Desglosados'!$H$7,VLOOKUP($A111,sanidad,2,0),IF(K$5='Conceptos Desglosados'!$H$8,VLOOKUP($A111,servicios,2,0),IF(K$5='Conceptos Desglosados'!$H$9,VLOOKUP($A111,comyaloj,2,0),IF(K$5='Conceptos Desglosados'!$H$10,VLOOKUP($A111,comandancia,2,0),IF(K$5='Conceptos Desglosados'!$H$11,VLOOKUP($A111,mantenimiento,2,0),IF(K$5='Conceptos Desglosados'!$H$12,VLOOKUP($A111,serestatal,2,0),IF(K$5='Conceptos Desglosados'!$H$13,VLOOKUP($A111,conferencias,2,0),"")))))))))),"")*K$3,"")</f>
        <v/>
      </c>
      <c r="L111" t="str">
        <f>IFERROR(IFERROR(IF(L$5='Conceptos Desglosados'!$H$4,VLOOKUP($A111,dormitorios,2,0),IF(L$5='Conceptos Desglosados'!$H$5,VLOOKUP($A111,comedor,2,0),IF(L$5='Conceptos Desglosados'!$H$6,VLOOKUP($A111,alojamiento,2,0),IF(L$5='Conceptos Desglosados'!$H$7,VLOOKUP($A111,sanidad,2,0),IF(L$5='Conceptos Desglosados'!$H$8,VLOOKUP($A111,servicios,2,0),IF(L$5='Conceptos Desglosados'!$H$9,VLOOKUP($A111,comyaloj,2,0),IF(L$5='Conceptos Desglosados'!$H$10,VLOOKUP($A111,comandancia,2,0),IF(L$5='Conceptos Desglosados'!$H$11,VLOOKUP($A111,mantenimiento,2,0),IF(L$5='Conceptos Desglosados'!$H$12,VLOOKUP($A111,serestatal,2,0),IF(L$5='Conceptos Desglosados'!$H$13,VLOOKUP($A111,conferencias,2,0),"")))))))))),"")*L$3,"")</f>
        <v/>
      </c>
      <c r="M111" t="str">
        <f>IFERROR(IFERROR(IF(M$5='Conceptos Desglosados'!$H$4,VLOOKUP($A111,dormitorios,2,0),IF(M$5='Conceptos Desglosados'!$H$5,VLOOKUP($A111,comedor,2,0),IF(M$5='Conceptos Desglosados'!$H$6,VLOOKUP($A111,alojamiento,2,0),IF(M$5='Conceptos Desglosados'!$H$7,VLOOKUP($A111,sanidad,2,0),IF(M$5='Conceptos Desglosados'!$H$8,VLOOKUP($A111,servicios,2,0),IF(M$5='Conceptos Desglosados'!$H$9,VLOOKUP($A111,comyaloj,2,0),IF(M$5='Conceptos Desglosados'!$H$10,VLOOKUP($A111,comandancia,2,0),IF(M$5='Conceptos Desglosados'!$H$11,VLOOKUP($A111,mantenimiento,2,0),IF(M$5='Conceptos Desglosados'!$H$12,VLOOKUP($A111,serestatal,2,0),IF(M$5='Conceptos Desglosados'!$H$13,VLOOKUP($A111,conferencias,2,0),"")))))))))),"")*M$3,"")</f>
        <v/>
      </c>
      <c r="O111">
        <f>SUM(K111:M111)</f>
        <v>0</v>
      </c>
    </row>
    <row r="112" spans="1:15" x14ac:dyDescent="0.35">
      <c r="A112">
        <v>107</v>
      </c>
      <c r="B112" t="s">
        <v>10</v>
      </c>
      <c r="C112" t="s">
        <v>712</v>
      </c>
      <c r="D112" t="s">
        <v>713</v>
      </c>
      <c r="E112" t="s">
        <v>656</v>
      </c>
      <c r="F112" t="s">
        <v>511</v>
      </c>
      <c r="G112" t="s">
        <v>2</v>
      </c>
      <c r="H112">
        <v>1.92</v>
      </c>
      <c r="I112">
        <v>2.7149999999999999</v>
      </c>
      <c r="J112" t="s">
        <v>6</v>
      </c>
      <c r="K112" t="str">
        <f>IFERROR(IFERROR(IF(K$5='Conceptos Desglosados'!$H$4,VLOOKUP($A112,dormitorios,2,0),IF(K$5='Conceptos Desglosados'!$H$5,VLOOKUP($A112,comedor,2,0),IF(K$5='Conceptos Desglosados'!$H$6,VLOOKUP($A112,alojamiento,2,0),IF(K$5='Conceptos Desglosados'!$H$7,VLOOKUP($A112,sanidad,2,0),IF(K$5='Conceptos Desglosados'!$H$8,VLOOKUP($A112,servicios,2,0),IF(K$5='Conceptos Desglosados'!$H$9,VLOOKUP($A112,comyaloj,2,0),IF(K$5='Conceptos Desglosados'!$H$10,VLOOKUP($A112,comandancia,2,0),IF(K$5='Conceptos Desglosados'!$H$11,VLOOKUP($A112,mantenimiento,2,0),IF(K$5='Conceptos Desglosados'!$H$12,VLOOKUP($A112,serestatal,2,0),IF(K$5='Conceptos Desglosados'!$H$13,VLOOKUP($A112,conferencias,2,0),"")))))))))),"")*K$3,"")</f>
        <v/>
      </c>
      <c r="L112" t="str">
        <f>IFERROR(IFERROR(IF(L$5='Conceptos Desglosados'!$H$4,VLOOKUP($A112,dormitorios,2,0),IF(L$5='Conceptos Desglosados'!$H$5,VLOOKUP($A112,comedor,2,0),IF(L$5='Conceptos Desglosados'!$H$6,VLOOKUP($A112,alojamiento,2,0),IF(L$5='Conceptos Desglosados'!$H$7,VLOOKUP($A112,sanidad,2,0),IF(L$5='Conceptos Desglosados'!$H$8,VLOOKUP($A112,servicios,2,0),IF(L$5='Conceptos Desglosados'!$H$9,VLOOKUP($A112,comyaloj,2,0),IF(L$5='Conceptos Desglosados'!$H$10,VLOOKUP($A112,comandancia,2,0),IF(L$5='Conceptos Desglosados'!$H$11,VLOOKUP($A112,mantenimiento,2,0),IF(L$5='Conceptos Desglosados'!$H$12,VLOOKUP($A112,serestatal,2,0),IF(L$5='Conceptos Desglosados'!$H$13,VLOOKUP($A112,conferencias,2,0),"")))))))))),"")*L$3,"")</f>
        <v/>
      </c>
      <c r="M112" t="str">
        <f>IFERROR(IFERROR(IF(M$5='Conceptos Desglosados'!$H$4,VLOOKUP($A112,dormitorios,2,0),IF(M$5='Conceptos Desglosados'!$H$5,VLOOKUP($A112,comedor,2,0),IF(M$5='Conceptos Desglosados'!$H$6,VLOOKUP($A112,alojamiento,2,0),IF(M$5='Conceptos Desglosados'!$H$7,VLOOKUP($A112,sanidad,2,0),IF(M$5='Conceptos Desglosados'!$H$8,VLOOKUP($A112,servicios,2,0),IF(M$5='Conceptos Desglosados'!$H$9,VLOOKUP($A112,comyaloj,2,0),IF(M$5='Conceptos Desglosados'!$H$10,VLOOKUP($A112,comandancia,2,0),IF(M$5='Conceptos Desglosados'!$H$11,VLOOKUP($A112,mantenimiento,2,0),IF(M$5='Conceptos Desglosados'!$H$12,VLOOKUP($A112,serestatal,2,0),IF(M$5='Conceptos Desglosados'!$H$13,VLOOKUP($A112,conferencias,2,0),"")))))))))),"")*M$3,"")</f>
        <v/>
      </c>
      <c r="O112">
        <f>SUM(K112:M112)</f>
        <v>0</v>
      </c>
    </row>
    <row r="113" spans="1:15" x14ac:dyDescent="0.35">
      <c r="A113">
        <v>108</v>
      </c>
      <c r="B113" t="s">
        <v>10</v>
      </c>
      <c r="C113" t="s">
        <v>714</v>
      </c>
      <c r="D113" t="s">
        <v>715</v>
      </c>
      <c r="E113" t="s">
        <v>656</v>
      </c>
      <c r="F113" t="s">
        <v>511</v>
      </c>
      <c r="G113" t="s">
        <v>0</v>
      </c>
      <c r="H113">
        <v>0.66</v>
      </c>
      <c r="I113">
        <v>2.7149999999999999</v>
      </c>
      <c r="J113" t="s">
        <v>6</v>
      </c>
      <c r="K113" t="str">
        <f>IFERROR(IFERROR(IF(K$5='Conceptos Desglosados'!$H$4,VLOOKUP($A113,dormitorios,2,0),IF(K$5='Conceptos Desglosados'!$H$5,VLOOKUP($A113,comedor,2,0),IF(K$5='Conceptos Desglosados'!$H$6,VLOOKUP($A113,alojamiento,2,0),IF(K$5='Conceptos Desglosados'!$H$7,VLOOKUP($A113,sanidad,2,0),IF(K$5='Conceptos Desglosados'!$H$8,VLOOKUP($A113,servicios,2,0),IF(K$5='Conceptos Desglosados'!$H$9,VLOOKUP($A113,comyaloj,2,0),IF(K$5='Conceptos Desglosados'!$H$10,VLOOKUP($A113,comandancia,2,0),IF(K$5='Conceptos Desglosados'!$H$11,VLOOKUP($A113,mantenimiento,2,0),IF(K$5='Conceptos Desglosados'!$H$12,VLOOKUP($A113,serestatal,2,0),IF(K$5='Conceptos Desglosados'!$H$13,VLOOKUP($A113,conferencias,2,0),"")))))))))),"")*K$3,"")</f>
        <v/>
      </c>
      <c r="L113" t="str">
        <f>IFERROR(IFERROR(IF(L$5='Conceptos Desglosados'!$H$4,VLOOKUP($A113,dormitorios,2,0),IF(L$5='Conceptos Desglosados'!$H$5,VLOOKUP($A113,comedor,2,0),IF(L$5='Conceptos Desglosados'!$H$6,VLOOKUP($A113,alojamiento,2,0),IF(L$5='Conceptos Desglosados'!$H$7,VLOOKUP($A113,sanidad,2,0),IF(L$5='Conceptos Desglosados'!$H$8,VLOOKUP($A113,servicios,2,0),IF(L$5='Conceptos Desglosados'!$H$9,VLOOKUP($A113,comyaloj,2,0),IF(L$5='Conceptos Desglosados'!$H$10,VLOOKUP($A113,comandancia,2,0),IF(L$5='Conceptos Desglosados'!$H$11,VLOOKUP($A113,mantenimiento,2,0),IF(L$5='Conceptos Desglosados'!$H$12,VLOOKUP($A113,serestatal,2,0),IF(L$5='Conceptos Desglosados'!$H$13,VLOOKUP($A113,conferencias,2,0),"")))))))))),"")*L$3,"")</f>
        <v/>
      </c>
      <c r="M113" t="str">
        <f>IFERROR(IFERROR(IF(M$5='Conceptos Desglosados'!$H$4,VLOOKUP($A113,dormitorios,2,0),IF(M$5='Conceptos Desglosados'!$H$5,VLOOKUP($A113,comedor,2,0),IF(M$5='Conceptos Desglosados'!$H$6,VLOOKUP($A113,alojamiento,2,0),IF(M$5='Conceptos Desglosados'!$H$7,VLOOKUP($A113,sanidad,2,0),IF(M$5='Conceptos Desglosados'!$H$8,VLOOKUP($A113,servicios,2,0),IF(M$5='Conceptos Desglosados'!$H$9,VLOOKUP($A113,comyaloj,2,0),IF(M$5='Conceptos Desglosados'!$H$10,VLOOKUP($A113,comandancia,2,0),IF(M$5='Conceptos Desglosados'!$H$11,VLOOKUP($A113,mantenimiento,2,0),IF(M$5='Conceptos Desglosados'!$H$12,VLOOKUP($A113,serestatal,2,0),IF(M$5='Conceptos Desglosados'!$H$13,VLOOKUP($A113,conferencias,2,0),"")))))))))),"")*M$3,"")</f>
        <v/>
      </c>
      <c r="O113">
        <f>SUM(K113:M113)</f>
        <v>0</v>
      </c>
    </row>
    <row r="114" spans="1:15" x14ac:dyDescent="0.35">
      <c r="A114">
        <v>109</v>
      </c>
      <c r="B114" t="s">
        <v>10</v>
      </c>
      <c r="C114" t="s">
        <v>718</v>
      </c>
      <c r="D114" t="s">
        <v>719</v>
      </c>
      <c r="E114" t="s">
        <v>656</v>
      </c>
      <c r="F114" t="s">
        <v>511</v>
      </c>
      <c r="G114" t="s">
        <v>0</v>
      </c>
      <c r="H114">
        <v>2.11</v>
      </c>
      <c r="I114">
        <v>2.7149999999999999</v>
      </c>
      <c r="J114" t="s">
        <v>6</v>
      </c>
      <c r="K114" t="str">
        <f>IFERROR(IFERROR(IF(K$5='Conceptos Desglosados'!$H$4,VLOOKUP($A114,dormitorios,2,0),IF(K$5='Conceptos Desglosados'!$H$5,VLOOKUP($A114,comedor,2,0),IF(K$5='Conceptos Desglosados'!$H$6,VLOOKUP($A114,alojamiento,2,0),IF(K$5='Conceptos Desglosados'!$H$7,VLOOKUP($A114,sanidad,2,0),IF(K$5='Conceptos Desglosados'!$H$8,VLOOKUP($A114,servicios,2,0),IF(K$5='Conceptos Desglosados'!$H$9,VLOOKUP($A114,comyaloj,2,0),IF(K$5='Conceptos Desglosados'!$H$10,VLOOKUP($A114,comandancia,2,0),IF(K$5='Conceptos Desglosados'!$H$11,VLOOKUP($A114,mantenimiento,2,0),IF(K$5='Conceptos Desglosados'!$H$12,VLOOKUP($A114,serestatal,2,0),IF(K$5='Conceptos Desglosados'!$H$13,VLOOKUP($A114,conferencias,2,0),"")))))))))),"")*K$3,"")</f>
        <v/>
      </c>
      <c r="L114" t="str">
        <f>IFERROR(IFERROR(IF(L$5='Conceptos Desglosados'!$H$4,VLOOKUP($A114,dormitorios,2,0),IF(L$5='Conceptos Desglosados'!$H$5,VLOOKUP($A114,comedor,2,0),IF(L$5='Conceptos Desglosados'!$H$6,VLOOKUP($A114,alojamiento,2,0),IF(L$5='Conceptos Desglosados'!$H$7,VLOOKUP($A114,sanidad,2,0),IF(L$5='Conceptos Desglosados'!$H$8,VLOOKUP($A114,servicios,2,0),IF(L$5='Conceptos Desglosados'!$H$9,VLOOKUP($A114,comyaloj,2,0),IF(L$5='Conceptos Desglosados'!$H$10,VLOOKUP($A114,comandancia,2,0),IF(L$5='Conceptos Desglosados'!$H$11,VLOOKUP($A114,mantenimiento,2,0),IF(L$5='Conceptos Desglosados'!$H$12,VLOOKUP($A114,serestatal,2,0),IF(L$5='Conceptos Desglosados'!$H$13,VLOOKUP($A114,conferencias,2,0),"")))))))))),"")*L$3,"")</f>
        <v/>
      </c>
      <c r="M114" t="str">
        <f>IFERROR(IFERROR(IF(M$5='Conceptos Desglosados'!$H$4,VLOOKUP($A114,dormitorios,2,0),IF(M$5='Conceptos Desglosados'!$H$5,VLOOKUP($A114,comedor,2,0),IF(M$5='Conceptos Desglosados'!$H$6,VLOOKUP($A114,alojamiento,2,0),IF(M$5='Conceptos Desglosados'!$H$7,VLOOKUP($A114,sanidad,2,0),IF(M$5='Conceptos Desglosados'!$H$8,VLOOKUP($A114,servicios,2,0),IF(M$5='Conceptos Desglosados'!$H$9,VLOOKUP($A114,comyaloj,2,0),IF(M$5='Conceptos Desglosados'!$H$10,VLOOKUP($A114,comandancia,2,0),IF(M$5='Conceptos Desglosados'!$H$11,VLOOKUP($A114,mantenimiento,2,0),IF(M$5='Conceptos Desglosados'!$H$12,VLOOKUP($A114,serestatal,2,0),IF(M$5='Conceptos Desglosados'!$H$13,VLOOKUP($A114,conferencias,2,0),"")))))))))),"")*M$3,"")</f>
        <v/>
      </c>
      <c r="O114">
        <f>SUM(K114:M114)</f>
        <v>0</v>
      </c>
    </row>
    <row r="115" spans="1:15" x14ac:dyDescent="0.35">
      <c r="A115">
        <v>110</v>
      </c>
      <c r="B115" t="s">
        <v>10</v>
      </c>
      <c r="C115" t="s">
        <v>720</v>
      </c>
      <c r="D115" t="s">
        <v>722</v>
      </c>
      <c r="E115" t="s">
        <v>656</v>
      </c>
      <c r="F115" t="s">
        <v>511</v>
      </c>
      <c r="G115" t="s">
        <v>0</v>
      </c>
      <c r="H115">
        <v>1.23</v>
      </c>
      <c r="I115">
        <v>2.7149999999999999</v>
      </c>
      <c r="J115" t="s">
        <v>6</v>
      </c>
      <c r="K115" t="str">
        <f>IFERROR(IFERROR(IF(K$5='Conceptos Desglosados'!$H$4,VLOOKUP($A115,dormitorios,2,0),IF(K$5='Conceptos Desglosados'!$H$5,VLOOKUP($A115,comedor,2,0),IF(K$5='Conceptos Desglosados'!$H$6,VLOOKUP($A115,alojamiento,2,0),IF(K$5='Conceptos Desglosados'!$H$7,VLOOKUP($A115,sanidad,2,0),IF(K$5='Conceptos Desglosados'!$H$8,VLOOKUP($A115,servicios,2,0),IF(K$5='Conceptos Desglosados'!$H$9,VLOOKUP($A115,comyaloj,2,0),IF(K$5='Conceptos Desglosados'!$H$10,VLOOKUP($A115,comandancia,2,0),IF(K$5='Conceptos Desglosados'!$H$11,VLOOKUP($A115,mantenimiento,2,0),IF(K$5='Conceptos Desglosados'!$H$12,VLOOKUP($A115,serestatal,2,0),IF(K$5='Conceptos Desglosados'!$H$13,VLOOKUP($A115,conferencias,2,0),"")))))))))),"")*K$3,"")</f>
        <v/>
      </c>
      <c r="L115" t="str">
        <f>IFERROR(IFERROR(IF(L$5='Conceptos Desglosados'!$H$4,VLOOKUP($A115,dormitorios,2,0),IF(L$5='Conceptos Desglosados'!$H$5,VLOOKUP($A115,comedor,2,0),IF(L$5='Conceptos Desglosados'!$H$6,VLOOKUP($A115,alojamiento,2,0),IF(L$5='Conceptos Desglosados'!$H$7,VLOOKUP($A115,sanidad,2,0),IF(L$5='Conceptos Desglosados'!$H$8,VLOOKUP($A115,servicios,2,0),IF(L$5='Conceptos Desglosados'!$H$9,VLOOKUP($A115,comyaloj,2,0),IF(L$5='Conceptos Desglosados'!$H$10,VLOOKUP($A115,comandancia,2,0),IF(L$5='Conceptos Desglosados'!$H$11,VLOOKUP($A115,mantenimiento,2,0),IF(L$5='Conceptos Desglosados'!$H$12,VLOOKUP($A115,serestatal,2,0),IF(L$5='Conceptos Desglosados'!$H$13,VLOOKUP($A115,conferencias,2,0),"")))))))))),"")*L$3,"")</f>
        <v/>
      </c>
      <c r="M115" t="str">
        <f>IFERROR(IFERROR(IF(M$5='Conceptos Desglosados'!$H$4,VLOOKUP($A115,dormitorios,2,0),IF(M$5='Conceptos Desglosados'!$H$5,VLOOKUP($A115,comedor,2,0),IF(M$5='Conceptos Desglosados'!$H$6,VLOOKUP($A115,alojamiento,2,0),IF(M$5='Conceptos Desglosados'!$H$7,VLOOKUP($A115,sanidad,2,0),IF(M$5='Conceptos Desglosados'!$H$8,VLOOKUP($A115,servicios,2,0),IF(M$5='Conceptos Desglosados'!$H$9,VLOOKUP($A115,comyaloj,2,0),IF(M$5='Conceptos Desglosados'!$H$10,VLOOKUP($A115,comandancia,2,0),IF(M$5='Conceptos Desglosados'!$H$11,VLOOKUP($A115,mantenimiento,2,0),IF(M$5='Conceptos Desglosados'!$H$12,VLOOKUP($A115,serestatal,2,0),IF(M$5='Conceptos Desglosados'!$H$13,VLOOKUP($A115,conferencias,2,0),"")))))))))),"")*M$3,"")</f>
        <v/>
      </c>
      <c r="O115">
        <f>SUM(K115:M115)</f>
        <v>0</v>
      </c>
    </row>
    <row r="116" spans="1:15" x14ac:dyDescent="0.35">
      <c r="A116">
        <v>111</v>
      </c>
      <c r="B116" t="s">
        <v>10</v>
      </c>
      <c r="C116" t="s">
        <v>721</v>
      </c>
      <c r="D116" t="s">
        <v>723</v>
      </c>
      <c r="E116" t="s">
        <v>656</v>
      </c>
      <c r="F116" t="s">
        <v>667</v>
      </c>
      <c r="G116" t="s">
        <v>2</v>
      </c>
      <c r="H116">
        <v>1.81</v>
      </c>
      <c r="I116">
        <v>2.7149999999999999</v>
      </c>
      <c r="J116" t="s">
        <v>6</v>
      </c>
      <c r="K116" t="str">
        <f>IFERROR(IFERROR(IF(K$5='Conceptos Desglosados'!$H$4,VLOOKUP($A116,dormitorios,2,0),IF(K$5='Conceptos Desglosados'!$H$5,VLOOKUP($A116,comedor,2,0),IF(K$5='Conceptos Desglosados'!$H$6,VLOOKUP($A116,alojamiento,2,0),IF(K$5='Conceptos Desglosados'!$H$7,VLOOKUP($A116,sanidad,2,0),IF(K$5='Conceptos Desglosados'!$H$8,VLOOKUP($A116,servicios,2,0),IF(K$5='Conceptos Desglosados'!$H$9,VLOOKUP($A116,comyaloj,2,0),IF(K$5='Conceptos Desglosados'!$H$10,VLOOKUP($A116,comandancia,2,0),IF(K$5='Conceptos Desglosados'!$H$11,VLOOKUP($A116,mantenimiento,2,0),IF(K$5='Conceptos Desglosados'!$H$12,VLOOKUP($A116,serestatal,2,0),IF(K$5='Conceptos Desglosados'!$H$13,VLOOKUP($A116,conferencias,2,0),"")))))))))),"")*K$3,"")</f>
        <v/>
      </c>
      <c r="L116" t="str">
        <f>IFERROR(IFERROR(IF(L$5='Conceptos Desglosados'!$H$4,VLOOKUP($A116,dormitorios,2,0),IF(L$5='Conceptos Desglosados'!$H$5,VLOOKUP($A116,comedor,2,0),IF(L$5='Conceptos Desglosados'!$H$6,VLOOKUP($A116,alojamiento,2,0),IF(L$5='Conceptos Desglosados'!$H$7,VLOOKUP($A116,sanidad,2,0),IF(L$5='Conceptos Desglosados'!$H$8,VLOOKUP($A116,servicios,2,0),IF(L$5='Conceptos Desglosados'!$H$9,VLOOKUP($A116,comyaloj,2,0),IF(L$5='Conceptos Desglosados'!$H$10,VLOOKUP($A116,comandancia,2,0),IF(L$5='Conceptos Desglosados'!$H$11,VLOOKUP($A116,mantenimiento,2,0),IF(L$5='Conceptos Desglosados'!$H$12,VLOOKUP($A116,serestatal,2,0),IF(L$5='Conceptos Desglosados'!$H$13,VLOOKUP($A116,conferencias,2,0),"")))))))))),"")*L$3,"")</f>
        <v/>
      </c>
      <c r="M116" t="str">
        <f>IFERROR(IFERROR(IF(M$5='Conceptos Desglosados'!$H$4,VLOOKUP($A116,dormitorios,2,0),IF(M$5='Conceptos Desglosados'!$H$5,VLOOKUP($A116,comedor,2,0),IF(M$5='Conceptos Desglosados'!$H$6,VLOOKUP($A116,alojamiento,2,0),IF(M$5='Conceptos Desglosados'!$H$7,VLOOKUP($A116,sanidad,2,0),IF(M$5='Conceptos Desglosados'!$H$8,VLOOKUP($A116,servicios,2,0),IF(M$5='Conceptos Desglosados'!$H$9,VLOOKUP($A116,comyaloj,2,0),IF(M$5='Conceptos Desglosados'!$H$10,VLOOKUP($A116,comandancia,2,0),IF(M$5='Conceptos Desglosados'!$H$11,VLOOKUP($A116,mantenimiento,2,0),IF(M$5='Conceptos Desglosados'!$H$12,VLOOKUP($A116,serestatal,2,0),IF(M$5='Conceptos Desglosados'!$H$13,VLOOKUP($A116,conferencias,2,0),"")))))))))),"")*M$3,"")</f>
        <v/>
      </c>
      <c r="O116">
        <f>SUM(K116:M116)</f>
        <v>0</v>
      </c>
    </row>
    <row r="117" spans="1:15" x14ac:dyDescent="0.35">
      <c r="A117">
        <v>112</v>
      </c>
      <c r="B117" t="s">
        <v>10</v>
      </c>
      <c r="C117" t="s">
        <v>724</v>
      </c>
      <c r="D117" t="s">
        <v>725</v>
      </c>
      <c r="E117" t="s">
        <v>656</v>
      </c>
      <c r="F117" t="s">
        <v>667</v>
      </c>
      <c r="G117" t="s">
        <v>0</v>
      </c>
      <c r="H117">
        <v>1.1200000000000001</v>
      </c>
      <c r="I117">
        <v>2.7149999999999999</v>
      </c>
      <c r="J117" t="s">
        <v>6</v>
      </c>
      <c r="K117" t="str">
        <f>IFERROR(IFERROR(IF(K$5='Conceptos Desglosados'!$H$4,VLOOKUP($A117,dormitorios,2,0),IF(K$5='Conceptos Desglosados'!$H$5,VLOOKUP($A117,comedor,2,0),IF(K$5='Conceptos Desglosados'!$H$6,VLOOKUP($A117,alojamiento,2,0),IF(K$5='Conceptos Desglosados'!$H$7,VLOOKUP($A117,sanidad,2,0),IF(K$5='Conceptos Desglosados'!$H$8,VLOOKUP($A117,servicios,2,0),IF(K$5='Conceptos Desglosados'!$H$9,VLOOKUP($A117,comyaloj,2,0),IF(K$5='Conceptos Desglosados'!$H$10,VLOOKUP($A117,comandancia,2,0),IF(K$5='Conceptos Desglosados'!$H$11,VLOOKUP($A117,mantenimiento,2,0),IF(K$5='Conceptos Desglosados'!$H$12,VLOOKUP($A117,serestatal,2,0),IF(K$5='Conceptos Desglosados'!$H$13,VLOOKUP($A117,conferencias,2,0),"")))))))))),"")*K$3,"")</f>
        <v/>
      </c>
      <c r="L117" t="str">
        <f>IFERROR(IFERROR(IF(L$5='Conceptos Desglosados'!$H$4,VLOOKUP($A117,dormitorios,2,0),IF(L$5='Conceptos Desglosados'!$H$5,VLOOKUP($A117,comedor,2,0),IF(L$5='Conceptos Desglosados'!$H$6,VLOOKUP($A117,alojamiento,2,0),IF(L$5='Conceptos Desglosados'!$H$7,VLOOKUP($A117,sanidad,2,0),IF(L$5='Conceptos Desglosados'!$H$8,VLOOKUP($A117,servicios,2,0),IF(L$5='Conceptos Desglosados'!$H$9,VLOOKUP($A117,comyaloj,2,0),IF(L$5='Conceptos Desglosados'!$H$10,VLOOKUP($A117,comandancia,2,0),IF(L$5='Conceptos Desglosados'!$H$11,VLOOKUP($A117,mantenimiento,2,0),IF(L$5='Conceptos Desglosados'!$H$12,VLOOKUP($A117,serestatal,2,0),IF(L$5='Conceptos Desglosados'!$H$13,VLOOKUP($A117,conferencias,2,0),"")))))))))),"")*L$3,"")</f>
        <v/>
      </c>
      <c r="M117" t="str">
        <f>IFERROR(IFERROR(IF(M$5='Conceptos Desglosados'!$H$4,VLOOKUP($A117,dormitorios,2,0),IF(M$5='Conceptos Desglosados'!$H$5,VLOOKUP($A117,comedor,2,0),IF(M$5='Conceptos Desglosados'!$H$6,VLOOKUP($A117,alojamiento,2,0),IF(M$5='Conceptos Desglosados'!$H$7,VLOOKUP($A117,sanidad,2,0),IF(M$5='Conceptos Desglosados'!$H$8,VLOOKUP($A117,servicios,2,0),IF(M$5='Conceptos Desglosados'!$H$9,VLOOKUP($A117,comyaloj,2,0),IF(M$5='Conceptos Desglosados'!$H$10,VLOOKUP($A117,comandancia,2,0),IF(M$5='Conceptos Desglosados'!$H$11,VLOOKUP($A117,mantenimiento,2,0),IF(M$5='Conceptos Desglosados'!$H$12,VLOOKUP($A117,serestatal,2,0),IF(M$5='Conceptos Desglosados'!$H$13,VLOOKUP($A117,conferencias,2,0),"")))))))))),"")*M$3,"")</f>
        <v/>
      </c>
      <c r="O117">
        <f>SUM(K117:M117)</f>
        <v>0</v>
      </c>
    </row>
    <row r="118" spans="1:15" x14ac:dyDescent="0.35">
      <c r="A118">
        <v>113</v>
      </c>
      <c r="B118" t="s">
        <v>10</v>
      </c>
      <c r="C118" t="s">
        <v>726</v>
      </c>
      <c r="D118" t="s">
        <v>727</v>
      </c>
      <c r="E118" t="s">
        <v>656</v>
      </c>
      <c r="F118" t="s">
        <v>511</v>
      </c>
      <c r="G118" t="s">
        <v>0</v>
      </c>
      <c r="H118">
        <v>0.91</v>
      </c>
      <c r="I118">
        <v>2.7149999999999999</v>
      </c>
      <c r="J118" t="s">
        <v>6</v>
      </c>
      <c r="K118" t="str">
        <f>IFERROR(IFERROR(IF(K$5='Conceptos Desglosados'!$H$4,VLOOKUP($A118,dormitorios,2,0),IF(K$5='Conceptos Desglosados'!$H$5,VLOOKUP($A118,comedor,2,0),IF(K$5='Conceptos Desglosados'!$H$6,VLOOKUP($A118,alojamiento,2,0),IF(K$5='Conceptos Desglosados'!$H$7,VLOOKUP($A118,sanidad,2,0),IF(K$5='Conceptos Desglosados'!$H$8,VLOOKUP($A118,servicios,2,0),IF(K$5='Conceptos Desglosados'!$H$9,VLOOKUP($A118,comyaloj,2,0),IF(K$5='Conceptos Desglosados'!$H$10,VLOOKUP($A118,comandancia,2,0),IF(K$5='Conceptos Desglosados'!$H$11,VLOOKUP($A118,mantenimiento,2,0),IF(K$5='Conceptos Desglosados'!$H$12,VLOOKUP($A118,serestatal,2,0),IF(K$5='Conceptos Desglosados'!$H$13,VLOOKUP($A118,conferencias,2,0),"")))))))))),"")*K$3,"")</f>
        <v/>
      </c>
      <c r="L118" t="str">
        <f>IFERROR(IFERROR(IF(L$5='Conceptos Desglosados'!$H$4,VLOOKUP($A118,dormitorios,2,0),IF(L$5='Conceptos Desglosados'!$H$5,VLOOKUP($A118,comedor,2,0),IF(L$5='Conceptos Desglosados'!$H$6,VLOOKUP($A118,alojamiento,2,0),IF(L$5='Conceptos Desglosados'!$H$7,VLOOKUP($A118,sanidad,2,0),IF(L$5='Conceptos Desglosados'!$H$8,VLOOKUP($A118,servicios,2,0),IF(L$5='Conceptos Desglosados'!$H$9,VLOOKUP($A118,comyaloj,2,0),IF(L$5='Conceptos Desglosados'!$H$10,VLOOKUP($A118,comandancia,2,0),IF(L$5='Conceptos Desglosados'!$H$11,VLOOKUP($A118,mantenimiento,2,0),IF(L$5='Conceptos Desglosados'!$H$12,VLOOKUP($A118,serestatal,2,0),IF(L$5='Conceptos Desglosados'!$H$13,VLOOKUP($A118,conferencias,2,0),"")))))))))),"")*L$3,"")</f>
        <v/>
      </c>
      <c r="M118" t="str">
        <f>IFERROR(IFERROR(IF(M$5='Conceptos Desglosados'!$H$4,VLOOKUP($A118,dormitorios,2,0),IF(M$5='Conceptos Desglosados'!$H$5,VLOOKUP($A118,comedor,2,0),IF(M$5='Conceptos Desglosados'!$H$6,VLOOKUP($A118,alojamiento,2,0),IF(M$5='Conceptos Desglosados'!$H$7,VLOOKUP($A118,sanidad,2,0),IF(M$5='Conceptos Desglosados'!$H$8,VLOOKUP($A118,servicios,2,0),IF(M$5='Conceptos Desglosados'!$H$9,VLOOKUP($A118,comyaloj,2,0),IF(M$5='Conceptos Desglosados'!$H$10,VLOOKUP($A118,comandancia,2,0),IF(M$5='Conceptos Desglosados'!$H$11,VLOOKUP($A118,mantenimiento,2,0),IF(M$5='Conceptos Desglosados'!$H$12,VLOOKUP($A118,serestatal,2,0),IF(M$5='Conceptos Desglosados'!$H$13,VLOOKUP($A118,conferencias,2,0),"")))))))))),"")*M$3,"")</f>
        <v/>
      </c>
      <c r="O118">
        <f>SUM(K118:M118)</f>
        <v>0</v>
      </c>
    </row>
    <row r="119" spans="1:15" x14ac:dyDescent="0.35">
      <c r="A119">
        <v>114</v>
      </c>
      <c r="B119" t="s">
        <v>10</v>
      </c>
      <c r="C119" t="s">
        <v>728</v>
      </c>
      <c r="D119" t="s">
        <v>729</v>
      </c>
      <c r="E119" t="s">
        <v>656</v>
      </c>
      <c r="F119" t="s">
        <v>667</v>
      </c>
      <c r="G119" t="s">
        <v>0</v>
      </c>
      <c r="H119">
        <v>0.6</v>
      </c>
      <c r="I119">
        <v>2.7149999999999999</v>
      </c>
      <c r="J119" t="s">
        <v>6</v>
      </c>
      <c r="K119" t="str">
        <f>IFERROR(IFERROR(IF(K$5='Conceptos Desglosados'!$H$4,VLOOKUP($A119,dormitorios,2,0),IF(K$5='Conceptos Desglosados'!$H$5,VLOOKUP($A119,comedor,2,0),IF(K$5='Conceptos Desglosados'!$H$6,VLOOKUP($A119,alojamiento,2,0),IF(K$5='Conceptos Desglosados'!$H$7,VLOOKUP($A119,sanidad,2,0),IF(K$5='Conceptos Desglosados'!$H$8,VLOOKUP($A119,servicios,2,0),IF(K$5='Conceptos Desglosados'!$H$9,VLOOKUP($A119,comyaloj,2,0),IF(K$5='Conceptos Desglosados'!$H$10,VLOOKUP($A119,comandancia,2,0),IF(K$5='Conceptos Desglosados'!$H$11,VLOOKUP($A119,mantenimiento,2,0),IF(K$5='Conceptos Desglosados'!$H$12,VLOOKUP($A119,serestatal,2,0),IF(K$5='Conceptos Desglosados'!$H$13,VLOOKUP($A119,conferencias,2,0),"")))))))))),"")*K$3,"")</f>
        <v/>
      </c>
      <c r="L119" t="str">
        <f>IFERROR(IFERROR(IF(L$5='Conceptos Desglosados'!$H$4,VLOOKUP($A119,dormitorios,2,0),IF(L$5='Conceptos Desglosados'!$H$5,VLOOKUP($A119,comedor,2,0),IF(L$5='Conceptos Desglosados'!$H$6,VLOOKUP($A119,alojamiento,2,0),IF(L$5='Conceptos Desglosados'!$H$7,VLOOKUP($A119,sanidad,2,0),IF(L$5='Conceptos Desglosados'!$H$8,VLOOKUP($A119,servicios,2,0),IF(L$5='Conceptos Desglosados'!$H$9,VLOOKUP($A119,comyaloj,2,0),IF(L$5='Conceptos Desglosados'!$H$10,VLOOKUP($A119,comandancia,2,0),IF(L$5='Conceptos Desglosados'!$H$11,VLOOKUP($A119,mantenimiento,2,0),IF(L$5='Conceptos Desglosados'!$H$12,VLOOKUP($A119,serestatal,2,0),IF(L$5='Conceptos Desglosados'!$H$13,VLOOKUP($A119,conferencias,2,0),"")))))))))),"")*L$3,"")</f>
        <v/>
      </c>
      <c r="M119" t="str">
        <f>IFERROR(IFERROR(IF(M$5='Conceptos Desglosados'!$H$4,VLOOKUP($A119,dormitorios,2,0),IF(M$5='Conceptos Desglosados'!$H$5,VLOOKUP($A119,comedor,2,0),IF(M$5='Conceptos Desglosados'!$H$6,VLOOKUP($A119,alojamiento,2,0),IF(M$5='Conceptos Desglosados'!$H$7,VLOOKUP($A119,sanidad,2,0),IF(M$5='Conceptos Desglosados'!$H$8,VLOOKUP($A119,servicios,2,0),IF(M$5='Conceptos Desglosados'!$H$9,VLOOKUP($A119,comyaloj,2,0),IF(M$5='Conceptos Desglosados'!$H$10,VLOOKUP($A119,comandancia,2,0),IF(M$5='Conceptos Desglosados'!$H$11,VLOOKUP($A119,mantenimiento,2,0),IF(M$5='Conceptos Desglosados'!$H$12,VLOOKUP($A119,serestatal,2,0),IF(M$5='Conceptos Desglosados'!$H$13,VLOOKUP($A119,conferencias,2,0),"")))))))))),"")*M$3,"")</f>
        <v/>
      </c>
      <c r="O119">
        <f>SUM(K119:M119)</f>
        <v>0</v>
      </c>
    </row>
    <row r="120" spans="1:15" x14ac:dyDescent="0.35">
      <c r="A120">
        <v>115</v>
      </c>
      <c r="B120" t="s">
        <v>10</v>
      </c>
      <c r="C120" t="s">
        <v>730</v>
      </c>
      <c r="D120" t="s">
        <v>731</v>
      </c>
      <c r="E120" t="s">
        <v>656</v>
      </c>
      <c r="F120" t="s">
        <v>511</v>
      </c>
      <c r="G120" t="s">
        <v>0</v>
      </c>
      <c r="H120">
        <v>2.09</v>
      </c>
      <c r="I120">
        <v>2.7149999999999999</v>
      </c>
      <c r="J120" t="s">
        <v>6</v>
      </c>
      <c r="K120" t="str">
        <f>IFERROR(IFERROR(IF(K$5='Conceptos Desglosados'!$H$4,VLOOKUP($A120,dormitorios,2,0),IF(K$5='Conceptos Desglosados'!$H$5,VLOOKUP($A120,comedor,2,0),IF(K$5='Conceptos Desglosados'!$H$6,VLOOKUP($A120,alojamiento,2,0),IF(K$5='Conceptos Desglosados'!$H$7,VLOOKUP($A120,sanidad,2,0),IF(K$5='Conceptos Desglosados'!$H$8,VLOOKUP($A120,servicios,2,0),IF(K$5='Conceptos Desglosados'!$H$9,VLOOKUP($A120,comyaloj,2,0),IF(K$5='Conceptos Desglosados'!$H$10,VLOOKUP($A120,comandancia,2,0),IF(K$5='Conceptos Desglosados'!$H$11,VLOOKUP($A120,mantenimiento,2,0),IF(K$5='Conceptos Desglosados'!$H$12,VLOOKUP($A120,serestatal,2,0),IF(K$5='Conceptos Desglosados'!$H$13,VLOOKUP($A120,conferencias,2,0),"")))))))))),"")*K$3,"")</f>
        <v/>
      </c>
      <c r="L120" t="str">
        <f>IFERROR(IFERROR(IF(L$5='Conceptos Desglosados'!$H$4,VLOOKUP($A120,dormitorios,2,0),IF(L$5='Conceptos Desglosados'!$H$5,VLOOKUP($A120,comedor,2,0),IF(L$5='Conceptos Desglosados'!$H$6,VLOOKUP($A120,alojamiento,2,0),IF(L$5='Conceptos Desglosados'!$H$7,VLOOKUP($A120,sanidad,2,0),IF(L$5='Conceptos Desglosados'!$H$8,VLOOKUP($A120,servicios,2,0),IF(L$5='Conceptos Desglosados'!$H$9,VLOOKUP($A120,comyaloj,2,0),IF(L$5='Conceptos Desglosados'!$H$10,VLOOKUP($A120,comandancia,2,0),IF(L$5='Conceptos Desglosados'!$H$11,VLOOKUP($A120,mantenimiento,2,0),IF(L$5='Conceptos Desglosados'!$H$12,VLOOKUP($A120,serestatal,2,0),IF(L$5='Conceptos Desglosados'!$H$13,VLOOKUP($A120,conferencias,2,0),"")))))))))),"")*L$3,"")</f>
        <v/>
      </c>
      <c r="M120">
        <f>IFERROR(IFERROR(IF(M$5='Conceptos Desglosados'!$H$4,VLOOKUP($A120,dormitorios,2,0),IF(M$5='Conceptos Desglosados'!$H$5,VLOOKUP($A120,comedor,2,0),IF(M$5='Conceptos Desglosados'!$H$6,VLOOKUP($A120,alojamiento,2,0),IF(M$5='Conceptos Desglosados'!$H$7,VLOOKUP($A120,sanidad,2,0),IF(M$5='Conceptos Desglosados'!$H$8,VLOOKUP($A120,servicios,2,0),IF(M$5='Conceptos Desglosados'!$H$9,VLOOKUP($A120,comyaloj,2,0),IF(M$5='Conceptos Desglosados'!$H$10,VLOOKUP($A120,comandancia,2,0),IF(M$5='Conceptos Desglosados'!$H$11,VLOOKUP($A120,mantenimiento,2,0),IF(M$5='Conceptos Desglosados'!$H$12,VLOOKUP($A120,serestatal,2,0),IF(M$5='Conceptos Desglosados'!$H$13,VLOOKUP($A120,conferencias,2,0),"")))))))))),"")*M$3,"")</f>
        <v>4</v>
      </c>
      <c r="O120">
        <f>SUM(K120:M120)</f>
        <v>4</v>
      </c>
    </row>
    <row r="121" spans="1:15" x14ac:dyDescent="0.35">
      <c r="A121">
        <v>116</v>
      </c>
      <c r="B121" t="s">
        <v>10</v>
      </c>
      <c r="C121" t="s">
        <v>732</v>
      </c>
      <c r="D121" t="s">
        <v>733</v>
      </c>
      <c r="E121" t="s">
        <v>656</v>
      </c>
      <c r="F121" t="s">
        <v>511</v>
      </c>
      <c r="G121" t="s">
        <v>2</v>
      </c>
      <c r="H121">
        <v>1.06</v>
      </c>
      <c r="I121">
        <v>2.7149999999999999</v>
      </c>
      <c r="J121" t="s">
        <v>6</v>
      </c>
      <c r="K121" t="str">
        <f>IFERROR(IFERROR(IF(K$5='Conceptos Desglosados'!$H$4,VLOOKUP($A121,dormitorios,2,0),IF(K$5='Conceptos Desglosados'!$H$5,VLOOKUP($A121,comedor,2,0),IF(K$5='Conceptos Desglosados'!$H$6,VLOOKUP($A121,alojamiento,2,0),IF(K$5='Conceptos Desglosados'!$H$7,VLOOKUP($A121,sanidad,2,0),IF(K$5='Conceptos Desglosados'!$H$8,VLOOKUP($A121,servicios,2,0),IF(K$5='Conceptos Desglosados'!$H$9,VLOOKUP($A121,comyaloj,2,0),IF(K$5='Conceptos Desglosados'!$H$10,VLOOKUP($A121,comandancia,2,0),IF(K$5='Conceptos Desglosados'!$H$11,VLOOKUP($A121,mantenimiento,2,0),IF(K$5='Conceptos Desglosados'!$H$12,VLOOKUP($A121,serestatal,2,0),IF(K$5='Conceptos Desglosados'!$H$13,VLOOKUP($A121,conferencias,2,0),"")))))))))),"")*K$3,"")</f>
        <v/>
      </c>
      <c r="L121">
        <f>IFERROR(IFERROR(IF(L$5='Conceptos Desglosados'!$H$4,VLOOKUP($A121,dormitorios,2,0),IF(L$5='Conceptos Desglosados'!$H$5,VLOOKUP($A121,comedor,2,0),IF(L$5='Conceptos Desglosados'!$H$6,VLOOKUP($A121,alojamiento,2,0),IF(L$5='Conceptos Desglosados'!$H$7,VLOOKUP($A121,sanidad,2,0),IF(L$5='Conceptos Desglosados'!$H$8,VLOOKUP($A121,servicios,2,0),IF(L$5='Conceptos Desglosados'!$H$9,VLOOKUP($A121,comyaloj,2,0),IF(L$5='Conceptos Desglosados'!$H$10,VLOOKUP($A121,comandancia,2,0),IF(L$5='Conceptos Desglosados'!$H$11,VLOOKUP($A121,mantenimiento,2,0),IF(L$5='Conceptos Desglosados'!$H$12,VLOOKUP($A121,serestatal,2,0),IF(L$5='Conceptos Desglosados'!$H$13,VLOOKUP($A121,conferencias,2,0),"")))))))))),"")*L$3,"")</f>
        <v>1</v>
      </c>
      <c r="M121" t="str">
        <f>IFERROR(IFERROR(IF(M$5='Conceptos Desglosados'!$H$4,VLOOKUP($A121,dormitorios,2,0),IF(M$5='Conceptos Desglosados'!$H$5,VLOOKUP($A121,comedor,2,0),IF(M$5='Conceptos Desglosados'!$H$6,VLOOKUP($A121,alojamiento,2,0),IF(M$5='Conceptos Desglosados'!$H$7,VLOOKUP($A121,sanidad,2,0),IF(M$5='Conceptos Desglosados'!$H$8,VLOOKUP($A121,servicios,2,0),IF(M$5='Conceptos Desglosados'!$H$9,VLOOKUP($A121,comyaloj,2,0),IF(M$5='Conceptos Desglosados'!$H$10,VLOOKUP($A121,comandancia,2,0),IF(M$5='Conceptos Desglosados'!$H$11,VLOOKUP($A121,mantenimiento,2,0),IF(M$5='Conceptos Desglosados'!$H$12,VLOOKUP($A121,serestatal,2,0),IF(M$5='Conceptos Desglosados'!$H$13,VLOOKUP($A121,conferencias,2,0),"")))))))))),"")*M$3,"")</f>
        <v/>
      </c>
      <c r="O121">
        <f>SUM(K121:M121)</f>
        <v>1</v>
      </c>
    </row>
    <row r="122" spans="1:15" x14ac:dyDescent="0.35">
      <c r="A122">
        <v>117</v>
      </c>
      <c r="B122" t="s">
        <v>10</v>
      </c>
      <c r="C122" t="s">
        <v>736</v>
      </c>
      <c r="D122" t="s">
        <v>737</v>
      </c>
      <c r="E122" t="s">
        <v>656</v>
      </c>
      <c r="F122" t="s">
        <v>511</v>
      </c>
      <c r="G122" t="s">
        <v>0</v>
      </c>
      <c r="H122">
        <v>1.06</v>
      </c>
      <c r="I122">
        <v>2.7149999999999999</v>
      </c>
      <c r="J122" t="s">
        <v>6</v>
      </c>
      <c r="K122" t="str">
        <f>IFERROR(IFERROR(IF(K$5='Conceptos Desglosados'!$H$4,VLOOKUP($A122,dormitorios,2,0),IF(K$5='Conceptos Desglosados'!$H$5,VLOOKUP($A122,comedor,2,0),IF(K$5='Conceptos Desglosados'!$H$6,VLOOKUP($A122,alojamiento,2,0),IF(K$5='Conceptos Desglosados'!$H$7,VLOOKUP($A122,sanidad,2,0),IF(K$5='Conceptos Desglosados'!$H$8,VLOOKUP($A122,servicios,2,0),IF(K$5='Conceptos Desglosados'!$H$9,VLOOKUP($A122,comyaloj,2,0),IF(K$5='Conceptos Desglosados'!$H$10,VLOOKUP($A122,comandancia,2,0),IF(K$5='Conceptos Desglosados'!$H$11,VLOOKUP($A122,mantenimiento,2,0),IF(K$5='Conceptos Desglosados'!$H$12,VLOOKUP($A122,serestatal,2,0),IF(K$5='Conceptos Desglosados'!$H$13,VLOOKUP($A122,conferencias,2,0),"")))))))))),"")*K$3,"")</f>
        <v/>
      </c>
      <c r="L122" t="str">
        <f>IFERROR(IFERROR(IF(L$5='Conceptos Desglosados'!$H$4,VLOOKUP($A122,dormitorios,2,0),IF(L$5='Conceptos Desglosados'!$H$5,VLOOKUP($A122,comedor,2,0),IF(L$5='Conceptos Desglosados'!$H$6,VLOOKUP($A122,alojamiento,2,0),IF(L$5='Conceptos Desglosados'!$H$7,VLOOKUP($A122,sanidad,2,0),IF(L$5='Conceptos Desglosados'!$H$8,VLOOKUP($A122,servicios,2,0),IF(L$5='Conceptos Desglosados'!$H$9,VLOOKUP($A122,comyaloj,2,0),IF(L$5='Conceptos Desglosados'!$H$10,VLOOKUP($A122,comandancia,2,0),IF(L$5='Conceptos Desglosados'!$H$11,VLOOKUP($A122,mantenimiento,2,0),IF(L$5='Conceptos Desglosados'!$H$12,VLOOKUP($A122,serestatal,2,0),IF(L$5='Conceptos Desglosados'!$H$13,VLOOKUP($A122,conferencias,2,0),"")))))))))),"")*L$3,"")</f>
        <v/>
      </c>
      <c r="M122" t="str">
        <f>IFERROR(IFERROR(IF(M$5='Conceptos Desglosados'!$H$4,VLOOKUP($A122,dormitorios,2,0),IF(M$5='Conceptos Desglosados'!$H$5,VLOOKUP($A122,comedor,2,0),IF(M$5='Conceptos Desglosados'!$H$6,VLOOKUP($A122,alojamiento,2,0),IF(M$5='Conceptos Desglosados'!$H$7,VLOOKUP($A122,sanidad,2,0),IF(M$5='Conceptos Desglosados'!$H$8,VLOOKUP($A122,servicios,2,0),IF(M$5='Conceptos Desglosados'!$H$9,VLOOKUP($A122,comyaloj,2,0),IF(M$5='Conceptos Desglosados'!$H$10,VLOOKUP($A122,comandancia,2,0),IF(M$5='Conceptos Desglosados'!$H$11,VLOOKUP($A122,mantenimiento,2,0),IF(M$5='Conceptos Desglosados'!$H$12,VLOOKUP($A122,serestatal,2,0),IF(M$5='Conceptos Desglosados'!$H$13,VLOOKUP($A122,conferencias,2,0),"")))))))))),"")*M$3,"")</f>
        <v/>
      </c>
      <c r="O122">
        <f>SUM(K122:M122)</f>
        <v>0</v>
      </c>
    </row>
    <row r="123" spans="1:15" x14ac:dyDescent="0.35">
      <c r="A123">
        <v>118</v>
      </c>
      <c r="B123" t="s">
        <v>10</v>
      </c>
      <c r="C123" t="s">
        <v>738</v>
      </c>
      <c r="D123" t="s">
        <v>739</v>
      </c>
      <c r="E123" t="s">
        <v>656</v>
      </c>
      <c r="F123" t="s">
        <v>511</v>
      </c>
      <c r="G123" t="s">
        <v>2</v>
      </c>
      <c r="H123">
        <v>2.12</v>
      </c>
      <c r="I123">
        <v>2.7149999999999999</v>
      </c>
      <c r="J123" t="s">
        <v>6</v>
      </c>
      <c r="K123" t="str">
        <f>IFERROR(IFERROR(IF(K$5='Conceptos Desglosados'!$H$4,VLOOKUP($A123,dormitorios,2,0),IF(K$5='Conceptos Desglosados'!$H$5,VLOOKUP($A123,comedor,2,0),IF(K$5='Conceptos Desglosados'!$H$6,VLOOKUP($A123,alojamiento,2,0),IF(K$5='Conceptos Desglosados'!$H$7,VLOOKUP($A123,sanidad,2,0),IF(K$5='Conceptos Desglosados'!$H$8,VLOOKUP($A123,servicios,2,0),IF(K$5='Conceptos Desglosados'!$H$9,VLOOKUP($A123,comyaloj,2,0),IF(K$5='Conceptos Desglosados'!$H$10,VLOOKUP($A123,comandancia,2,0),IF(K$5='Conceptos Desglosados'!$H$11,VLOOKUP($A123,mantenimiento,2,0),IF(K$5='Conceptos Desglosados'!$H$12,VLOOKUP($A123,serestatal,2,0),IF(K$5='Conceptos Desglosados'!$H$13,VLOOKUP($A123,conferencias,2,0),"")))))))))),"")*K$3,"")</f>
        <v/>
      </c>
      <c r="L123" t="str">
        <f>IFERROR(IFERROR(IF(L$5='Conceptos Desglosados'!$H$4,VLOOKUP($A123,dormitorios,2,0),IF(L$5='Conceptos Desglosados'!$H$5,VLOOKUP($A123,comedor,2,0),IF(L$5='Conceptos Desglosados'!$H$6,VLOOKUP($A123,alojamiento,2,0),IF(L$5='Conceptos Desglosados'!$H$7,VLOOKUP($A123,sanidad,2,0),IF(L$5='Conceptos Desglosados'!$H$8,VLOOKUP($A123,servicios,2,0),IF(L$5='Conceptos Desglosados'!$H$9,VLOOKUP($A123,comyaloj,2,0),IF(L$5='Conceptos Desglosados'!$H$10,VLOOKUP($A123,comandancia,2,0),IF(L$5='Conceptos Desglosados'!$H$11,VLOOKUP($A123,mantenimiento,2,0),IF(L$5='Conceptos Desglosados'!$H$12,VLOOKUP($A123,serestatal,2,0),IF(L$5='Conceptos Desglosados'!$H$13,VLOOKUP($A123,conferencias,2,0),"")))))))))),"")*L$3,"")</f>
        <v/>
      </c>
      <c r="M123" t="str">
        <f>IFERROR(IFERROR(IF(M$5='Conceptos Desglosados'!$H$4,VLOOKUP($A123,dormitorios,2,0),IF(M$5='Conceptos Desglosados'!$H$5,VLOOKUP($A123,comedor,2,0),IF(M$5='Conceptos Desglosados'!$H$6,VLOOKUP($A123,alojamiento,2,0),IF(M$5='Conceptos Desglosados'!$H$7,VLOOKUP($A123,sanidad,2,0),IF(M$5='Conceptos Desglosados'!$H$8,VLOOKUP($A123,servicios,2,0),IF(M$5='Conceptos Desglosados'!$H$9,VLOOKUP($A123,comyaloj,2,0),IF(M$5='Conceptos Desglosados'!$H$10,VLOOKUP($A123,comandancia,2,0),IF(M$5='Conceptos Desglosados'!$H$11,VLOOKUP($A123,mantenimiento,2,0),IF(M$5='Conceptos Desglosados'!$H$12,VLOOKUP($A123,serestatal,2,0),IF(M$5='Conceptos Desglosados'!$H$13,VLOOKUP($A123,conferencias,2,0),"")))))))))),"")*M$3,"")</f>
        <v/>
      </c>
      <c r="O123">
        <f>SUM(K123:M123)</f>
        <v>0</v>
      </c>
    </row>
    <row r="124" spans="1:15" x14ac:dyDescent="0.35">
      <c r="A124">
        <v>119</v>
      </c>
      <c r="B124" t="s">
        <v>10</v>
      </c>
      <c r="C124" t="s">
        <v>744</v>
      </c>
      <c r="D124" t="s">
        <v>745</v>
      </c>
      <c r="E124" t="s">
        <v>656</v>
      </c>
      <c r="F124" t="s">
        <v>667</v>
      </c>
      <c r="G124" t="s">
        <v>0</v>
      </c>
      <c r="H124">
        <v>1.02</v>
      </c>
      <c r="I124">
        <v>2.7149999999999999</v>
      </c>
      <c r="J124" t="s">
        <v>6</v>
      </c>
      <c r="K124" t="str">
        <f>IFERROR(IFERROR(IF(K$5='Conceptos Desglosados'!$H$4,VLOOKUP($A124,dormitorios,2,0),IF(K$5='Conceptos Desglosados'!$H$5,VLOOKUP($A124,comedor,2,0),IF(K$5='Conceptos Desglosados'!$H$6,VLOOKUP($A124,alojamiento,2,0),IF(K$5='Conceptos Desglosados'!$H$7,VLOOKUP($A124,sanidad,2,0),IF(K$5='Conceptos Desglosados'!$H$8,VLOOKUP($A124,servicios,2,0),IF(K$5='Conceptos Desglosados'!$H$9,VLOOKUP($A124,comyaloj,2,0),IF(K$5='Conceptos Desglosados'!$H$10,VLOOKUP($A124,comandancia,2,0),IF(K$5='Conceptos Desglosados'!$H$11,VLOOKUP($A124,mantenimiento,2,0),IF(K$5='Conceptos Desglosados'!$H$12,VLOOKUP($A124,serestatal,2,0),IF(K$5='Conceptos Desglosados'!$H$13,VLOOKUP($A124,conferencias,2,0),"")))))))))),"")*K$3,"")</f>
        <v/>
      </c>
      <c r="L124" t="str">
        <f>IFERROR(IFERROR(IF(L$5='Conceptos Desglosados'!$H$4,VLOOKUP($A124,dormitorios,2,0),IF(L$5='Conceptos Desglosados'!$H$5,VLOOKUP($A124,comedor,2,0),IF(L$5='Conceptos Desglosados'!$H$6,VLOOKUP($A124,alojamiento,2,0),IF(L$5='Conceptos Desglosados'!$H$7,VLOOKUP($A124,sanidad,2,0),IF(L$5='Conceptos Desglosados'!$H$8,VLOOKUP($A124,servicios,2,0),IF(L$5='Conceptos Desglosados'!$H$9,VLOOKUP($A124,comyaloj,2,0),IF(L$5='Conceptos Desglosados'!$H$10,VLOOKUP($A124,comandancia,2,0),IF(L$5='Conceptos Desglosados'!$H$11,VLOOKUP($A124,mantenimiento,2,0),IF(L$5='Conceptos Desglosados'!$H$12,VLOOKUP($A124,serestatal,2,0),IF(L$5='Conceptos Desglosados'!$H$13,VLOOKUP($A124,conferencias,2,0),"")))))))))),"")*L$3,"")</f>
        <v/>
      </c>
      <c r="M124" t="str">
        <f>IFERROR(IFERROR(IF(M$5='Conceptos Desglosados'!$H$4,VLOOKUP($A124,dormitorios,2,0),IF(M$5='Conceptos Desglosados'!$H$5,VLOOKUP($A124,comedor,2,0),IF(M$5='Conceptos Desglosados'!$H$6,VLOOKUP($A124,alojamiento,2,0),IF(M$5='Conceptos Desglosados'!$H$7,VLOOKUP($A124,sanidad,2,0),IF(M$5='Conceptos Desglosados'!$H$8,VLOOKUP($A124,servicios,2,0),IF(M$5='Conceptos Desglosados'!$H$9,VLOOKUP($A124,comyaloj,2,0),IF(M$5='Conceptos Desglosados'!$H$10,VLOOKUP($A124,comandancia,2,0),IF(M$5='Conceptos Desglosados'!$H$11,VLOOKUP($A124,mantenimiento,2,0),IF(M$5='Conceptos Desglosados'!$H$12,VLOOKUP($A124,serestatal,2,0),IF(M$5='Conceptos Desglosados'!$H$13,VLOOKUP($A124,conferencias,2,0),"")))))))))),"")*M$3,"")</f>
        <v/>
      </c>
      <c r="O124">
        <f>SUM(K124:M124)</f>
        <v>0</v>
      </c>
    </row>
    <row r="125" spans="1:15" x14ac:dyDescent="0.35">
      <c r="A125">
        <v>120</v>
      </c>
      <c r="B125" t="s">
        <v>10</v>
      </c>
      <c r="C125" t="s">
        <v>746</v>
      </c>
      <c r="D125" t="s">
        <v>747</v>
      </c>
      <c r="E125" t="s">
        <v>656</v>
      </c>
      <c r="F125" t="s">
        <v>667</v>
      </c>
      <c r="G125" t="s">
        <v>0</v>
      </c>
      <c r="H125">
        <v>2.5499999999999998</v>
      </c>
      <c r="I125">
        <v>2.7149999999999999</v>
      </c>
      <c r="J125" t="s">
        <v>6</v>
      </c>
      <c r="K125" t="str">
        <f>IFERROR(IFERROR(IF(K$5='Conceptos Desglosados'!$H$4,VLOOKUP($A125,dormitorios,2,0),IF(K$5='Conceptos Desglosados'!$H$5,VLOOKUP($A125,comedor,2,0),IF(K$5='Conceptos Desglosados'!$H$6,VLOOKUP($A125,alojamiento,2,0),IF(K$5='Conceptos Desglosados'!$H$7,VLOOKUP($A125,sanidad,2,0),IF(K$5='Conceptos Desglosados'!$H$8,VLOOKUP($A125,servicios,2,0),IF(K$5='Conceptos Desglosados'!$H$9,VLOOKUP($A125,comyaloj,2,0),IF(K$5='Conceptos Desglosados'!$H$10,VLOOKUP($A125,comandancia,2,0),IF(K$5='Conceptos Desglosados'!$H$11,VLOOKUP($A125,mantenimiento,2,0),IF(K$5='Conceptos Desglosados'!$H$12,VLOOKUP($A125,serestatal,2,0),IF(K$5='Conceptos Desglosados'!$H$13,VLOOKUP($A125,conferencias,2,0),"")))))))))),"")*K$3,"")</f>
        <v/>
      </c>
      <c r="L125" t="str">
        <f>IFERROR(IFERROR(IF(L$5='Conceptos Desglosados'!$H$4,VLOOKUP($A125,dormitorios,2,0),IF(L$5='Conceptos Desglosados'!$H$5,VLOOKUP($A125,comedor,2,0),IF(L$5='Conceptos Desglosados'!$H$6,VLOOKUP($A125,alojamiento,2,0),IF(L$5='Conceptos Desglosados'!$H$7,VLOOKUP($A125,sanidad,2,0),IF(L$5='Conceptos Desglosados'!$H$8,VLOOKUP($A125,servicios,2,0),IF(L$5='Conceptos Desglosados'!$H$9,VLOOKUP($A125,comyaloj,2,0),IF(L$5='Conceptos Desglosados'!$H$10,VLOOKUP($A125,comandancia,2,0),IF(L$5='Conceptos Desglosados'!$H$11,VLOOKUP($A125,mantenimiento,2,0),IF(L$5='Conceptos Desglosados'!$H$12,VLOOKUP($A125,serestatal,2,0),IF(L$5='Conceptos Desglosados'!$H$13,VLOOKUP($A125,conferencias,2,0),"")))))))))),"")*L$3,"")</f>
        <v/>
      </c>
      <c r="M125" t="str">
        <f>IFERROR(IFERROR(IF(M$5='Conceptos Desglosados'!$H$4,VLOOKUP($A125,dormitorios,2,0),IF(M$5='Conceptos Desglosados'!$H$5,VLOOKUP($A125,comedor,2,0),IF(M$5='Conceptos Desglosados'!$H$6,VLOOKUP($A125,alojamiento,2,0),IF(M$5='Conceptos Desglosados'!$H$7,VLOOKUP($A125,sanidad,2,0),IF(M$5='Conceptos Desglosados'!$H$8,VLOOKUP($A125,servicios,2,0),IF(M$5='Conceptos Desglosados'!$H$9,VLOOKUP($A125,comyaloj,2,0),IF(M$5='Conceptos Desglosados'!$H$10,VLOOKUP($A125,comandancia,2,0),IF(M$5='Conceptos Desglosados'!$H$11,VLOOKUP($A125,mantenimiento,2,0),IF(M$5='Conceptos Desglosados'!$H$12,VLOOKUP($A125,serestatal,2,0),IF(M$5='Conceptos Desglosados'!$H$13,VLOOKUP($A125,conferencias,2,0),"")))))))))),"")*M$3,"")</f>
        <v/>
      </c>
      <c r="O125">
        <f>SUM(K125:M125)</f>
        <v>0</v>
      </c>
    </row>
    <row r="126" spans="1:15" x14ac:dyDescent="0.35">
      <c r="A126">
        <v>121</v>
      </c>
      <c r="B126" t="s">
        <v>10</v>
      </c>
      <c r="C126" t="s">
        <v>748</v>
      </c>
      <c r="D126" t="s">
        <v>749</v>
      </c>
      <c r="E126" t="s">
        <v>656</v>
      </c>
      <c r="F126" t="s">
        <v>667</v>
      </c>
      <c r="G126" t="s">
        <v>2</v>
      </c>
      <c r="H126">
        <v>0.82</v>
      </c>
      <c r="I126">
        <v>2.7149999999999999</v>
      </c>
      <c r="J126" t="s">
        <v>6</v>
      </c>
      <c r="K126" t="str">
        <f>IFERROR(IFERROR(IF(K$5='Conceptos Desglosados'!$H$4,VLOOKUP($A126,dormitorios,2,0),IF(K$5='Conceptos Desglosados'!$H$5,VLOOKUP($A126,comedor,2,0),IF(K$5='Conceptos Desglosados'!$H$6,VLOOKUP($A126,alojamiento,2,0),IF(K$5='Conceptos Desglosados'!$H$7,VLOOKUP($A126,sanidad,2,0),IF(K$5='Conceptos Desglosados'!$H$8,VLOOKUP($A126,servicios,2,0),IF(K$5='Conceptos Desglosados'!$H$9,VLOOKUP($A126,comyaloj,2,0),IF(K$5='Conceptos Desglosados'!$H$10,VLOOKUP($A126,comandancia,2,0),IF(K$5='Conceptos Desglosados'!$H$11,VLOOKUP($A126,mantenimiento,2,0),IF(K$5='Conceptos Desglosados'!$H$12,VLOOKUP($A126,serestatal,2,0),IF(K$5='Conceptos Desglosados'!$H$13,VLOOKUP($A126,conferencias,2,0),"")))))))))),"")*K$3,"")</f>
        <v/>
      </c>
      <c r="L126" t="str">
        <f>IFERROR(IFERROR(IF(L$5='Conceptos Desglosados'!$H$4,VLOOKUP($A126,dormitorios,2,0),IF(L$5='Conceptos Desglosados'!$H$5,VLOOKUP($A126,comedor,2,0),IF(L$5='Conceptos Desglosados'!$H$6,VLOOKUP($A126,alojamiento,2,0),IF(L$5='Conceptos Desglosados'!$H$7,VLOOKUP($A126,sanidad,2,0),IF(L$5='Conceptos Desglosados'!$H$8,VLOOKUP($A126,servicios,2,0),IF(L$5='Conceptos Desglosados'!$H$9,VLOOKUP($A126,comyaloj,2,0),IF(L$5='Conceptos Desglosados'!$H$10,VLOOKUP($A126,comandancia,2,0),IF(L$5='Conceptos Desglosados'!$H$11,VLOOKUP($A126,mantenimiento,2,0),IF(L$5='Conceptos Desglosados'!$H$12,VLOOKUP($A126,serestatal,2,0),IF(L$5='Conceptos Desglosados'!$H$13,VLOOKUP($A126,conferencias,2,0),"")))))))))),"")*L$3,"")</f>
        <v/>
      </c>
      <c r="M126" t="str">
        <f>IFERROR(IFERROR(IF(M$5='Conceptos Desglosados'!$H$4,VLOOKUP($A126,dormitorios,2,0),IF(M$5='Conceptos Desglosados'!$H$5,VLOOKUP($A126,comedor,2,0),IF(M$5='Conceptos Desglosados'!$H$6,VLOOKUP($A126,alojamiento,2,0),IF(M$5='Conceptos Desglosados'!$H$7,VLOOKUP($A126,sanidad,2,0),IF(M$5='Conceptos Desglosados'!$H$8,VLOOKUP($A126,servicios,2,0),IF(M$5='Conceptos Desglosados'!$H$9,VLOOKUP($A126,comyaloj,2,0),IF(M$5='Conceptos Desglosados'!$H$10,VLOOKUP($A126,comandancia,2,0),IF(M$5='Conceptos Desglosados'!$H$11,VLOOKUP($A126,mantenimiento,2,0),IF(M$5='Conceptos Desglosados'!$H$12,VLOOKUP($A126,serestatal,2,0),IF(M$5='Conceptos Desglosados'!$H$13,VLOOKUP($A126,conferencias,2,0),"")))))))))),"")*M$3,"")</f>
        <v/>
      </c>
      <c r="O126">
        <f>SUM(K126:M126)</f>
        <v>0</v>
      </c>
    </row>
    <row r="127" spans="1:15" x14ac:dyDescent="0.35">
      <c r="A127">
        <v>122</v>
      </c>
      <c r="B127" t="s">
        <v>10</v>
      </c>
      <c r="C127" t="s">
        <v>750</v>
      </c>
      <c r="D127" t="s">
        <v>751</v>
      </c>
      <c r="E127" t="s">
        <v>656</v>
      </c>
      <c r="F127" t="s">
        <v>667</v>
      </c>
      <c r="G127" t="s">
        <v>0</v>
      </c>
      <c r="H127">
        <v>1.33</v>
      </c>
      <c r="I127">
        <v>2.7149999999999999</v>
      </c>
      <c r="J127" t="s">
        <v>6</v>
      </c>
      <c r="K127" t="str">
        <f>IFERROR(IFERROR(IF(K$5='Conceptos Desglosados'!$H$4,VLOOKUP($A127,dormitorios,2,0),IF(K$5='Conceptos Desglosados'!$H$5,VLOOKUP($A127,comedor,2,0),IF(K$5='Conceptos Desglosados'!$H$6,VLOOKUP($A127,alojamiento,2,0),IF(K$5='Conceptos Desglosados'!$H$7,VLOOKUP($A127,sanidad,2,0),IF(K$5='Conceptos Desglosados'!$H$8,VLOOKUP($A127,servicios,2,0),IF(K$5='Conceptos Desglosados'!$H$9,VLOOKUP($A127,comyaloj,2,0),IF(K$5='Conceptos Desglosados'!$H$10,VLOOKUP($A127,comandancia,2,0),IF(K$5='Conceptos Desglosados'!$H$11,VLOOKUP($A127,mantenimiento,2,0),IF(K$5='Conceptos Desglosados'!$H$12,VLOOKUP($A127,serestatal,2,0),IF(K$5='Conceptos Desglosados'!$H$13,VLOOKUP($A127,conferencias,2,0),"")))))))))),"")*K$3,"")</f>
        <v/>
      </c>
      <c r="L127" t="str">
        <f>IFERROR(IFERROR(IF(L$5='Conceptos Desglosados'!$H$4,VLOOKUP($A127,dormitorios,2,0),IF(L$5='Conceptos Desglosados'!$H$5,VLOOKUP($A127,comedor,2,0),IF(L$5='Conceptos Desglosados'!$H$6,VLOOKUP($A127,alojamiento,2,0),IF(L$5='Conceptos Desglosados'!$H$7,VLOOKUP($A127,sanidad,2,0),IF(L$5='Conceptos Desglosados'!$H$8,VLOOKUP($A127,servicios,2,0),IF(L$5='Conceptos Desglosados'!$H$9,VLOOKUP($A127,comyaloj,2,0),IF(L$5='Conceptos Desglosados'!$H$10,VLOOKUP($A127,comandancia,2,0),IF(L$5='Conceptos Desglosados'!$H$11,VLOOKUP($A127,mantenimiento,2,0),IF(L$5='Conceptos Desglosados'!$H$12,VLOOKUP($A127,serestatal,2,0),IF(L$5='Conceptos Desglosados'!$H$13,VLOOKUP($A127,conferencias,2,0),"")))))))))),"")*L$3,"")</f>
        <v/>
      </c>
      <c r="M127" t="str">
        <f>IFERROR(IFERROR(IF(M$5='Conceptos Desglosados'!$H$4,VLOOKUP($A127,dormitorios,2,0),IF(M$5='Conceptos Desglosados'!$H$5,VLOOKUP($A127,comedor,2,0),IF(M$5='Conceptos Desglosados'!$H$6,VLOOKUP($A127,alojamiento,2,0),IF(M$5='Conceptos Desglosados'!$H$7,VLOOKUP($A127,sanidad,2,0),IF(M$5='Conceptos Desglosados'!$H$8,VLOOKUP($A127,servicios,2,0),IF(M$5='Conceptos Desglosados'!$H$9,VLOOKUP($A127,comyaloj,2,0),IF(M$5='Conceptos Desglosados'!$H$10,VLOOKUP($A127,comandancia,2,0),IF(M$5='Conceptos Desglosados'!$H$11,VLOOKUP($A127,mantenimiento,2,0),IF(M$5='Conceptos Desglosados'!$H$12,VLOOKUP($A127,serestatal,2,0),IF(M$5='Conceptos Desglosados'!$H$13,VLOOKUP($A127,conferencias,2,0),"")))))))))),"")*M$3,"")</f>
        <v/>
      </c>
      <c r="O127">
        <f>SUM(K127:M127)</f>
        <v>0</v>
      </c>
    </row>
    <row r="128" spans="1:15" x14ac:dyDescent="0.35">
      <c r="A128">
        <v>123</v>
      </c>
      <c r="B128" t="s">
        <v>10</v>
      </c>
      <c r="C128" t="s">
        <v>752</v>
      </c>
      <c r="D128" t="s">
        <v>753</v>
      </c>
      <c r="E128" t="s">
        <v>656</v>
      </c>
      <c r="F128" t="s">
        <v>511</v>
      </c>
      <c r="G128" t="s">
        <v>2</v>
      </c>
      <c r="H128">
        <v>1.93</v>
      </c>
      <c r="I128">
        <v>2.7149999999999999</v>
      </c>
      <c r="J128" t="s">
        <v>6</v>
      </c>
      <c r="K128" t="str">
        <f>IFERROR(IFERROR(IF(K$5='Conceptos Desglosados'!$H$4,VLOOKUP($A128,dormitorios,2,0),IF(K$5='Conceptos Desglosados'!$H$5,VLOOKUP($A128,comedor,2,0),IF(K$5='Conceptos Desglosados'!$H$6,VLOOKUP($A128,alojamiento,2,0),IF(K$5='Conceptos Desglosados'!$H$7,VLOOKUP($A128,sanidad,2,0),IF(K$5='Conceptos Desglosados'!$H$8,VLOOKUP($A128,servicios,2,0),IF(K$5='Conceptos Desglosados'!$H$9,VLOOKUP($A128,comyaloj,2,0),IF(K$5='Conceptos Desglosados'!$H$10,VLOOKUP($A128,comandancia,2,0),IF(K$5='Conceptos Desglosados'!$H$11,VLOOKUP($A128,mantenimiento,2,0),IF(K$5='Conceptos Desglosados'!$H$12,VLOOKUP($A128,serestatal,2,0),IF(K$5='Conceptos Desglosados'!$H$13,VLOOKUP($A128,conferencias,2,0),"")))))))))),"")*K$3,"")</f>
        <v/>
      </c>
      <c r="L128">
        <f>IFERROR(IFERROR(IF(L$5='Conceptos Desglosados'!$H$4,VLOOKUP($A128,dormitorios,2,0),IF(L$5='Conceptos Desglosados'!$H$5,VLOOKUP($A128,comedor,2,0),IF(L$5='Conceptos Desglosados'!$H$6,VLOOKUP($A128,alojamiento,2,0),IF(L$5='Conceptos Desglosados'!$H$7,VLOOKUP($A128,sanidad,2,0),IF(L$5='Conceptos Desglosados'!$H$8,VLOOKUP($A128,servicios,2,0),IF(L$5='Conceptos Desglosados'!$H$9,VLOOKUP($A128,comyaloj,2,0),IF(L$5='Conceptos Desglosados'!$H$10,VLOOKUP($A128,comandancia,2,0),IF(L$5='Conceptos Desglosados'!$H$11,VLOOKUP($A128,mantenimiento,2,0),IF(L$5='Conceptos Desglosados'!$H$12,VLOOKUP($A128,serestatal,2,0),IF(L$5='Conceptos Desglosados'!$H$13,VLOOKUP($A128,conferencias,2,0),"")))))))))),"")*L$3,"")</f>
        <v>1</v>
      </c>
      <c r="M128" t="str">
        <f>IFERROR(IFERROR(IF(M$5='Conceptos Desglosados'!$H$4,VLOOKUP($A128,dormitorios,2,0),IF(M$5='Conceptos Desglosados'!$H$5,VLOOKUP($A128,comedor,2,0),IF(M$5='Conceptos Desglosados'!$H$6,VLOOKUP($A128,alojamiento,2,0),IF(M$5='Conceptos Desglosados'!$H$7,VLOOKUP($A128,sanidad,2,0),IF(M$5='Conceptos Desglosados'!$H$8,VLOOKUP($A128,servicios,2,0),IF(M$5='Conceptos Desglosados'!$H$9,VLOOKUP($A128,comyaloj,2,0),IF(M$5='Conceptos Desglosados'!$H$10,VLOOKUP($A128,comandancia,2,0),IF(M$5='Conceptos Desglosados'!$H$11,VLOOKUP($A128,mantenimiento,2,0),IF(M$5='Conceptos Desglosados'!$H$12,VLOOKUP($A128,serestatal,2,0),IF(M$5='Conceptos Desglosados'!$H$13,VLOOKUP($A128,conferencias,2,0),"")))))))))),"")*M$3,"")</f>
        <v/>
      </c>
      <c r="O128">
        <f>SUM(K128:M128)</f>
        <v>1</v>
      </c>
    </row>
    <row r="129" spans="1:15" x14ac:dyDescent="0.35">
      <c r="A129">
        <v>124</v>
      </c>
      <c r="B129" t="s">
        <v>10</v>
      </c>
      <c r="C129" t="s">
        <v>759</v>
      </c>
      <c r="D129" t="s">
        <v>760</v>
      </c>
      <c r="E129" t="s">
        <v>656</v>
      </c>
      <c r="F129" t="s">
        <v>667</v>
      </c>
      <c r="G129" t="s">
        <v>0</v>
      </c>
      <c r="H129">
        <v>0.94</v>
      </c>
      <c r="I129">
        <v>2.7149999999999999</v>
      </c>
      <c r="J129" t="s">
        <v>6</v>
      </c>
      <c r="K129">
        <f>IFERROR(IFERROR(IF(K$5='Conceptos Desglosados'!$H$4,VLOOKUP($A129,dormitorios,2,0),IF(K$5='Conceptos Desglosados'!$H$5,VLOOKUP($A129,comedor,2,0),IF(K$5='Conceptos Desglosados'!$H$6,VLOOKUP($A129,alojamiento,2,0),IF(K$5='Conceptos Desglosados'!$H$7,VLOOKUP($A129,sanidad,2,0),IF(K$5='Conceptos Desglosados'!$H$8,VLOOKUP($A129,servicios,2,0),IF(K$5='Conceptos Desglosados'!$H$9,VLOOKUP($A129,comyaloj,2,0),IF(K$5='Conceptos Desglosados'!$H$10,VLOOKUP($A129,comandancia,2,0),IF(K$5='Conceptos Desglosados'!$H$11,VLOOKUP($A129,mantenimiento,2,0),IF(K$5='Conceptos Desglosados'!$H$12,VLOOKUP($A129,serestatal,2,0),IF(K$5='Conceptos Desglosados'!$H$13,VLOOKUP($A129,conferencias,2,0),"")))))))))),"")*K$3,"")</f>
        <v>2</v>
      </c>
      <c r="L129" t="str">
        <f>IFERROR(IFERROR(IF(L$5='Conceptos Desglosados'!$H$4,VLOOKUP($A129,dormitorios,2,0),IF(L$5='Conceptos Desglosados'!$H$5,VLOOKUP($A129,comedor,2,0),IF(L$5='Conceptos Desglosados'!$H$6,VLOOKUP($A129,alojamiento,2,0),IF(L$5='Conceptos Desglosados'!$H$7,VLOOKUP($A129,sanidad,2,0),IF(L$5='Conceptos Desglosados'!$H$8,VLOOKUP($A129,servicios,2,0),IF(L$5='Conceptos Desglosados'!$H$9,VLOOKUP($A129,comyaloj,2,0),IF(L$5='Conceptos Desglosados'!$H$10,VLOOKUP($A129,comandancia,2,0),IF(L$5='Conceptos Desglosados'!$H$11,VLOOKUP($A129,mantenimiento,2,0),IF(L$5='Conceptos Desglosados'!$H$12,VLOOKUP($A129,serestatal,2,0),IF(L$5='Conceptos Desglosados'!$H$13,VLOOKUP($A129,conferencias,2,0),"")))))))))),"")*L$3,"")</f>
        <v/>
      </c>
      <c r="M129" t="str">
        <f>IFERROR(IFERROR(IF(M$5='Conceptos Desglosados'!$H$4,VLOOKUP($A129,dormitorios,2,0),IF(M$5='Conceptos Desglosados'!$H$5,VLOOKUP($A129,comedor,2,0),IF(M$5='Conceptos Desglosados'!$H$6,VLOOKUP($A129,alojamiento,2,0),IF(M$5='Conceptos Desglosados'!$H$7,VLOOKUP($A129,sanidad,2,0),IF(M$5='Conceptos Desglosados'!$H$8,VLOOKUP($A129,servicios,2,0),IF(M$5='Conceptos Desglosados'!$H$9,VLOOKUP($A129,comyaloj,2,0),IF(M$5='Conceptos Desglosados'!$H$10,VLOOKUP($A129,comandancia,2,0),IF(M$5='Conceptos Desglosados'!$H$11,VLOOKUP($A129,mantenimiento,2,0),IF(M$5='Conceptos Desglosados'!$H$12,VLOOKUP($A129,serestatal,2,0),IF(M$5='Conceptos Desglosados'!$H$13,VLOOKUP($A129,conferencias,2,0),"")))))))))),"")*M$3,"")</f>
        <v/>
      </c>
      <c r="O129">
        <f>SUM(K129:M129)</f>
        <v>2</v>
      </c>
    </row>
    <row r="130" spans="1:15" x14ac:dyDescent="0.35">
      <c r="A130">
        <v>125</v>
      </c>
      <c r="B130" t="s">
        <v>10</v>
      </c>
      <c r="C130" t="s">
        <v>761</v>
      </c>
      <c r="D130" t="s">
        <v>762</v>
      </c>
      <c r="E130" t="s">
        <v>656</v>
      </c>
      <c r="F130" t="s">
        <v>511</v>
      </c>
      <c r="G130" t="s">
        <v>0</v>
      </c>
      <c r="H130">
        <v>1.0900000000000001</v>
      </c>
      <c r="I130">
        <v>2.7149999999999999</v>
      </c>
      <c r="J130" t="s">
        <v>6</v>
      </c>
      <c r="K130" t="str">
        <f>IFERROR(IFERROR(IF(K$5='Conceptos Desglosados'!$H$4,VLOOKUP($A130,dormitorios,2,0),IF(K$5='Conceptos Desglosados'!$H$5,VLOOKUP($A130,comedor,2,0),IF(K$5='Conceptos Desglosados'!$H$6,VLOOKUP($A130,alojamiento,2,0),IF(K$5='Conceptos Desglosados'!$H$7,VLOOKUP($A130,sanidad,2,0),IF(K$5='Conceptos Desglosados'!$H$8,VLOOKUP($A130,servicios,2,0),IF(K$5='Conceptos Desglosados'!$H$9,VLOOKUP($A130,comyaloj,2,0),IF(K$5='Conceptos Desglosados'!$H$10,VLOOKUP($A130,comandancia,2,0),IF(K$5='Conceptos Desglosados'!$H$11,VLOOKUP($A130,mantenimiento,2,0),IF(K$5='Conceptos Desglosados'!$H$12,VLOOKUP($A130,serestatal,2,0),IF(K$5='Conceptos Desglosados'!$H$13,VLOOKUP($A130,conferencias,2,0),"")))))))))),"")*K$3,"")</f>
        <v/>
      </c>
      <c r="L130" t="str">
        <f>IFERROR(IFERROR(IF(L$5='Conceptos Desglosados'!$H$4,VLOOKUP($A130,dormitorios,2,0),IF(L$5='Conceptos Desglosados'!$H$5,VLOOKUP($A130,comedor,2,0),IF(L$5='Conceptos Desglosados'!$H$6,VLOOKUP($A130,alojamiento,2,0),IF(L$5='Conceptos Desglosados'!$H$7,VLOOKUP($A130,sanidad,2,0),IF(L$5='Conceptos Desglosados'!$H$8,VLOOKUP($A130,servicios,2,0),IF(L$5='Conceptos Desglosados'!$H$9,VLOOKUP($A130,comyaloj,2,0),IF(L$5='Conceptos Desglosados'!$H$10,VLOOKUP($A130,comandancia,2,0),IF(L$5='Conceptos Desglosados'!$H$11,VLOOKUP($A130,mantenimiento,2,0),IF(L$5='Conceptos Desglosados'!$H$12,VLOOKUP($A130,serestatal,2,0),IF(L$5='Conceptos Desglosados'!$H$13,VLOOKUP($A130,conferencias,2,0),"")))))))))),"")*L$3,"")</f>
        <v/>
      </c>
      <c r="M130" t="str">
        <f>IFERROR(IFERROR(IF(M$5='Conceptos Desglosados'!$H$4,VLOOKUP($A130,dormitorios,2,0),IF(M$5='Conceptos Desglosados'!$H$5,VLOOKUP($A130,comedor,2,0),IF(M$5='Conceptos Desglosados'!$H$6,VLOOKUP($A130,alojamiento,2,0),IF(M$5='Conceptos Desglosados'!$H$7,VLOOKUP($A130,sanidad,2,0),IF(M$5='Conceptos Desglosados'!$H$8,VLOOKUP($A130,servicios,2,0),IF(M$5='Conceptos Desglosados'!$H$9,VLOOKUP($A130,comyaloj,2,0),IF(M$5='Conceptos Desglosados'!$H$10,VLOOKUP($A130,comandancia,2,0),IF(M$5='Conceptos Desglosados'!$H$11,VLOOKUP($A130,mantenimiento,2,0),IF(M$5='Conceptos Desglosados'!$H$12,VLOOKUP($A130,serestatal,2,0),IF(M$5='Conceptos Desglosados'!$H$13,VLOOKUP($A130,conferencias,2,0),"")))))))))),"")*M$3,"")</f>
        <v/>
      </c>
      <c r="O130">
        <f>SUM(K130:M130)</f>
        <v>0</v>
      </c>
    </row>
    <row r="131" spans="1:15" x14ac:dyDescent="0.35">
      <c r="A131">
        <v>126</v>
      </c>
      <c r="B131" t="s">
        <v>10</v>
      </c>
      <c r="C131" t="s">
        <v>770</v>
      </c>
      <c r="D131" t="s">
        <v>771</v>
      </c>
      <c r="E131" t="s">
        <v>656</v>
      </c>
      <c r="F131" t="s">
        <v>511</v>
      </c>
      <c r="G131" t="s">
        <v>2</v>
      </c>
      <c r="H131">
        <v>2.069</v>
      </c>
      <c r="I131">
        <v>2.7149999999999999</v>
      </c>
      <c r="J131" t="s">
        <v>6</v>
      </c>
      <c r="K131" t="str">
        <f>IFERROR(IFERROR(IF(K$5='Conceptos Desglosados'!$H$4,VLOOKUP($A131,dormitorios,2,0),IF(K$5='Conceptos Desglosados'!$H$5,VLOOKUP($A131,comedor,2,0),IF(K$5='Conceptos Desglosados'!$H$6,VLOOKUP($A131,alojamiento,2,0),IF(K$5='Conceptos Desglosados'!$H$7,VLOOKUP($A131,sanidad,2,0),IF(K$5='Conceptos Desglosados'!$H$8,VLOOKUP($A131,servicios,2,0),IF(K$5='Conceptos Desglosados'!$H$9,VLOOKUP($A131,comyaloj,2,0),IF(K$5='Conceptos Desglosados'!$H$10,VLOOKUP($A131,comandancia,2,0),IF(K$5='Conceptos Desglosados'!$H$11,VLOOKUP($A131,mantenimiento,2,0),IF(K$5='Conceptos Desglosados'!$H$12,VLOOKUP($A131,serestatal,2,0),IF(K$5='Conceptos Desglosados'!$H$13,VLOOKUP($A131,conferencias,2,0),"")))))))))),"")*K$3,"")</f>
        <v/>
      </c>
      <c r="L131" t="str">
        <f>IFERROR(IFERROR(IF(L$5='Conceptos Desglosados'!$H$4,VLOOKUP($A131,dormitorios,2,0),IF(L$5='Conceptos Desglosados'!$H$5,VLOOKUP($A131,comedor,2,0),IF(L$5='Conceptos Desglosados'!$H$6,VLOOKUP($A131,alojamiento,2,0),IF(L$5='Conceptos Desglosados'!$H$7,VLOOKUP($A131,sanidad,2,0),IF(L$5='Conceptos Desglosados'!$H$8,VLOOKUP($A131,servicios,2,0),IF(L$5='Conceptos Desglosados'!$H$9,VLOOKUP($A131,comyaloj,2,0),IF(L$5='Conceptos Desglosados'!$H$10,VLOOKUP($A131,comandancia,2,0),IF(L$5='Conceptos Desglosados'!$H$11,VLOOKUP($A131,mantenimiento,2,0),IF(L$5='Conceptos Desglosados'!$H$12,VLOOKUP($A131,serestatal,2,0),IF(L$5='Conceptos Desglosados'!$H$13,VLOOKUP($A131,conferencias,2,0),"")))))))))),"")*L$3,"")</f>
        <v/>
      </c>
      <c r="M131" t="str">
        <f>IFERROR(IFERROR(IF(M$5='Conceptos Desglosados'!$H$4,VLOOKUP($A131,dormitorios,2,0),IF(M$5='Conceptos Desglosados'!$H$5,VLOOKUP($A131,comedor,2,0),IF(M$5='Conceptos Desglosados'!$H$6,VLOOKUP($A131,alojamiento,2,0),IF(M$5='Conceptos Desglosados'!$H$7,VLOOKUP($A131,sanidad,2,0),IF(M$5='Conceptos Desglosados'!$H$8,VLOOKUP($A131,servicios,2,0),IF(M$5='Conceptos Desglosados'!$H$9,VLOOKUP($A131,comyaloj,2,0),IF(M$5='Conceptos Desglosados'!$H$10,VLOOKUP($A131,comandancia,2,0),IF(M$5='Conceptos Desglosados'!$H$11,VLOOKUP($A131,mantenimiento,2,0),IF(M$5='Conceptos Desglosados'!$H$12,VLOOKUP($A131,serestatal,2,0),IF(M$5='Conceptos Desglosados'!$H$13,VLOOKUP($A131,conferencias,2,0),"")))))))))),"")*M$3,"")</f>
        <v/>
      </c>
      <c r="O131">
        <f>SUM(K131:M131)</f>
        <v>0</v>
      </c>
    </row>
    <row r="132" spans="1:15" x14ac:dyDescent="0.35">
      <c r="A132">
        <v>127</v>
      </c>
      <c r="B132" t="s">
        <v>10</v>
      </c>
      <c r="C132" t="s">
        <v>774</v>
      </c>
      <c r="D132" t="s">
        <v>775</v>
      </c>
      <c r="E132" t="s">
        <v>656</v>
      </c>
      <c r="F132" t="s">
        <v>667</v>
      </c>
      <c r="G132" t="s">
        <v>2</v>
      </c>
      <c r="H132">
        <v>1.99</v>
      </c>
      <c r="I132">
        <v>2.7149999999999999</v>
      </c>
      <c r="J132" t="s">
        <v>6</v>
      </c>
      <c r="K132" t="str">
        <f>IFERROR(IFERROR(IF(K$5='Conceptos Desglosados'!$H$4,VLOOKUP($A132,dormitorios,2,0),IF(K$5='Conceptos Desglosados'!$H$5,VLOOKUP($A132,comedor,2,0),IF(K$5='Conceptos Desglosados'!$H$6,VLOOKUP($A132,alojamiento,2,0),IF(K$5='Conceptos Desglosados'!$H$7,VLOOKUP($A132,sanidad,2,0),IF(K$5='Conceptos Desglosados'!$H$8,VLOOKUP($A132,servicios,2,0),IF(K$5='Conceptos Desglosados'!$H$9,VLOOKUP($A132,comyaloj,2,0),IF(K$5='Conceptos Desglosados'!$H$10,VLOOKUP($A132,comandancia,2,0),IF(K$5='Conceptos Desglosados'!$H$11,VLOOKUP($A132,mantenimiento,2,0),IF(K$5='Conceptos Desglosados'!$H$12,VLOOKUP($A132,serestatal,2,0),IF(K$5='Conceptos Desglosados'!$H$13,VLOOKUP($A132,conferencias,2,0),"")))))))))),"")*K$3,"")</f>
        <v/>
      </c>
      <c r="L132" t="str">
        <f>IFERROR(IFERROR(IF(L$5='Conceptos Desglosados'!$H$4,VLOOKUP($A132,dormitorios,2,0),IF(L$5='Conceptos Desglosados'!$H$5,VLOOKUP($A132,comedor,2,0),IF(L$5='Conceptos Desglosados'!$H$6,VLOOKUP($A132,alojamiento,2,0),IF(L$5='Conceptos Desglosados'!$H$7,VLOOKUP($A132,sanidad,2,0),IF(L$5='Conceptos Desglosados'!$H$8,VLOOKUP($A132,servicios,2,0),IF(L$5='Conceptos Desglosados'!$H$9,VLOOKUP($A132,comyaloj,2,0),IF(L$5='Conceptos Desglosados'!$H$10,VLOOKUP($A132,comandancia,2,0),IF(L$5='Conceptos Desglosados'!$H$11,VLOOKUP($A132,mantenimiento,2,0),IF(L$5='Conceptos Desglosados'!$H$12,VLOOKUP($A132,serestatal,2,0),IF(L$5='Conceptos Desglosados'!$H$13,VLOOKUP($A132,conferencias,2,0),"")))))))))),"")*L$3,"")</f>
        <v/>
      </c>
      <c r="M132" t="str">
        <f>IFERROR(IFERROR(IF(M$5='Conceptos Desglosados'!$H$4,VLOOKUP($A132,dormitorios,2,0),IF(M$5='Conceptos Desglosados'!$H$5,VLOOKUP($A132,comedor,2,0),IF(M$5='Conceptos Desglosados'!$H$6,VLOOKUP($A132,alojamiento,2,0),IF(M$5='Conceptos Desglosados'!$H$7,VLOOKUP($A132,sanidad,2,0),IF(M$5='Conceptos Desglosados'!$H$8,VLOOKUP($A132,servicios,2,0),IF(M$5='Conceptos Desglosados'!$H$9,VLOOKUP($A132,comyaloj,2,0),IF(M$5='Conceptos Desglosados'!$H$10,VLOOKUP($A132,comandancia,2,0),IF(M$5='Conceptos Desglosados'!$H$11,VLOOKUP($A132,mantenimiento,2,0),IF(M$5='Conceptos Desglosados'!$H$12,VLOOKUP($A132,serestatal,2,0),IF(M$5='Conceptos Desglosados'!$H$13,VLOOKUP($A132,conferencias,2,0),"")))))))))),"")*M$3,"")</f>
        <v/>
      </c>
      <c r="O132">
        <f>SUM(K132:M132)</f>
        <v>0</v>
      </c>
    </row>
    <row r="133" spans="1:15" x14ac:dyDescent="0.35">
      <c r="A133">
        <v>128</v>
      </c>
      <c r="B133" t="s">
        <v>10</v>
      </c>
      <c r="C133" t="s">
        <v>777</v>
      </c>
      <c r="D133" t="s">
        <v>778</v>
      </c>
      <c r="E133" t="s">
        <v>996</v>
      </c>
      <c r="F133" t="s">
        <v>884</v>
      </c>
      <c r="G133" t="s">
        <v>0</v>
      </c>
      <c r="H133">
        <v>2.02</v>
      </c>
      <c r="I133">
        <v>2.7149999999999999</v>
      </c>
      <c r="J133" t="s">
        <v>6</v>
      </c>
      <c r="K133">
        <f>IFERROR(IFERROR(IF(K$5='Conceptos Desglosados'!$H$4,VLOOKUP($A133,dormitorios,2,0),IF(K$5='Conceptos Desglosados'!$H$5,VLOOKUP($A133,comedor,2,0),IF(K$5='Conceptos Desglosados'!$H$6,VLOOKUP($A133,alojamiento,2,0),IF(K$5='Conceptos Desglosados'!$H$7,VLOOKUP($A133,sanidad,2,0),IF(K$5='Conceptos Desglosados'!$H$8,VLOOKUP($A133,servicios,2,0),IF(K$5='Conceptos Desglosados'!$H$9,VLOOKUP($A133,comyaloj,2,0),IF(K$5='Conceptos Desglosados'!$H$10,VLOOKUP($A133,comandancia,2,0),IF(K$5='Conceptos Desglosados'!$H$11,VLOOKUP($A133,mantenimiento,2,0),IF(K$5='Conceptos Desglosados'!$H$12,VLOOKUP($A133,serestatal,2,0),IF(K$5='Conceptos Desglosados'!$H$13,VLOOKUP($A133,conferencias,2,0),"")))))))))),"")*K$3,"")</f>
        <v>2</v>
      </c>
      <c r="L133" t="str">
        <f>IFERROR(IFERROR(IF(L$5='Conceptos Desglosados'!$H$4,VLOOKUP($A133,dormitorios,2,0),IF(L$5='Conceptos Desglosados'!$H$5,VLOOKUP($A133,comedor,2,0),IF(L$5='Conceptos Desglosados'!$H$6,VLOOKUP($A133,alojamiento,2,0),IF(L$5='Conceptos Desglosados'!$H$7,VLOOKUP($A133,sanidad,2,0),IF(L$5='Conceptos Desglosados'!$H$8,VLOOKUP($A133,servicios,2,0),IF(L$5='Conceptos Desglosados'!$H$9,VLOOKUP($A133,comyaloj,2,0),IF(L$5='Conceptos Desglosados'!$H$10,VLOOKUP($A133,comandancia,2,0),IF(L$5='Conceptos Desglosados'!$H$11,VLOOKUP($A133,mantenimiento,2,0),IF(L$5='Conceptos Desglosados'!$H$12,VLOOKUP($A133,serestatal,2,0),IF(L$5='Conceptos Desglosados'!$H$13,VLOOKUP($A133,conferencias,2,0),"")))))))))),"")*L$3,"")</f>
        <v/>
      </c>
      <c r="M133" t="str">
        <f>IFERROR(IFERROR(IF(M$5='Conceptos Desglosados'!$H$4,VLOOKUP($A133,dormitorios,2,0),IF(M$5='Conceptos Desglosados'!$H$5,VLOOKUP($A133,comedor,2,0),IF(M$5='Conceptos Desglosados'!$H$6,VLOOKUP($A133,alojamiento,2,0),IF(M$5='Conceptos Desglosados'!$H$7,VLOOKUP($A133,sanidad,2,0),IF(M$5='Conceptos Desglosados'!$H$8,VLOOKUP($A133,servicios,2,0),IF(M$5='Conceptos Desglosados'!$H$9,VLOOKUP($A133,comyaloj,2,0),IF(M$5='Conceptos Desglosados'!$H$10,VLOOKUP($A133,comandancia,2,0),IF(M$5='Conceptos Desglosados'!$H$11,VLOOKUP($A133,mantenimiento,2,0),IF(M$5='Conceptos Desglosados'!$H$12,VLOOKUP($A133,serestatal,2,0),IF(M$5='Conceptos Desglosados'!$H$13,VLOOKUP($A133,conferencias,2,0),"")))))))))),"")*M$3,"")</f>
        <v/>
      </c>
      <c r="O133">
        <f>SUM(K133:M133)</f>
        <v>2</v>
      </c>
    </row>
    <row r="134" spans="1:15" x14ac:dyDescent="0.35">
      <c r="A134">
        <v>129</v>
      </c>
      <c r="B134" t="s">
        <v>10</v>
      </c>
      <c r="C134" t="s">
        <v>785</v>
      </c>
      <c r="D134" t="s">
        <v>786</v>
      </c>
      <c r="E134" t="s">
        <v>656</v>
      </c>
      <c r="F134" t="s">
        <v>667</v>
      </c>
      <c r="G134" t="s">
        <v>0</v>
      </c>
      <c r="H134">
        <v>1.19</v>
      </c>
      <c r="I134">
        <v>2.7149999999999999</v>
      </c>
      <c r="J134" t="s">
        <v>6</v>
      </c>
      <c r="K134" t="str">
        <f>IFERROR(IFERROR(IF(K$5='Conceptos Desglosados'!$H$4,VLOOKUP($A134,dormitorios,2,0),IF(K$5='Conceptos Desglosados'!$H$5,VLOOKUP($A134,comedor,2,0),IF(K$5='Conceptos Desglosados'!$H$6,VLOOKUP($A134,alojamiento,2,0),IF(K$5='Conceptos Desglosados'!$H$7,VLOOKUP($A134,sanidad,2,0),IF(K$5='Conceptos Desglosados'!$H$8,VLOOKUP($A134,servicios,2,0),IF(K$5='Conceptos Desglosados'!$H$9,VLOOKUP($A134,comyaloj,2,0),IF(K$5='Conceptos Desglosados'!$H$10,VLOOKUP($A134,comandancia,2,0),IF(K$5='Conceptos Desglosados'!$H$11,VLOOKUP($A134,mantenimiento,2,0),IF(K$5='Conceptos Desglosados'!$H$12,VLOOKUP($A134,serestatal,2,0),IF(K$5='Conceptos Desglosados'!$H$13,VLOOKUP($A134,conferencias,2,0),"")))))))))),"")*K$3,"")</f>
        <v/>
      </c>
      <c r="L134" t="str">
        <f>IFERROR(IFERROR(IF(L$5='Conceptos Desglosados'!$H$4,VLOOKUP($A134,dormitorios,2,0),IF(L$5='Conceptos Desglosados'!$H$5,VLOOKUP($A134,comedor,2,0),IF(L$5='Conceptos Desglosados'!$H$6,VLOOKUP($A134,alojamiento,2,0),IF(L$5='Conceptos Desglosados'!$H$7,VLOOKUP($A134,sanidad,2,0),IF(L$5='Conceptos Desglosados'!$H$8,VLOOKUP($A134,servicios,2,0),IF(L$5='Conceptos Desglosados'!$H$9,VLOOKUP($A134,comyaloj,2,0),IF(L$5='Conceptos Desglosados'!$H$10,VLOOKUP($A134,comandancia,2,0),IF(L$5='Conceptos Desglosados'!$H$11,VLOOKUP($A134,mantenimiento,2,0),IF(L$5='Conceptos Desglosados'!$H$12,VLOOKUP($A134,serestatal,2,0),IF(L$5='Conceptos Desglosados'!$H$13,VLOOKUP($A134,conferencias,2,0),"")))))))))),"")*L$3,"")</f>
        <v/>
      </c>
      <c r="M134" t="str">
        <f>IFERROR(IFERROR(IF(M$5='Conceptos Desglosados'!$H$4,VLOOKUP($A134,dormitorios,2,0),IF(M$5='Conceptos Desglosados'!$H$5,VLOOKUP($A134,comedor,2,0),IF(M$5='Conceptos Desglosados'!$H$6,VLOOKUP($A134,alojamiento,2,0),IF(M$5='Conceptos Desglosados'!$H$7,VLOOKUP($A134,sanidad,2,0),IF(M$5='Conceptos Desglosados'!$H$8,VLOOKUP($A134,servicios,2,0),IF(M$5='Conceptos Desglosados'!$H$9,VLOOKUP($A134,comyaloj,2,0),IF(M$5='Conceptos Desglosados'!$H$10,VLOOKUP($A134,comandancia,2,0),IF(M$5='Conceptos Desglosados'!$H$11,VLOOKUP($A134,mantenimiento,2,0),IF(M$5='Conceptos Desglosados'!$H$12,VLOOKUP($A134,serestatal,2,0),IF(M$5='Conceptos Desglosados'!$H$13,VLOOKUP($A134,conferencias,2,0),"")))))))))),"")*M$3,"")</f>
        <v/>
      </c>
      <c r="O134">
        <f>SUM(K134:M134)</f>
        <v>0</v>
      </c>
    </row>
    <row r="135" spans="1:15" x14ac:dyDescent="0.35">
      <c r="A135">
        <v>130</v>
      </c>
      <c r="B135" t="s">
        <v>10</v>
      </c>
      <c r="C135" t="s">
        <v>791</v>
      </c>
      <c r="D135" t="s">
        <v>792</v>
      </c>
      <c r="E135" t="s">
        <v>656</v>
      </c>
      <c r="F135" t="s">
        <v>511</v>
      </c>
      <c r="G135" t="s">
        <v>0</v>
      </c>
      <c r="H135">
        <v>1.31</v>
      </c>
      <c r="I135">
        <v>2.7149999999999999</v>
      </c>
      <c r="J135" t="s">
        <v>6</v>
      </c>
      <c r="K135" t="str">
        <f>IFERROR(IFERROR(IF(K$5='Conceptos Desglosados'!$H$4,VLOOKUP($A135,dormitorios,2,0),IF(K$5='Conceptos Desglosados'!$H$5,VLOOKUP($A135,comedor,2,0),IF(K$5='Conceptos Desglosados'!$H$6,VLOOKUP($A135,alojamiento,2,0),IF(K$5='Conceptos Desglosados'!$H$7,VLOOKUP($A135,sanidad,2,0),IF(K$5='Conceptos Desglosados'!$H$8,VLOOKUP($A135,servicios,2,0),IF(K$5='Conceptos Desglosados'!$H$9,VLOOKUP($A135,comyaloj,2,0),IF(K$5='Conceptos Desglosados'!$H$10,VLOOKUP($A135,comandancia,2,0),IF(K$5='Conceptos Desglosados'!$H$11,VLOOKUP($A135,mantenimiento,2,0),IF(K$5='Conceptos Desglosados'!$H$12,VLOOKUP($A135,serestatal,2,0),IF(K$5='Conceptos Desglosados'!$H$13,VLOOKUP($A135,conferencias,2,0),"")))))))))),"")*K$3,"")</f>
        <v/>
      </c>
      <c r="L135" t="str">
        <f>IFERROR(IFERROR(IF(L$5='Conceptos Desglosados'!$H$4,VLOOKUP($A135,dormitorios,2,0),IF(L$5='Conceptos Desglosados'!$H$5,VLOOKUP($A135,comedor,2,0),IF(L$5='Conceptos Desglosados'!$H$6,VLOOKUP($A135,alojamiento,2,0),IF(L$5='Conceptos Desglosados'!$H$7,VLOOKUP($A135,sanidad,2,0),IF(L$5='Conceptos Desglosados'!$H$8,VLOOKUP($A135,servicios,2,0),IF(L$5='Conceptos Desglosados'!$H$9,VLOOKUP($A135,comyaloj,2,0),IF(L$5='Conceptos Desglosados'!$H$10,VLOOKUP($A135,comandancia,2,0),IF(L$5='Conceptos Desglosados'!$H$11,VLOOKUP($A135,mantenimiento,2,0),IF(L$5='Conceptos Desglosados'!$H$12,VLOOKUP($A135,serestatal,2,0),IF(L$5='Conceptos Desglosados'!$H$13,VLOOKUP($A135,conferencias,2,0),"")))))))))),"")*L$3,"")</f>
        <v/>
      </c>
      <c r="M135" t="str">
        <f>IFERROR(IFERROR(IF(M$5='Conceptos Desglosados'!$H$4,VLOOKUP($A135,dormitorios,2,0),IF(M$5='Conceptos Desglosados'!$H$5,VLOOKUP($A135,comedor,2,0),IF(M$5='Conceptos Desglosados'!$H$6,VLOOKUP($A135,alojamiento,2,0),IF(M$5='Conceptos Desglosados'!$H$7,VLOOKUP($A135,sanidad,2,0),IF(M$5='Conceptos Desglosados'!$H$8,VLOOKUP($A135,servicios,2,0),IF(M$5='Conceptos Desglosados'!$H$9,VLOOKUP($A135,comyaloj,2,0),IF(M$5='Conceptos Desglosados'!$H$10,VLOOKUP($A135,comandancia,2,0),IF(M$5='Conceptos Desglosados'!$H$11,VLOOKUP($A135,mantenimiento,2,0),IF(M$5='Conceptos Desglosados'!$H$12,VLOOKUP($A135,serestatal,2,0),IF(M$5='Conceptos Desglosados'!$H$13,VLOOKUP($A135,conferencias,2,0),"")))))))))),"")*M$3,"")</f>
        <v/>
      </c>
      <c r="O135">
        <f>SUM(K135:M135)</f>
        <v>0</v>
      </c>
    </row>
    <row r="136" spans="1:15" x14ac:dyDescent="0.35">
      <c r="A136">
        <v>131</v>
      </c>
      <c r="B136" t="s">
        <v>10</v>
      </c>
      <c r="C136" t="s">
        <v>793</v>
      </c>
      <c r="D136" t="s">
        <v>794</v>
      </c>
      <c r="E136" t="s">
        <v>656</v>
      </c>
      <c r="F136" t="s">
        <v>511</v>
      </c>
      <c r="G136" t="s">
        <v>0</v>
      </c>
      <c r="H136">
        <v>1.22</v>
      </c>
      <c r="I136">
        <v>2.7149999999999999</v>
      </c>
      <c r="J136" t="s">
        <v>6</v>
      </c>
      <c r="K136" t="str">
        <f>IFERROR(IFERROR(IF(K$5='Conceptos Desglosados'!$H$4,VLOOKUP($A136,dormitorios,2,0),IF(K$5='Conceptos Desglosados'!$H$5,VLOOKUP($A136,comedor,2,0),IF(K$5='Conceptos Desglosados'!$H$6,VLOOKUP($A136,alojamiento,2,0),IF(K$5='Conceptos Desglosados'!$H$7,VLOOKUP($A136,sanidad,2,0),IF(K$5='Conceptos Desglosados'!$H$8,VLOOKUP($A136,servicios,2,0),IF(K$5='Conceptos Desglosados'!$H$9,VLOOKUP($A136,comyaloj,2,0),IF(K$5='Conceptos Desglosados'!$H$10,VLOOKUP($A136,comandancia,2,0),IF(K$5='Conceptos Desglosados'!$H$11,VLOOKUP($A136,mantenimiento,2,0),IF(K$5='Conceptos Desglosados'!$H$12,VLOOKUP($A136,serestatal,2,0),IF(K$5='Conceptos Desglosados'!$H$13,VLOOKUP($A136,conferencias,2,0),"")))))))))),"")*K$3,"")</f>
        <v/>
      </c>
      <c r="L136" t="str">
        <f>IFERROR(IFERROR(IF(L$5='Conceptos Desglosados'!$H$4,VLOOKUP($A136,dormitorios,2,0),IF(L$5='Conceptos Desglosados'!$H$5,VLOOKUP($A136,comedor,2,0),IF(L$5='Conceptos Desglosados'!$H$6,VLOOKUP($A136,alojamiento,2,0),IF(L$5='Conceptos Desglosados'!$H$7,VLOOKUP($A136,sanidad,2,0),IF(L$5='Conceptos Desglosados'!$H$8,VLOOKUP($A136,servicios,2,0),IF(L$5='Conceptos Desglosados'!$H$9,VLOOKUP($A136,comyaloj,2,0),IF(L$5='Conceptos Desglosados'!$H$10,VLOOKUP($A136,comandancia,2,0),IF(L$5='Conceptos Desglosados'!$H$11,VLOOKUP($A136,mantenimiento,2,0),IF(L$5='Conceptos Desglosados'!$H$12,VLOOKUP($A136,serestatal,2,0),IF(L$5='Conceptos Desglosados'!$H$13,VLOOKUP($A136,conferencias,2,0),"")))))))))),"")*L$3,"")</f>
        <v/>
      </c>
      <c r="M136" t="str">
        <f>IFERROR(IFERROR(IF(M$5='Conceptos Desglosados'!$H$4,VLOOKUP($A136,dormitorios,2,0),IF(M$5='Conceptos Desglosados'!$H$5,VLOOKUP($A136,comedor,2,0),IF(M$5='Conceptos Desglosados'!$H$6,VLOOKUP($A136,alojamiento,2,0),IF(M$5='Conceptos Desglosados'!$H$7,VLOOKUP($A136,sanidad,2,0),IF(M$5='Conceptos Desglosados'!$H$8,VLOOKUP($A136,servicios,2,0),IF(M$5='Conceptos Desglosados'!$H$9,VLOOKUP($A136,comyaloj,2,0),IF(M$5='Conceptos Desglosados'!$H$10,VLOOKUP($A136,comandancia,2,0),IF(M$5='Conceptos Desglosados'!$H$11,VLOOKUP($A136,mantenimiento,2,0),IF(M$5='Conceptos Desglosados'!$H$12,VLOOKUP($A136,serestatal,2,0),IF(M$5='Conceptos Desglosados'!$H$13,VLOOKUP($A136,conferencias,2,0),"")))))))))),"")*M$3,"")</f>
        <v/>
      </c>
      <c r="O136">
        <f>SUM(K136:M136)</f>
        <v>0</v>
      </c>
    </row>
    <row r="137" spans="1:15" x14ac:dyDescent="0.35">
      <c r="A137">
        <v>132</v>
      </c>
      <c r="B137" t="s">
        <v>10</v>
      </c>
      <c r="C137" t="s">
        <v>795</v>
      </c>
      <c r="D137" t="s">
        <v>796</v>
      </c>
      <c r="E137" t="s">
        <v>656</v>
      </c>
      <c r="F137" t="s">
        <v>511</v>
      </c>
      <c r="G137" t="s">
        <v>0</v>
      </c>
      <c r="H137">
        <v>0.6</v>
      </c>
      <c r="I137">
        <v>2.7149999999999999</v>
      </c>
      <c r="J137" t="s">
        <v>6</v>
      </c>
      <c r="K137" t="str">
        <f>IFERROR(IFERROR(IF(K$5='Conceptos Desglosados'!$H$4,VLOOKUP($A137,dormitorios,2,0),IF(K$5='Conceptos Desglosados'!$H$5,VLOOKUP($A137,comedor,2,0),IF(K$5='Conceptos Desglosados'!$H$6,VLOOKUP($A137,alojamiento,2,0),IF(K$5='Conceptos Desglosados'!$H$7,VLOOKUP($A137,sanidad,2,0),IF(K$5='Conceptos Desglosados'!$H$8,VLOOKUP($A137,servicios,2,0),IF(K$5='Conceptos Desglosados'!$H$9,VLOOKUP($A137,comyaloj,2,0),IF(K$5='Conceptos Desglosados'!$H$10,VLOOKUP($A137,comandancia,2,0),IF(K$5='Conceptos Desglosados'!$H$11,VLOOKUP($A137,mantenimiento,2,0),IF(K$5='Conceptos Desglosados'!$H$12,VLOOKUP($A137,serestatal,2,0),IF(K$5='Conceptos Desglosados'!$H$13,VLOOKUP($A137,conferencias,2,0),"")))))))))),"")*K$3,"")</f>
        <v/>
      </c>
      <c r="L137" t="str">
        <f>IFERROR(IFERROR(IF(L$5='Conceptos Desglosados'!$H$4,VLOOKUP($A137,dormitorios,2,0),IF(L$5='Conceptos Desglosados'!$H$5,VLOOKUP($A137,comedor,2,0),IF(L$5='Conceptos Desglosados'!$H$6,VLOOKUP($A137,alojamiento,2,0),IF(L$5='Conceptos Desglosados'!$H$7,VLOOKUP($A137,sanidad,2,0),IF(L$5='Conceptos Desglosados'!$H$8,VLOOKUP($A137,servicios,2,0),IF(L$5='Conceptos Desglosados'!$H$9,VLOOKUP($A137,comyaloj,2,0),IF(L$5='Conceptos Desglosados'!$H$10,VLOOKUP($A137,comandancia,2,0),IF(L$5='Conceptos Desglosados'!$H$11,VLOOKUP($A137,mantenimiento,2,0),IF(L$5='Conceptos Desglosados'!$H$12,VLOOKUP($A137,serestatal,2,0),IF(L$5='Conceptos Desglosados'!$H$13,VLOOKUP($A137,conferencias,2,0),"")))))))))),"")*L$3,"")</f>
        <v/>
      </c>
      <c r="M137" t="str">
        <f>IFERROR(IFERROR(IF(M$5='Conceptos Desglosados'!$H$4,VLOOKUP($A137,dormitorios,2,0),IF(M$5='Conceptos Desglosados'!$H$5,VLOOKUP($A137,comedor,2,0),IF(M$5='Conceptos Desglosados'!$H$6,VLOOKUP($A137,alojamiento,2,0),IF(M$5='Conceptos Desglosados'!$H$7,VLOOKUP($A137,sanidad,2,0),IF(M$5='Conceptos Desglosados'!$H$8,VLOOKUP($A137,servicios,2,0),IF(M$5='Conceptos Desglosados'!$H$9,VLOOKUP($A137,comyaloj,2,0),IF(M$5='Conceptos Desglosados'!$H$10,VLOOKUP($A137,comandancia,2,0),IF(M$5='Conceptos Desglosados'!$H$11,VLOOKUP($A137,mantenimiento,2,0),IF(M$5='Conceptos Desglosados'!$H$12,VLOOKUP($A137,serestatal,2,0),IF(M$5='Conceptos Desglosados'!$H$13,VLOOKUP($A137,conferencias,2,0),"")))))))))),"")*M$3,"")</f>
        <v/>
      </c>
      <c r="O137">
        <f>SUM(K137:M137)</f>
        <v>0</v>
      </c>
    </row>
    <row r="138" spans="1:15" x14ac:dyDescent="0.35">
      <c r="A138">
        <v>133</v>
      </c>
      <c r="B138" t="s">
        <v>10</v>
      </c>
      <c r="C138" t="s">
        <v>797</v>
      </c>
      <c r="D138" t="s">
        <v>798</v>
      </c>
      <c r="E138" t="s">
        <v>656</v>
      </c>
      <c r="F138" t="s">
        <v>511</v>
      </c>
      <c r="G138" t="s">
        <v>0</v>
      </c>
      <c r="H138">
        <v>0.77</v>
      </c>
      <c r="I138">
        <v>2.7149999999999999</v>
      </c>
      <c r="J138" t="s">
        <v>6</v>
      </c>
      <c r="K138" t="str">
        <f>IFERROR(IFERROR(IF(K$5='Conceptos Desglosados'!$H$4,VLOOKUP($A138,dormitorios,2,0),IF(K$5='Conceptos Desglosados'!$H$5,VLOOKUP($A138,comedor,2,0),IF(K$5='Conceptos Desglosados'!$H$6,VLOOKUP($A138,alojamiento,2,0),IF(K$5='Conceptos Desglosados'!$H$7,VLOOKUP($A138,sanidad,2,0),IF(K$5='Conceptos Desglosados'!$H$8,VLOOKUP($A138,servicios,2,0),IF(K$5='Conceptos Desglosados'!$H$9,VLOOKUP($A138,comyaloj,2,0),IF(K$5='Conceptos Desglosados'!$H$10,VLOOKUP($A138,comandancia,2,0),IF(K$5='Conceptos Desglosados'!$H$11,VLOOKUP($A138,mantenimiento,2,0),IF(K$5='Conceptos Desglosados'!$H$12,VLOOKUP($A138,serestatal,2,0),IF(K$5='Conceptos Desglosados'!$H$13,VLOOKUP($A138,conferencias,2,0),"")))))))))),"")*K$3,"")</f>
        <v/>
      </c>
      <c r="L138" t="str">
        <f>IFERROR(IFERROR(IF(L$5='Conceptos Desglosados'!$H$4,VLOOKUP($A138,dormitorios,2,0),IF(L$5='Conceptos Desglosados'!$H$5,VLOOKUP($A138,comedor,2,0),IF(L$5='Conceptos Desglosados'!$H$6,VLOOKUP($A138,alojamiento,2,0),IF(L$5='Conceptos Desglosados'!$H$7,VLOOKUP($A138,sanidad,2,0),IF(L$5='Conceptos Desglosados'!$H$8,VLOOKUP($A138,servicios,2,0),IF(L$5='Conceptos Desglosados'!$H$9,VLOOKUP($A138,comyaloj,2,0),IF(L$5='Conceptos Desglosados'!$H$10,VLOOKUP($A138,comandancia,2,0),IF(L$5='Conceptos Desglosados'!$H$11,VLOOKUP($A138,mantenimiento,2,0),IF(L$5='Conceptos Desglosados'!$H$12,VLOOKUP($A138,serestatal,2,0),IF(L$5='Conceptos Desglosados'!$H$13,VLOOKUP($A138,conferencias,2,0),"")))))))))),"")*L$3,"")</f>
        <v/>
      </c>
      <c r="M138" t="str">
        <f>IFERROR(IFERROR(IF(M$5='Conceptos Desglosados'!$H$4,VLOOKUP($A138,dormitorios,2,0),IF(M$5='Conceptos Desglosados'!$H$5,VLOOKUP($A138,comedor,2,0),IF(M$5='Conceptos Desglosados'!$H$6,VLOOKUP($A138,alojamiento,2,0),IF(M$5='Conceptos Desglosados'!$H$7,VLOOKUP($A138,sanidad,2,0),IF(M$5='Conceptos Desglosados'!$H$8,VLOOKUP($A138,servicios,2,0),IF(M$5='Conceptos Desglosados'!$H$9,VLOOKUP($A138,comyaloj,2,0),IF(M$5='Conceptos Desglosados'!$H$10,VLOOKUP($A138,comandancia,2,0),IF(M$5='Conceptos Desglosados'!$H$11,VLOOKUP($A138,mantenimiento,2,0),IF(M$5='Conceptos Desglosados'!$H$12,VLOOKUP($A138,serestatal,2,0),IF(M$5='Conceptos Desglosados'!$H$13,VLOOKUP($A138,conferencias,2,0),"")))))))))),"")*M$3,"")</f>
        <v/>
      </c>
      <c r="O138">
        <f>SUM(K138:M138)</f>
        <v>0</v>
      </c>
    </row>
    <row r="139" spans="1:15" x14ac:dyDescent="0.35">
      <c r="A139">
        <v>134</v>
      </c>
      <c r="B139" t="s">
        <v>10</v>
      </c>
      <c r="C139" t="s">
        <v>799</v>
      </c>
      <c r="D139" t="s">
        <v>800</v>
      </c>
      <c r="E139" t="s">
        <v>656</v>
      </c>
      <c r="F139" t="s">
        <v>667</v>
      </c>
      <c r="G139" t="s">
        <v>0</v>
      </c>
      <c r="H139">
        <v>0.82</v>
      </c>
      <c r="I139">
        <v>2.7149999999999999</v>
      </c>
      <c r="J139" t="s">
        <v>6</v>
      </c>
      <c r="K139" t="str">
        <f>IFERROR(IFERROR(IF(K$5='Conceptos Desglosados'!$H$4,VLOOKUP($A139,dormitorios,2,0),IF(K$5='Conceptos Desglosados'!$H$5,VLOOKUP($A139,comedor,2,0),IF(K$5='Conceptos Desglosados'!$H$6,VLOOKUP($A139,alojamiento,2,0),IF(K$5='Conceptos Desglosados'!$H$7,VLOOKUP($A139,sanidad,2,0),IF(K$5='Conceptos Desglosados'!$H$8,VLOOKUP($A139,servicios,2,0),IF(K$5='Conceptos Desglosados'!$H$9,VLOOKUP($A139,comyaloj,2,0),IF(K$5='Conceptos Desglosados'!$H$10,VLOOKUP($A139,comandancia,2,0),IF(K$5='Conceptos Desglosados'!$H$11,VLOOKUP($A139,mantenimiento,2,0),IF(K$5='Conceptos Desglosados'!$H$12,VLOOKUP($A139,serestatal,2,0),IF(K$5='Conceptos Desglosados'!$H$13,VLOOKUP($A139,conferencias,2,0),"")))))))))),"")*K$3,"")</f>
        <v/>
      </c>
      <c r="L139" t="str">
        <f>IFERROR(IFERROR(IF(L$5='Conceptos Desglosados'!$H$4,VLOOKUP($A139,dormitorios,2,0),IF(L$5='Conceptos Desglosados'!$H$5,VLOOKUP($A139,comedor,2,0),IF(L$5='Conceptos Desglosados'!$H$6,VLOOKUP($A139,alojamiento,2,0),IF(L$5='Conceptos Desglosados'!$H$7,VLOOKUP($A139,sanidad,2,0),IF(L$5='Conceptos Desglosados'!$H$8,VLOOKUP($A139,servicios,2,0),IF(L$5='Conceptos Desglosados'!$H$9,VLOOKUP($A139,comyaloj,2,0),IF(L$5='Conceptos Desglosados'!$H$10,VLOOKUP($A139,comandancia,2,0),IF(L$5='Conceptos Desglosados'!$H$11,VLOOKUP($A139,mantenimiento,2,0),IF(L$5='Conceptos Desglosados'!$H$12,VLOOKUP($A139,serestatal,2,0),IF(L$5='Conceptos Desglosados'!$H$13,VLOOKUP($A139,conferencias,2,0),"")))))))))),"")*L$3,"")</f>
        <v/>
      </c>
      <c r="M139" t="str">
        <f>IFERROR(IFERROR(IF(M$5='Conceptos Desglosados'!$H$4,VLOOKUP($A139,dormitorios,2,0),IF(M$5='Conceptos Desglosados'!$H$5,VLOOKUP($A139,comedor,2,0),IF(M$5='Conceptos Desglosados'!$H$6,VLOOKUP($A139,alojamiento,2,0),IF(M$5='Conceptos Desglosados'!$H$7,VLOOKUP($A139,sanidad,2,0),IF(M$5='Conceptos Desglosados'!$H$8,VLOOKUP($A139,servicios,2,0),IF(M$5='Conceptos Desglosados'!$H$9,VLOOKUP($A139,comyaloj,2,0),IF(M$5='Conceptos Desglosados'!$H$10,VLOOKUP($A139,comandancia,2,0),IF(M$5='Conceptos Desglosados'!$H$11,VLOOKUP($A139,mantenimiento,2,0),IF(M$5='Conceptos Desglosados'!$H$12,VLOOKUP($A139,serestatal,2,0),IF(M$5='Conceptos Desglosados'!$H$13,VLOOKUP($A139,conferencias,2,0),"")))))))))),"")*M$3,"")</f>
        <v/>
      </c>
      <c r="O139">
        <f>SUM(K139:M139)</f>
        <v>0</v>
      </c>
    </row>
    <row r="140" spans="1:15" x14ac:dyDescent="0.35">
      <c r="A140">
        <v>135</v>
      </c>
      <c r="B140" t="s">
        <v>10</v>
      </c>
      <c r="C140" t="s">
        <v>801</v>
      </c>
      <c r="D140" t="s">
        <v>802</v>
      </c>
      <c r="E140" t="s">
        <v>656</v>
      </c>
      <c r="F140" t="s">
        <v>667</v>
      </c>
      <c r="G140" t="s">
        <v>0</v>
      </c>
      <c r="H140">
        <v>0.98</v>
      </c>
      <c r="I140">
        <v>2.7149999999999999</v>
      </c>
      <c r="J140" t="s">
        <v>6</v>
      </c>
      <c r="K140" t="str">
        <f>IFERROR(IFERROR(IF(K$5='Conceptos Desglosados'!$H$4,VLOOKUP($A140,dormitorios,2,0),IF(K$5='Conceptos Desglosados'!$H$5,VLOOKUP($A140,comedor,2,0),IF(K$5='Conceptos Desglosados'!$H$6,VLOOKUP($A140,alojamiento,2,0),IF(K$5='Conceptos Desglosados'!$H$7,VLOOKUP($A140,sanidad,2,0),IF(K$5='Conceptos Desglosados'!$H$8,VLOOKUP($A140,servicios,2,0),IF(K$5='Conceptos Desglosados'!$H$9,VLOOKUP($A140,comyaloj,2,0),IF(K$5='Conceptos Desglosados'!$H$10,VLOOKUP($A140,comandancia,2,0),IF(K$5='Conceptos Desglosados'!$H$11,VLOOKUP($A140,mantenimiento,2,0),IF(K$5='Conceptos Desglosados'!$H$12,VLOOKUP($A140,serestatal,2,0),IF(K$5='Conceptos Desglosados'!$H$13,VLOOKUP($A140,conferencias,2,0),"")))))))))),"")*K$3,"")</f>
        <v/>
      </c>
      <c r="L140" t="str">
        <f>IFERROR(IFERROR(IF(L$5='Conceptos Desglosados'!$H$4,VLOOKUP($A140,dormitorios,2,0),IF(L$5='Conceptos Desglosados'!$H$5,VLOOKUP($A140,comedor,2,0),IF(L$5='Conceptos Desglosados'!$H$6,VLOOKUP($A140,alojamiento,2,0),IF(L$5='Conceptos Desglosados'!$H$7,VLOOKUP($A140,sanidad,2,0),IF(L$5='Conceptos Desglosados'!$H$8,VLOOKUP($A140,servicios,2,0),IF(L$5='Conceptos Desglosados'!$H$9,VLOOKUP($A140,comyaloj,2,0),IF(L$5='Conceptos Desglosados'!$H$10,VLOOKUP($A140,comandancia,2,0),IF(L$5='Conceptos Desglosados'!$H$11,VLOOKUP($A140,mantenimiento,2,0),IF(L$5='Conceptos Desglosados'!$H$12,VLOOKUP($A140,serestatal,2,0),IF(L$5='Conceptos Desglosados'!$H$13,VLOOKUP($A140,conferencias,2,0),"")))))))))),"")*L$3,"")</f>
        <v/>
      </c>
      <c r="M140" t="str">
        <f>IFERROR(IFERROR(IF(M$5='Conceptos Desglosados'!$H$4,VLOOKUP($A140,dormitorios,2,0),IF(M$5='Conceptos Desglosados'!$H$5,VLOOKUP($A140,comedor,2,0),IF(M$5='Conceptos Desglosados'!$H$6,VLOOKUP($A140,alojamiento,2,0),IF(M$5='Conceptos Desglosados'!$H$7,VLOOKUP($A140,sanidad,2,0),IF(M$5='Conceptos Desglosados'!$H$8,VLOOKUP($A140,servicios,2,0),IF(M$5='Conceptos Desglosados'!$H$9,VLOOKUP($A140,comyaloj,2,0),IF(M$5='Conceptos Desglosados'!$H$10,VLOOKUP($A140,comandancia,2,0),IF(M$5='Conceptos Desglosados'!$H$11,VLOOKUP($A140,mantenimiento,2,0),IF(M$5='Conceptos Desglosados'!$H$12,VLOOKUP($A140,serestatal,2,0),IF(M$5='Conceptos Desglosados'!$H$13,VLOOKUP($A140,conferencias,2,0),"")))))))))),"")*M$3,"")</f>
        <v/>
      </c>
      <c r="O140">
        <f>SUM(K140:M140)</f>
        <v>0</v>
      </c>
    </row>
    <row r="141" spans="1:15" x14ac:dyDescent="0.35">
      <c r="A141">
        <v>136</v>
      </c>
      <c r="B141" t="s">
        <v>10</v>
      </c>
      <c r="C141" t="s">
        <v>803</v>
      </c>
      <c r="D141" t="s">
        <v>804</v>
      </c>
      <c r="E141" t="s">
        <v>656</v>
      </c>
      <c r="F141" t="s">
        <v>667</v>
      </c>
      <c r="G141" t="s">
        <v>0</v>
      </c>
      <c r="H141">
        <v>1.91</v>
      </c>
      <c r="I141">
        <v>2.7149999999999999</v>
      </c>
      <c r="J141" t="s">
        <v>6</v>
      </c>
      <c r="K141" t="str">
        <f>IFERROR(IFERROR(IF(K$5='Conceptos Desglosados'!$H$4,VLOOKUP($A141,dormitorios,2,0),IF(K$5='Conceptos Desglosados'!$H$5,VLOOKUP($A141,comedor,2,0),IF(K$5='Conceptos Desglosados'!$H$6,VLOOKUP($A141,alojamiento,2,0),IF(K$5='Conceptos Desglosados'!$H$7,VLOOKUP($A141,sanidad,2,0),IF(K$5='Conceptos Desglosados'!$H$8,VLOOKUP($A141,servicios,2,0),IF(K$5='Conceptos Desglosados'!$H$9,VLOOKUP($A141,comyaloj,2,0),IF(K$5='Conceptos Desglosados'!$H$10,VLOOKUP($A141,comandancia,2,0),IF(K$5='Conceptos Desglosados'!$H$11,VLOOKUP($A141,mantenimiento,2,0),IF(K$5='Conceptos Desglosados'!$H$12,VLOOKUP($A141,serestatal,2,0),IF(K$5='Conceptos Desglosados'!$H$13,VLOOKUP($A141,conferencias,2,0),"")))))))))),"")*K$3,"")</f>
        <v/>
      </c>
      <c r="L141" t="str">
        <f>IFERROR(IFERROR(IF(L$5='Conceptos Desglosados'!$H$4,VLOOKUP($A141,dormitorios,2,0),IF(L$5='Conceptos Desglosados'!$H$5,VLOOKUP($A141,comedor,2,0),IF(L$5='Conceptos Desglosados'!$H$6,VLOOKUP($A141,alojamiento,2,0),IF(L$5='Conceptos Desglosados'!$H$7,VLOOKUP($A141,sanidad,2,0),IF(L$5='Conceptos Desglosados'!$H$8,VLOOKUP($A141,servicios,2,0),IF(L$5='Conceptos Desglosados'!$H$9,VLOOKUP($A141,comyaloj,2,0),IF(L$5='Conceptos Desglosados'!$H$10,VLOOKUP($A141,comandancia,2,0),IF(L$5='Conceptos Desglosados'!$H$11,VLOOKUP($A141,mantenimiento,2,0),IF(L$5='Conceptos Desglosados'!$H$12,VLOOKUP($A141,serestatal,2,0),IF(L$5='Conceptos Desglosados'!$H$13,VLOOKUP($A141,conferencias,2,0),"")))))))))),"")*L$3,"")</f>
        <v/>
      </c>
      <c r="M141" t="str">
        <f>IFERROR(IFERROR(IF(M$5='Conceptos Desglosados'!$H$4,VLOOKUP($A141,dormitorios,2,0),IF(M$5='Conceptos Desglosados'!$H$5,VLOOKUP($A141,comedor,2,0),IF(M$5='Conceptos Desglosados'!$H$6,VLOOKUP($A141,alojamiento,2,0),IF(M$5='Conceptos Desglosados'!$H$7,VLOOKUP($A141,sanidad,2,0),IF(M$5='Conceptos Desglosados'!$H$8,VLOOKUP($A141,servicios,2,0),IF(M$5='Conceptos Desglosados'!$H$9,VLOOKUP($A141,comyaloj,2,0),IF(M$5='Conceptos Desglosados'!$H$10,VLOOKUP($A141,comandancia,2,0),IF(M$5='Conceptos Desglosados'!$H$11,VLOOKUP($A141,mantenimiento,2,0),IF(M$5='Conceptos Desglosados'!$H$12,VLOOKUP($A141,serestatal,2,0),IF(M$5='Conceptos Desglosados'!$H$13,VLOOKUP($A141,conferencias,2,0),"")))))))))),"")*M$3,"")</f>
        <v/>
      </c>
      <c r="O141">
        <f>SUM(K141:M141)</f>
        <v>0</v>
      </c>
    </row>
    <row r="142" spans="1:15" x14ac:dyDescent="0.35">
      <c r="A142">
        <v>137</v>
      </c>
      <c r="B142" t="s">
        <v>10</v>
      </c>
      <c r="C142" t="s">
        <v>805</v>
      </c>
      <c r="D142" t="s">
        <v>806</v>
      </c>
      <c r="E142" t="s">
        <v>656</v>
      </c>
      <c r="F142" t="s">
        <v>511</v>
      </c>
      <c r="G142" t="s">
        <v>0</v>
      </c>
      <c r="H142">
        <v>2.11</v>
      </c>
      <c r="I142">
        <v>2.7149999999999999</v>
      </c>
      <c r="J142" t="s">
        <v>6</v>
      </c>
      <c r="K142" t="str">
        <f>IFERROR(IFERROR(IF(K$5='Conceptos Desglosados'!$H$4,VLOOKUP($A142,dormitorios,2,0),IF(K$5='Conceptos Desglosados'!$H$5,VLOOKUP($A142,comedor,2,0),IF(K$5='Conceptos Desglosados'!$H$6,VLOOKUP($A142,alojamiento,2,0),IF(K$5='Conceptos Desglosados'!$H$7,VLOOKUP($A142,sanidad,2,0),IF(K$5='Conceptos Desglosados'!$H$8,VLOOKUP($A142,servicios,2,0),IF(K$5='Conceptos Desglosados'!$H$9,VLOOKUP($A142,comyaloj,2,0),IF(K$5='Conceptos Desglosados'!$H$10,VLOOKUP($A142,comandancia,2,0),IF(K$5='Conceptos Desglosados'!$H$11,VLOOKUP($A142,mantenimiento,2,0),IF(K$5='Conceptos Desglosados'!$H$12,VLOOKUP($A142,serestatal,2,0),IF(K$5='Conceptos Desglosados'!$H$13,VLOOKUP($A142,conferencias,2,0),"")))))))))),"")*K$3,"")</f>
        <v/>
      </c>
      <c r="L142" t="str">
        <f>IFERROR(IFERROR(IF(L$5='Conceptos Desglosados'!$H$4,VLOOKUP($A142,dormitorios,2,0),IF(L$5='Conceptos Desglosados'!$H$5,VLOOKUP($A142,comedor,2,0),IF(L$5='Conceptos Desglosados'!$H$6,VLOOKUP($A142,alojamiento,2,0),IF(L$5='Conceptos Desglosados'!$H$7,VLOOKUP($A142,sanidad,2,0),IF(L$5='Conceptos Desglosados'!$H$8,VLOOKUP($A142,servicios,2,0),IF(L$5='Conceptos Desglosados'!$H$9,VLOOKUP($A142,comyaloj,2,0),IF(L$5='Conceptos Desglosados'!$H$10,VLOOKUP($A142,comandancia,2,0),IF(L$5='Conceptos Desglosados'!$H$11,VLOOKUP($A142,mantenimiento,2,0),IF(L$5='Conceptos Desglosados'!$H$12,VLOOKUP($A142,serestatal,2,0),IF(L$5='Conceptos Desglosados'!$H$13,VLOOKUP($A142,conferencias,2,0),"")))))))))),"")*L$3,"")</f>
        <v/>
      </c>
      <c r="M142" t="str">
        <f>IFERROR(IFERROR(IF(M$5='Conceptos Desglosados'!$H$4,VLOOKUP($A142,dormitorios,2,0),IF(M$5='Conceptos Desglosados'!$H$5,VLOOKUP($A142,comedor,2,0),IF(M$5='Conceptos Desglosados'!$H$6,VLOOKUP($A142,alojamiento,2,0),IF(M$5='Conceptos Desglosados'!$H$7,VLOOKUP($A142,sanidad,2,0),IF(M$5='Conceptos Desglosados'!$H$8,VLOOKUP($A142,servicios,2,0),IF(M$5='Conceptos Desglosados'!$H$9,VLOOKUP($A142,comyaloj,2,0),IF(M$5='Conceptos Desglosados'!$H$10,VLOOKUP($A142,comandancia,2,0),IF(M$5='Conceptos Desglosados'!$H$11,VLOOKUP($A142,mantenimiento,2,0),IF(M$5='Conceptos Desglosados'!$H$12,VLOOKUP($A142,serestatal,2,0),IF(M$5='Conceptos Desglosados'!$H$13,VLOOKUP($A142,conferencias,2,0),"")))))))))),"")*M$3,"")</f>
        <v/>
      </c>
      <c r="O142">
        <f>SUM(K142:M142)</f>
        <v>0</v>
      </c>
    </row>
    <row r="143" spans="1:15" x14ac:dyDescent="0.35">
      <c r="A143">
        <v>138</v>
      </c>
      <c r="B143" t="s">
        <v>10</v>
      </c>
      <c r="C143" t="s">
        <v>807</v>
      </c>
      <c r="D143" t="s">
        <v>808</v>
      </c>
      <c r="E143" t="s">
        <v>656</v>
      </c>
      <c r="F143" t="s">
        <v>511</v>
      </c>
      <c r="G143" t="s">
        <v>2</v>
      </c>
      <c r="H143">
        <v>1.26</v>
      </c>
      <c r="I143">
        <v>2.7149999999999999</v>
      </c>
      <c r="J143" t="s">
        <v>6</v>
      </c>
      <c r="K143" t="str">
        <f>IFERROR(IFERROR(IF(K$5='Conceptos Desglosados'!$H$4,VLOOKUP($A143,dormitorios,2,0),IF(K$5='Conceptos Desglosados'!$H$5,VLOOKUP($A143,comedor,2,0),IF(K$5='Conceptos Desglosados'!$H$6,VLOOKUP($A143,alojamiento,2,0),IF(K$5='Conceptos Desglosados'!$H$7,VLOOKUP($A143,sanidad,2,0),IF(K$5='Conceptos Desglosados'!$H$8,VLOOKUP($A143,servicios,2,0),IF(K$5='Conceptos Desglosados'!$H$9,VLOOKUP($A143,comyaloj,2,0),IF(K$5='Conceptos Desglosados'!$H$10,VLOOKUP($A143,comandancia,2,0),IF(K$5='Conceptos Desglosados'!$H$11,VLOOKUP($A143,mantenimiento,2,0),IF(K$5='Conceptos Desglosados'!$H$12,VLOOKUP($A143,serestatal,2,0),IF(K$5='Conceptos Desglosados'!$H$13,VLOOKUP($A143,conferencias,2,0),"")))))))))),"")*K$3,"")</f>
        <v/>
      </c>
      <c r="L143" t="str">
        <f>IFERROR(IFERROR(IF(L$5='Conceptos Desglosados'!$H$4,VLOOKUP($A143,dormitorios,2,0),IF(L$5='Conceptos Desglosados'!$H$5,VLOOKUP($A143,comedor,2,0),IF(L$5='Conceptos Desglosados'!$H$6,VLOOKUP($A143,alojamiento,2,0),IF(L$5='Conceptos Desglosados'!$H$7,VLOOKUP($A143,sanidad,2,0),IF(L$5='Conceptos Desglosados'!$H$8,VLOOKUP($A143,servicios,2,0),IF(L$5='Conceptos Desglosados'!$H$9,VLOOKUP($A143,comyaloj,2,0),IF(L$5='Conceptos Desglosados'!$H$10,VLOOKUP($A143,comandancia,2,0),IF(L$5='Conceptos Desglosados'!$H$11,VLOOKUP($A143,mantenimiento,2,0),IF(L$5='Conceptos Desglosados'!$H$12,VLOOKUP($A143,serestatal,2,0),IF(L$5='Conceptos Desglosados'!$H$13,VLOOKUP($A143,conferencias,2,0),"")))))))))),"")*L$3,"")</f>
        <v/>
      </c>
      <c r="M143" t="str">
        <f>IFERROR(IFERROR(IF(M$5='Conceptos Desglosados'!$H$4,VLOOKUP($A143,dormitorios,2,0),IF(M$5='Conceptos Desglosados'!$H$5,VLOOKUP($A143,comedor,2,0),IF(M$5='Conceptos Desglosados'!$H$6,VLOOKUP($A143,alojamiento,2,0),IF(M$5='Conceptos Desglosados'!$H$7,VLOOKUP($A143,sanidad,2,0),IF(M$5='Conceptos Desglosados'!$H$8,VLOOKUP($A143,servicios,2,0),IF(M$5='Conceptos Desglosados'!$H$9,VLOOKUP($A143,comyaloj,2,0),IF(M$5='Conceptos Desglosados'!$H$10,VLOOKUP($A143,comandancia,2,0),IF(M$5='Conceptos Desglosados'!$H$11,VLOOKUP($A143,mantenimiento,2,0),IF(M$5='Conceptos Desglosados'!$H$12,VLOOKUP($A143,serestatal,2,0),IF(M$5='Conceptos Desglosados'!$H$13,VLOOKUP($A143,conferencias,2,0),"")))))))))),"")*M$3,"")</f>
        <v/>
      </c>
      <c r="O143">
        <f>SUM(K143:M143)</f>
        <v>0</v>
      </c>
    </row>
    <row r="144" spans="1:15" x14ac:dyDescent="0.35">
      <c r="A144">
        <v>139</v>
      </c>
      <c r="B144" t="s">
        <v>10</v>
      </c>
      <c r="C144" t="s">
        <v>809</v>
      </c>
      <c r="D144" t="s">
        <v>810</v>
      </c>
      <c r="E144" t="s">
        <v>656</v>
      </c>
      <c r="F144" t="s">
        <v>511</v>
      </c>
      <c r="G144" t="s">
        <v>0</v>
      </c>
      <c r="H144">
        <v>1.88</v>
      </c>
      <c r="I144">
        <v>2.7149999999999999</v>
      </c>
      <c r="J144" t="s">
        <v>6</v>
      </c>
      <c r="K144" t="str">
        <f>IFERROR(IFERROR(IF(K$5='Conceptos Desglosados'!$H$4,VLOOKUP($A144,dormitorios,2,0),IF(K$5='Conceptos Desglosados'!$H$5,VLOOKUP($A144,comedor,2,0),IF(K$5='Conceptos Desglosados'!$H$6,VLOOKUP($A144,alojamiento,2,0),IF(K$5='Conceptos Desglosados'!$H$7,VLOOKUP($A144,sanidad,2,0),IF(K$5='Conceptos Desglosados'!$H$8,VLOOKUP($A144,servicios,2,0),IF(K$5='Conceptos Desglosados'!$H$9,VLOOKUP($A144,comyaloj,2,0),IF(K$5='Conceptos Desglosados'!$H$10,VLOOKUP($A144,comandancia,2,0),IF(K$5='Conceptos Desglosados'!$H$11,VLOOKUP($A144,mantenimiento,2,0),IF(K$5='Conceptos Desglosados'!$H$12,VLOOKUP($A144,serestatal,2,0),IF(K$5='Conceptos Desglosados'!$H$13,VLOOKUP($A144,conferencias,2,0),"")))))))))),"")*K$3,"")</f>
        <v/>
      </c>
      <c r="L144" t="str">
        <f>IFERROR(IFERROR(IF(L$5='Conceptos Desglosados'!$H$4,VLOOKUP($A144,dormitorios,2,0),IF(L$5='Conceptos Desglosados'!$H$5,VLOOKUP($A144,comedor,2,0),IF(L$5='Conceptos Desglosados'!$H$6,VLOOKUP($A144,alojamiento,2,0),IF(L$5='Conceptos Desglosados'!$H$7,VLOOKUP($A144,sanidad,2,0),IF(L$5='Conceptos Desglosados'!$H$8,VLOOKUP($A144,servicios,2,0),IF(L$5='Conceptos Desglosados'!$H$9,VLOOKUP($A144,comyaloj,2,0),IF(L$5='Conceptos Desglosados'!$H$10,VLOOKUP($A144,comandancia,2,0),IF(L$5='Conceptos Desglosados'!$H$11,VLOOKUP($A144,mantenimiento,2,0),IF(L$5='Conceptos Desglosados'!$H$12,VLOOKUP($A144,serestatal,2,0),IF(L$5='Conceptos Desglosados'!$H$13,VLOOKUP($A144,conferencias,2,0),"")))))))))),"")*L$3,"")</f>
        <v/>
      </c>
      <c r="M144" t="str">
        <f>IFERROR(IFERROR(IF(M$5='Conceptos Desglosados'!$H$4,VLOOKUP($A144,dormitorios,2,0),IF(M$5='Conceptos Desglosados'!$H$5,VLOOKUP($A144,comedor,2,0),IF(M$5='Conceptos Desglosados'!$H$6,VLOOKUP($A144,alojamiento,2,0),IF(M$5='Conceptos Desglosados'!$H$7,VLOOKUP($A144,sanidad,2,0),IF(M$5='Conceptos Desglosados'!$H$8,VLOOKUP($A144,servicios,2,0),IF(M$5='Conceptos Desglosados'!$H$9,VLOOKUP($A144,comyaloj,2,0),IF(M$5='Conceptos Desglosados'!$H$10,VLOOKUP($A144,comandancia,2,0),IF(M$5='Conceptos Desglosados'!$H$11,VLOOKUP($A144,mantenimiento,2,0),IF(M$5='Conceptos Desglosados'!$H$12,VLOOKUP($A144,serestatal,2,0),IF(M$5='Conceptos Desglosados'!$H$13,VLOOKUP($A144,conferencias,2,0),"")))))))))),"")*M$3,"")</f>
        <v/>
      </c>
      <c r="O144">
        <f>SUM(K144:M144)</f>
        <v>0</v>
      </c>
    </row>
    <row r="145" spans="1:15" x14ac:dyDescent="0.35">
      <c r="A145">
        <v>140</v>
      </c>
      <c r="B145" t="s">
        <v>10</v>
      </c>
      <c r="C145" t="s">
        <v>811</v>
      </c>
      <c r="D145" t="s">
        <v>812</v>
      </c>
      <c r="E145" t="s">
        <v>656</v>
      </c>
      <c r="F145" t="s">
        <v>511</v>
      </c>
      <c r="G145" t="s">
        <v>0</v>
      </c>
      <c r="H145">
        <v>0.98</v>
      </c>
      <c r="I145">
        <v>2.7149999999999999</v>
      </c>
      <c r="J145" t="s">
        <v>6</v>
      </c>
      <c r="K145" t="str">
        <f>IFERROR(IFERROR(IF(K$5='Conceptos Desglosados'!$H$4,VLOOKUP($A145,dormitorios,2,0),IF(K$5='Conceptos Desglosados'!$H$5,VLOOKUP($A145,comedor,2,0),IF(K$5='Conceptos Desglosados'!$H$6,VLOOKUP($A145,alojamiento,2,0),IF(K$5='Conceptos Desglosados'!$H$7,VLOOKUP($A145,sanidad,2,0),IF(K$5='Conceptos Desglosados'!$H$8,VLOOKUP($A145,servicios,2,0),IF(K$5='Conceptos Desglosados'!$H$9,VLOOKUP($A145,comyaloj,2,0),IF(K$5='Conceptos Desglosados'!$H$10,VLOOKUP($A145,comandancia,2,0),IF(K$5='Conceptos Desglosados'!$H$11,VLOOKUP($A145,mantenimiento,2,0),IF(K$5='Conceptos Desglosados'!$H$12,VLOOKUP($A145,serestatal,2,0),IF(K$5='Conceptos Desglosados'!$H$13,VLOOKUP($A145,conferencias,2,0),"")))))))))),"")*K$3,"")</f>
        <v/>
      </c>
      <c r="L145" t="str">
        <f>IFERROR(IFERROR(IF(L$5='Conceptos Desglosados'!$H$4,VLOOKUP($A145,dormitorios,2,0),IF(L$5='Conceptos Desglosados'!$H$5,VLOOKUP($A145,comedor,2,0),IF(L$5='Conceptos Desglosados'!$H$6,VLOOKUP($A145,alojamiento,2,0),IF(L$5='Conceptos Desglosados'!$H$7,VLOOKUP($A145,sanidad,2,0),IF(L$5='Conceptos Desglosados'!$H$8,VLOOKUP($A145,servicios,2,0),IF(L$5='Conceptos Desglosados'!$H$9,VLOOKUP($A145,comyaloj,2,0),IF(L$5='Conceptos Desglosados'!$H$10,VLOOKUP($A145,comandancia,2,0),IF(L$5='Conceptos Desglosados'!$H$11,VLOOKUP($A145,mantenimiento,2,0),IF(L$5='Conceptos Desglosados'!$H$12,VLOOKUP($A145,serestatal,2,0),IF(L$5='Conceptos Desglosados'!$H$13,VLOOKUP($A145,conferencias,2,0),"")))))))))),"")*L$3,"")</f>
        <v/>
      </c>
      <c r="M145" t="str">
        <f>IFERROR(IFERROR(IF(M$5='Conceptos Desglosados'!$H$4,VLOOKUP($A145,dormitorios,2,0),IF(M$5='Conceptos Desglosados'!$H$5,VLOOKUP($A145,comedor,2,0),IF(M$5='Conceptos Desglosados'!$H$6,VLOOKUP($A145,alojamiento,2,0),IF(M$5='Conceptos Desglosados'!$H$7,VLOOKUP($A145,sanidad,2,0),IF(M$5='Conceptos Desglosados'!$H$8,VLOOKUP($A145,servicios,2,0),IF(M$5='Conceptos Desglosados'!$H$9,VLOOKUP($A145,comyaloj,2,0),IF(M$5='Conceptos Desglosados'!$H$10,VLOOKUP($A145,comandancia,2,0),IF(M$5='Conceptos Desglosados'!$H$11,VLOOKUP($A145,mantenimiento,2,0),IF(M$5='Conceptos Desglosados'!$H$12,VLOOKUP($A145,serestatal,2,0),IF(M$5='Conceptos Desglosados'!$H$13,VLOOKUP($A145,conferencias,2,0),"")))))))))),"")*M$3,"")</f>
        <v/>
      </c>
      <c r="O145">
        <f>SUM(K145:M145)</f>
        <v>0</v>
      </c>
    </row>
    <row r="146" spans="1:15" x14ac:dyDescent="0.35">
      <c r="A146">
        <v>141</v>
      </c>
      <c r="B146" t="s">
        <v>10</v>
      </c>
      <c r="C146" t="s">
        <v>813</v>
      </c>
      <c r="D146" t="s">
        <v>814</v>
      </c>
      <c r="E146" t="s">
        <v>656</v>
      </c>
      <c r="F146" t="s">
        <v>511</v>
      </c>
      <c r="G146" t="s">
        <v>2</v>
      </c>
      <c r="H146">
        <v>0.98</v>
      </c>
      <c r="I146">
        <v>2.7149999999999999</v>
      </c>
      <c r="J146" t="s">
        <v>6</v>
      </c>
      <c r="K146" t="str">
        <f>IFERROR(IFERROR(IF(K$5='Conceptos Desglosados'!$H$4,VLOOKUP($A146,dormitorios,2,0),IF(K$5='Conceptos Desglosados'!$H$5,VLOOKUP($A146,comedor,2,0),IF(K$5='Conceptos Desglosados'!$H$6,VLOOKUP($A146,alojamiento,2,0),IF(K$5='Conceptos Desglosados'!$H$7,VLOOKUP($A146,sanidad,2,0),IF(K$5='Conceptos Desglosados'!$H$8,VLOOKUP($A146,servicios,2,0),IF(K$5='Conceptos Desglosados'!$H$9,VLOOKUP($A146,comyaloj,2,0),IF(K$5='Conceptos Desglosados'!$H$10,VLOOKUP($A146,comandancia,2,0),IF(K$5='Conceptos Desglosados'!$H$11,VLOOKUP($A146,mantenimiento,2,0),IF(K$5='Conceptos Desglosados'!$H$12,VLOOKUP($A146,serestatal,2,0),IF(K$5='Conceptos Desglosados'!$H$13,VLOOKUP($A146,conferencias,2,0),"")))))))))),"")*K$3,"")</f>
        <v/>
      </c>
      <c r="L146" t="str">
        <f>IFERROR(IFERROR(IF(L$5='Conceptos Desglosados'!$H$4,VLOOKUP($A146,dormitorios,2,0),IF(L$5='Conceptos Desglosados'!$H$5,VLOOKUP($A146,comedor,2,0),IF(L$5='Conceptos Desglosados'!$H$6,VLOOKUP($A146,alojamiento,2,0),IF(L$5='Conceptos Desglosados'!$H$7,VLOOKUP($A146,sanidad,2,0),IF(L$5='Conceptos Desglosados'!$H$8,VLOOKUP($A146,servicios,2,0),IF(L$5='Conceptos Desglosados'!$H$9,VLOOKUP($A146,comyaloj,2,0),IF(L$5='Conceptos Desglosados'!$H$10,VLOOKUP($A146,comandancia,2,0),IF(L$5='Conceptos Desglosados'!$H$11,VLOOKUP($A146,mantenimiento,2,0),IF(L$5='Conceptos Desglosados'!$H$12,VLOOKUP($A146,serestatal,2,0),IF(L$5='Conceptos Desglosados'!$H$13,VLOOKUP($A146,conferencias,2,0),"")))))))))),"")*L$3,"")</f>
        <v/>
      </c>
      <c r="M146">
        <f>IFERROR(IFERROR(IF(M$5='Conceptos Desglosados'!$H$4,VLOOKUP($A146,dormitorios,2,0),IF(M$5='Conceptos Desglosados'!$H$5,VLOOKUP($A146,comedor,2,0),IF(M$5='Conceptos Desglosados'!$H$6,VLOOKUP($A146,alojamiento,2,0),IF(M$5='Conceptos Desglosados'!$H$7,VLOOKUP($A146,sanidad,2,0),IF(M$5='Conceptos Desglosados'!$H$8,VLOOKUP($A146,servicios,2,0),IF(M$5='Conceptos Desglosados'!$H$9,VLOOKUP($A146,comyaloj,2,0),IF(M$5='Conceptos Desglosados'!$H$10,VLOOKUP($A146,comandancia,2,0),IF(M$5='Conceptos Desglosados'!$H$11,VLOOKUP($A146,mantenimiento,2,0),IF(M$5='Conceptos Desglosados'!$H$12,VLOOKUP($A146,serestatal,2,0),IF(M$5='Conceptos Desglosados'!$H$13,VLOOKUP($A146,conferencias,2,0),"")))))))))),"")*M$3,"")</f>
        <v>8</v>
      </c>
      <c r="O146">
        <f>SUM(K146:M146)</f>
        <v>8</v>
      </c>
    </row>
    <row r="147" spans="1:15" x14ac:dyDescent="0.35">
      <c r="A147">
        <v>142</v>
      </c>
      <c r="B147" t="s">
        <v>10</v>
      </c>
      <c r="C147" t="s">
        <v>820</v>
      </c>
      <c r="D147" t="s">
        <v>821</v>
      </c>
      <c r="E147" t="s">
        <v>656</v>
      </c>
      <c r="F147" t="s">
        <v>511</v>
      </c>
      <c r="G147" t="s">
        <v>0</v>
      </c>
      <c r="H147">
        <v>0.81</v>
      </c>
      <c r="I147">
        <v>2.7149999999999999</v>
      </c>
      <c r="J147" t="s">
        <v>6</v>
      </c>
      <c r="K147" t="str">
        <f>IFERROR(IFERROR(IF(K$5='Conceptos Desglosados'!$H$4,VLOOKUP($A147,dormitorios,2,0),IF(K$5='Conceptos Desglosados'!$H$5,VLOOKUP($A147,comedor,2,0),IF(K$5='Conceptos Desglosados'!$H$6,VLOOKUP($A147,alojamiento,2,0),IF(K$5='Conceptos Desglosados'!$H$7,VLOOKUP($A147,sanidad,2,0),IF(K$5='Conceptos Desglosados'!$H$8,VLOOKUP($A147,servicios,2,0),IF(K$5='Conceptos Desglosados'!$H$9,VLOOKUP($A147,comyaloj,2,0),IF(K$5='Conceptos Desglosados'!$H$10,VLOOKUP($A147,comandancia,2,0),IF(K$5='Conceptos Desglosados'!$H$11,VLOOKUP($A147,mantenimiento,2,0),IF(K$5='Conceptos Desglosados'!$H$12,VLOOKUP($A147,serestatal,2,0),IF(K$5='Conceptos Desglosados'!$H$13,VLOOKUP($A147,conferencias,2,0),"")))))))))),"")*K$3,"")</f>
        <v/>
      </c>
      <c r="L147" t="str">
        <f>IFERROR(IFERROR(IF(L$5='Conceptos Desglosados'!$H$4,VLOOKUP($A147,dormitorios,2,0),IF(L$5='Conceptos Desglosados'!$H$5,VLOOKUP($A147,comedor,2,0),IF(L$5='Conceptos Desglosados'!$H$6,VLOOKUP($A147,alojamiento,2,0),IF(L$5='Conceptos Desglosados'!$H$7,VLOOKUP($A147,sanidad,2,0),IF(L$5='Conceptos Desglosados'!$H$8,VLOOKUP($A147,servicios,2,0),IF(L$5='Conceptos Desglosados'!$H$9,VLOOKUP($A147,comyaloj,2,0),IF(L$5='Conceptos Desglosados'!$H$10,VLOOKUP($A147,comandancia,2,0),IF(L$5='Conceptos Desglosados'!$H$11,VLOOKUP($A147,mantenimiento,2,0),IF(L$5='Conceptos Desglosados'!$H$12,VLOOKUP($A147,serestatal,2,0),IF(L$5='Conceptos Desglosados'!$H$13,VLOOKUP($A147,conferencias,2,0),"")))))))))),"")*L$3,"")</f>
        <v/>
      </c>
      <c r="M147" t="str">
        <f>IFERROR(IFERROR(IF(M$5='Conceptos Desglosados'!$H$4,VLOOKUP($A147,dormitorios,2,0),IF(M$5='Conceptos Desglosados'!$H$5,VLOOKUP($A147,comedor,2,0),IF(M$5='Conceptos Desglosados'!$H$6,VLOOKUP($A147,alojamiento,2,0),IF(M$5='Conceptos Desglosados'!$H$7,VLOOKUP($A147,sanidad,2,0),IF(M$5='Conceptos Desglosados'!$H$8,VLOOKUP($A147,servicios,2,0),IF(M$5='Conceptos Desglosados'!$H$9,VLOOKUP($A147,comyaloj,2,0),IF(M$5='Conceptos Desglosados'!$H$10,VLOOKUP($A147,comandancia,2,0),IF(M$5='Conceptos Desglosados'!$H$11,VLOOKUP($A147,mantenimiento,2,0),IF(M$5='Conceptos Desglosados'!$H$12,VLOOKUP($A147,serestatal,2,0),IF(M$5='Conceptos Desglosados'!$H$13,VLOOKUP($A147,conferencias,2,0),"")))))))))),"")*M$3,"")</f>
        <v/>
      </c>
      <c r="O147">
        <f>SUM(K147:M147)</f>
        <v>0</v>
      </c>
    </row>
    <row r="148" spans="1:15" x14ac:dyDescent="0.35">
      <c r="A148">
        <v>143</v>
      </c>
      <c r="B148" t="s">
        <v>10</v>
      </c>
      <c r="C148" t="s">
        <v>826</v>
      </c>
      <c r="D148" t="s">
        <v>827</v>
      </c>
      <c r="E148" t="s">
        <v>656</v>
      </c>
      <c r="F148" t="s">
        <v>667</v>
      </c>
      <c r="G148" t="s">
        <v>0</v>
      </c>
      <c r="H148">
        <v>1.18</v>
      </c>
      <c r="I148">
        <v>2.7149999999999999</v>
      </c>
      <c r="J148" t="s">
        <v>6</v>
      </c>
      <c r="K148" t="str">
        <f>IFERROR(IFERROR(IF(K$5='Conceptos Desglosados'!$H$4,VLOOKUP($A148,dormitorios,2,0),IF(K$5='Conceptos Desglosados'!$H$5,VLOOKUP($A148,comedor,2,0),IF(K$5='Conceptos Desglosados'!$H$6,VLOOKUP($A148,alojamiento,2,0),IF(K$5='Conceptos Desglosados'!$H$7,VLOOKUP($A148,sanidad,2,0),IF(K$5='Conceptos Desglosados'!$H$8,VLOOKUP($A148,servicios,2,0),IF(K$5='Conceptos Desglosados'!$H$9,VLOOKUP($A148,comyaloj,2,0),IF(K$5='Conceptos Desglosados'!$H$10,VLOOKUP($A148,comandancia,2,0),IF(K$5='Conceptos Desglosados'!$H$11,VLOOKUP($A148,mantenimiento,2,0),IF(K$5='Conceptos Desglosados'!$H$12,VLOOKUP($A148,serestatal,2,0),IF(K$5='Conceptos Desglosados'!$H$13,VLOOKUP($A148,conferencias,2,0),"")))))))))),"")*K$3,"")</f>
        <v/>
      </c>
      <c r="L148" t="str">
        <f>IFERROR(IFERROR(IF(L$5='Conceptos Desglosados'!$H$4,VLOOKUP($A148,dormitorios,2,0),IF(L$5='Conceptos Desglosados'!$H$5,VLOOKUP($A148,comedor,2,0),IF(L$5='Conceptos Desglosados'!$H$6,VLOOKUP($A148,alojamiento,2,0),IF(L$5='Conceptos Desglosados'!$H$7,VLOOKUP($A148,sanidad,2,0),IF(L$5='Conceptos Desglosados'!$H$8,VLOOKUP($A148,servicios,2,0),IF(L$5='Conceptos Desglosados'!$H$9,VLOOKUP($A148,comyaloj,2,0),IF(L$5='Conceptos Desglosados'!$H$10,VLOOKUP($A148,comandancia,2,0),IF(L$5='Conceptos Desglosados'!$H$11,VLOOKUP($A148,mantenimiento,2,0),IF(L$5='Conceptos Desglosados'!$H$12,VLOOKUP($A148,serestatal,2,0),IF(L$5='Conceptos Desglosados'!$H$13,VLOOKUP($A148,conferencias,2,0),"")))))))))),"")*L$3,"")</f>
        <v/>
      </c>
      <c r="M148" t="str">
        <f>IFERROR(IFERROR(IF(M$5='Conceptos Desglosados'!$H$4,VLOOKUP($A148,dormitorios,2,0),IF(M$5='Conceptos Desglosados'!$H$5,VLOOKUP($A148,comedor,2,0),IF(M$5='Conceptos Desglosados'!$H$6,VLOOKUP($A148,alojamiento,2,0),IF(M$5='Conceptos Desglosados'!$H$7,VLOOKUP($A148,sanidad,2,0),IF(M$5='Conceptos Desglosados'!$H$8,VLOOKUP($A148,servicios,2,0),IF(M$5='Conceptos Desglosados'!$H$9,VLOOKUP($A148,comyaloj,2,0),IF(M$5='Conceptos Desglosados'!$H$10,VLOOKUP($A148,comandancia,2,0),IF(M$5='Conceptos Desglosados'!$H$11,VLOOKUP($A148,mantenimiento,2,0),IF(M$5='Conceptos Desglosados'!$H$12,VLOOKUP($A148,serestatal,2,0),IF(M$5='Conceptos Desglosados'!$H$13,VLOOKUP($A148,conferencias,2,0),"")))))))))),"")*M$3,"")</f>
        <v/>
      </c>
      <c r="O148">
        <f>SUM(K148:M148)</f>
        <v>0</v>
      </c>
    </row>
    <row r="149" spans="1:15" x14ac:dyDescent="0.35">
      <c r="A149">
        <v>144</v>
      </c>
      <c r="B149" t="s">
        <v>10</v>
      </c>
      <c r="C149" t="s">
        <v>828</v>
      </c>
      <c r="D149" t="s">
        <v>829</v>
      </c>
      <c r="E149" t="s">
        <v>656</v>
      </c>
      <c r="F149" t="s">
        <v>667</v>
      </c>
      <c r="G149" t="s">
        <v>0</v>
      </c>
      <c r="H149">
        <v>1.07</v>
      </c>
      <c r="I149">
        <v>2.7149999999999999</v>
      </c>
      <c r="J149" t="s">
        <v>6</v>
      </c>
      <c r="K149">
        <f>IFERROR(IFERROR(IF(K$5='Conceptos Desglosados'!$H$4,VLOOKUP($A149,dormitorios,2,0),IF(K$5='Conceptos Desglosados'!$H$5,VLOOKUP($A149,comedor,2,0),IF(K$5='Conceptos Desglosados'!$H$6,VLOOKUP($A149,alojamiento,2,0),IF(K$5='Conceptos Desglosados'!$H$7,VLOOKUP($A149,sanidad,2,0),IF(K$5='Conceptos Desglosados'!$H$8,VLOOKUP($A149,servicios,2,0),IF(K$5='Conceptos Desglosados'!$H$9,VLOOKUP($A149,comyaloj,2,0),IF(K$5='Conceptos Desglosados'!$H$10,VLOOKUP($A149,comandancia,2,0),IF(K$5='Conceptos Desglosados'!$H$11,VLOOKUP($A149,mantenimiento,2,0),IF(K$5='Conceptos Desglosados'!$H$12,VLOOKUP($A149,serestatal,2,0),IF(K$5='Conceptos Desglosados'!$H$13,VLOOKUP($A149,conferencias,2,0),"")))))))))),"")*K$3,"")</f>
        <v>2</v>
      </c>
      <c r="L149" t="str">
        <f>IFERROR(IFERROR(IF(L$5='Conceptos Desglosados'!$H$4,VLOOKUP($A149,dormitorios,2,0),IF(L$5='Conceptos Desglosados'!$H$5,VLOOKUP($A149,comedor,2,0),IF(L$5='Conceptos Desglosados'!$H$6,VLOOKUP($A149,alojamiento,2,0),IF(L$5='Conceptos Desglosados'!$H$7,VLOOKUP($A149,sanidad,2,0),IF(L$5='Conceptos Desglosados'!$H$8,VLOOKUP($A149,servicios,2,0),IF(L$5='Conceptos Desglosados'!$H$9,VLOOKUP($A149,comyaloj,2,0),IF(L$5='Conceptos Desglosados'!$H$10,VLOOKUP($A149,comandancia,2,0),IF(L$5='Conceptos Desglosados'!$H$11,VLOOKUP($A149,mantenimiento,2,0),IF(L$5='Conceptos Desglosados'!$H$12,VLOOKUP($A149,serestatal,2,0),IF(L$5='Conceptos Desglosados'!$H$13,VLOOKUP($A149,conferencias,2,0),"")))))))))),"")*L$3,"")</f>
        <v/>
      </c>
      <c r="M149" t="str">
        <f>IFERROR(IFERROR(IF(M$5='Conceptos Desglosados'!$H$4,VLOOKUP($A149,dormitorios,2,0),IF(M$5='Conceptos Desglosados'!$H$5,VLOOKUP($A149,comedor,2,0),IF(M$5='Conceptos Desglosados'!$H$6,VLOOKUP($A149,alojamiento,2,0),IF(M$5='Conceptos Desglosados'!$H$7,VLOOKUP($A149,sanidad,2,0),IF(M$5='Conceptos Desglosados'!$H$8,VLOOKUP($A149,servicios,2,0),IF(M$5='Conceptos Desglosados'!$H$9,VLOOKUP($A149,comyaloj,2,0),IF(M$5='Conceptos Desglosados'!$H$10,VLOOKUP($A149,comandancia,2,0),IF(M$5='Conceptos Desglosados'!$H$11,VLOOKUP($A149,mantenimiento,2,0),IF(M$5='Conceptos Desglosados'!$H$12,VLOOKUP($A149,serestatal,2,0),IF(M$5='Conceptos Desglosados'!$H$13,VLOOKUP($A149,conferencias,2,0),"")))))))))),"")*M$3,"")</f>
        <v/>
      </c>
      <c r="O149">
        <f>SUM(K149:M149)</f>
        <v>2</v>
      </c>
    </row>
    <row r="150" spans="1:15" x14ac:dyDescent="0.35">
      <c r="A150">
        <v>145</v>
      </c>
      <c r="B150" t="s">
        <v>10</v>
      </c>
      <c r="C150" t="s">
        <v>834</v>
      </c>
      <c r="D150" t="s">
        <v>835</v>
      </c>
      <c r="E150" t="s">
        <v>656</v>
      </c>
      <c r="F150" t="s">
        <v>884</v>
      </c>
      <c r="G150" t="s">
        <v>0</v>
      </c>
      <c r="H150">
        <v>1.99</v>
      </c>
      <c r="I150">
        <v>2.7149999999999999</v>
      </c>
      <c r="J150" t="s">
        <v>6</v>
      </c>
      <c r="K150" t="str">
        <f>IFERROR(IFERROR(IF(K$5='Conceptos Desglosados'!$H$4,VLOOKUP($A150,dormitorios,2,0),IF(K$5='Conceptos Desglosados'!$H$5,VLOOKUP($A150,comedor,2,0),IF(K$5='Conceptos Desglosados'!$H$6,VLOOKUP($A150,alojamiento,2,0),IF(K$5='Conceptos Desglosados'!$H$7,VLOOKUP($A150,sanidad,2,0),IF(K$5='Conceptos Desglosados'!$H$8,VLOOKUP($A150,servicios,2,0),IF(K$5='Conceptos Desglosados'!$H$9,VLOOKUP($A150,comyaloj,2,0),IF(K$5='Conceptos Desglosados'!$H$10,VLOOKUP($A150,comandancia,2,0),IF(K$5='Conceptos Desglosados'!$H$11,VLOOKUP($A150,mantenimiento,2,0),IF(K$5='Conceptos Desglosados'!$H$12,VLOOKUP($A150,serestatal,2,0),IF(K$5='Conceptos Desglosados'!$H$13,VLOOKUP($A150,conferencias,2,0),"")))))))))),"")*K$3,"")</f>
        <v/>
      </c>
      <c r="L150" t="str">
        <f>IFERROR(IFERROR(IF(L$5='Conceptos Desglosados'!$H$4,VLOOKUP($A150,dormitorios,2,0),IF(L$5='Conceptos Desglosados'!$H$5,VLOOKUP($A150,comedor,2,0),IF(L$5='Conceptos Desglosados'!$H$6,VLOOKUP($A150,alojamiento,2,0),IF(L$5='Conceptos Desglosados'!$H$7,VLOOKUP($A150,sanidad,2,0),IF(L$5='Conceptos Desglosados'!$H$8,VLOOKUP($A150,servicios,2,0),IF(L$5='Conceptos Desglosados'!$H$9,VLOOKUP($A150,comyaloj,2,0),IF(L$5='Conceptos Desglosados'!$H$10,VLOOKUP($A150,comandancia,2,0),IF(L$5='Conceptos Desglosados'!$H$11,VLOOKUP($A150,mantenimiento,2,0),IF(L$5='Conceptos Desglosados'!$H$12,VLOOKUP($A150,serestatal,2,0),IF(L$5='Conceptos Desglosados'!$H$13,VLOOKUP($A150,conferencias,2,0),"")))))))))),"")*L$3,"")</f>
        <v/>
      </c>
      <c r="M150" t="str">
        <f>IFERROR(IFERROR(IF(M$5='Conceptos Desglosados'!$H$4,VLOOKUP($A150,dormitorios,2,0),IF(M$5='Conceptos Desglosados'!$H$5,VLOOKUP($A150,comedor,2,0),IF(M$5='Conceptos Desglosados'!$H$6,VLOOKUP($A150,alojamiento,2,0),IF(M$5='Conceptos Desglosados'!$H$7,VLOOKUP($A150,sanidad,2,0),IF(M$5='Conceptos Desglosados'!$H$8,VLOOKUP($A150,servicios,2,0),IF(M$5='Conceptos Desglosados'!$H$9,VLOOKUP($A150,comyaloj,2,0),IF(M$5='Conceptos Desglosados'!$H$10,VLOOKUP($A150,comandancia,2,0),IF(M$5='Conceptos Desglosados'!$H$11,VLOOKUP($A150,mantenimiento,2,0),IF(M$5='Conceptos Desglosados'!$H$12,VLOOKUP($A150,serestatal,2,0),IF(M$5='Conceptos Desglosados'!$H$13,VLOOKUP($A150,conferencias,2,0),"")))))))))),"")*M$3,"")</f>
        <v/>
      </c>
      <c r="O150">
        <f>SUM(K150:M150)</f>
        <v>0</v>
      </c>
    </row>
    <row r="151" spans="1:15" x14ac:dyDescent="0.35">
      <c r="A151">
        <v>146</v>
      </c>
      <c r="B151" t="s">
        <v>10</v>
      </c>
      <c r="C151" t="s">
        <v>840</v>
      </c>
      <c r="D151" t="s">
        <v>841</v>
      </c>
      <c r="E151" t="s">
        <v>656</v>
      </c>
      <c r="F151" t="s">
        <v>511</v>
      </c>
      <c r="G151" t="s">
        <v>0</v>
      </c>
      <c r="H151">
        <v>1.9</v>
      </c>
      <c r="I151">
        <v>2.7149999999999999</v>
      </c>
      <c r="J151" t="s">
        <v>6</v>
      </c>
      <c r="K151" t="str">
        <f>IFERROR(IFERROR(IF(K$5='Conceptos Desglosados'!$H$4,VLOOKUP($A151,dormitorios,2,0),IF(K$5='Conceptos Desglosados'!$H$5,VLOOKUP($A151,comedor,2,0),IF(K$5='Conceptos Desglosados'!$H$6,VLOOKUP($A151,alojamiento,2,0),IF(K$5='Conceptos Desglosados'!$H$7,VLOOKUP($A151,sanidad,2,0),IF(K$5='Conceptos Desglosados'!$H$8,VLOOKUP($A151,servicios,2,0),IF(K$5='Conceptos Desglosados'!$H$9,VLOOKUP($A151,comyaloj,2,0),IF(K$5='Conceptos Desglosados'!$H$10,VLOOKUP($A151,comandancia,2,0),IF(K$5='Conceptos Desglosados'!$H$11,VLOOKUP($A151,mantenimiento,2,0),IF(K$5='Conceptos Desglosados'!$H$12,VLOOKUP($A151,serestatal,2,0),IF(K$5='Conceptos Desglosados'!$H$13,VLOOKUP($A151,conferencias,2,0),"")))))))))),"")*K$3,"")</f>
        <v/>
      </c>
      <c r="L151" t="str">
        <f>IFERROR(IFERROR(IF(L$5='Conceptos Desglosados'!$H$4,VLOOKUP($A151,dormitorios,2,0),IF(L$5='Conceptos Desglosados'!$H$5,VLOOKUP($A151,comedor,2,0),IF(L$5='Conceptos Desglosados'!$H$6,VLOOKUP($A151,alojamiento,2,0),IF(L$5='Conceptos Desglosados'!$H$7,VLOOKUP($A151,sanidad,2,0),IF(L$5='Conceptos Desglosados'!$H$8,VLOOKUP($A151,servicios,2,0),IF(L$5='Conceptos Desglosados'!$H$9,VLOOKUP($A151,comyaloj,2,0),IF(L$5='Conceptos Desglosados'!$H$10,VLOOKUP($A151,comandancia,2,0),IF(L$5='Conceptos Desglosados'!$H$11,VLOOKUP($A151,mantenimiento,2,0),IF(L$5='Conceptos Desglosados'!$H$12,VLOOKUP($A151,serestatal,2,0),IF(L$5='Conceptos Desglosados'!$H$13,VLOOKUP($A151,conferencias,2,0),"")))))))))),"")*L$3,"")</f>
        <v/>
      </c>
      <c r="M151" t="str">
        <f>IFERROR(IFERROR(IF(M$5='Conceptos Desglosados'!$H$4,VLOOKUP($A151,dormitorios,2,0),IF(M$5='Conceptos Desglosados'!$H$5,VLOOKUP($A151,comedor,2,0),IF(M$5='Conceptos Desglosados'!$H$6,VLOOKUP($A151,alojamiento,2,0),IF(M$5='Conceptos Desglosados'!$H$7,VLOOKUP($A151,sanidad,2,0),IF(M$5='Conceptos Desglosados'!$H$8,VLOOKUP($A151,servicios,2,0),IF(M$5='Conceptos Desglosados'!$H$9,VLOOKUP($A151,comyaloj,2,0),IF(M$5='Conceptos Desglosados'!$H$10,VLOOKUP($A151,comandancia,2,0),IF(M$5='Conceptos Desglosados'!$H$11,VLOOKUP($A151,mantenimiento,2,0),IF(M$5='Conceptos Desglosados'!$H$12,VLOOKUP($A151,serestatal,2,0),IF(M$5='Conceptos Desglosados'!$H$13,VLOOKUP($A151,conferencias,2,0),"")))))))))),"")*M$3,"")</f>
        <v/>
      </c>
      <c r="O151">
        <f>SUM(K151:M151)</f>
        <v>0</v>
      </c>
    </row>
    <row r="152" spans="1:15" x14ac:dyDescent="0.35">
      <c r="A152">
        <v>147</v>
      </c>
      <c r="B152" t="s">
        <v>10</v>
      </c>
      <c r="C152" t="s">
        <v>842</v>
      </c>
      <c r="D152" t="s">
        <v>843</v>
      </c>
      <c r="E152" t="s">
        <v>656</v>
      </c>
      <c r="F152" t="s">
        <v>511</v>
      </c>
      <c r="G152" t="s">
        <v>2</v>
      </c>
      <c r="H152">
        <v>1.67</v>
      </c>
      <c r="I152">
        <v>2.7149999999999999</v>
      </c>
      <c r="J152" t="s">
        <v>6</v>
      </c>
      <c r="K152" t="str">
        <f>IFERROR(IFERROR(IF(K$5='Conceptos Desglosados'!$H$4,VLOOKUP($A152,dormitorios,2,0),IF(K$5='Conceptos Desglosados'!$H$5,VLOOKUP($A152,comedor,2,0),IF(K$5='Conceptos Desglosados'!$H$6,VLOOKUP($A152,alojamiento,2,0),IF(K$5='Conceptos Desglosados'!$H$7,VLOOKUP($A152,sanidad,2,0),IF(K$5='Conceptos Desglosados'!$H$8,VLOOKUP($A152,servicios,2,0),IF(K$5='Conceptos Desglosados'!$H$9,VLOOKUP($A152,comyaloj,2,0),IF(K$5='Conceptos Desglosados'!$H$10,VLOOKUP($A152,comandancia,2,0),IF(K$5='Conceptos Desglosados'!$H$11,VLOOKUP($A152,mantenimiento,2,0),IF(K$5='Conceptos Desglosados'!$H$12,VLOOKUP($A152,serestatal,2,0),IF(K$5='Conceptos Desglosados'!$H$13,VLOOKUP($A152,conferencias,2,0),"")))))))))),"")*K$3,"")</f>
        <v/>
      </c>
      <c r="L152">
        <f>IFERROR(IFERROR(IF(L$5='Conceptos Desglosados'!$H$4,VLOOKUP($A152,dormitorios,2,0),IF(L$5='Conceptos Desglosados'!$H$5,VLOOKUP($A152,comedor,2,0),IF(L$5='Conceptos Desglosados'!$H$6,VLOOKUP($A152,alojamiento,2,0),IF(L$5='Conceptos Desglosados'!$H$7,VLOOKUP($A152,sanidad,2,0),IF(L$5='Conceptos Desglosados'!$H$8,VLOOKUP($A152,servicios,2,0),IF(L$5='Conceptos Desglosados'!$H$9,VLOOKUP($A152,comyaloj,2,0),IF(L$5='Conceptos Desglosados'!$H$10,VLOOKUP($A152,comandancia,2,0),IF(L$5='Conceptos Desglosados'!$H$11,VLOOKUP($A152,mantenimiento,2,0),IF(L$5='Conceptos Desglosados'!$H$12,VLOOKUP($A152,serestatal,2,0),IF(L$5='Conceptos Desglosados'!$H$13,VLOOKUP($A152,conferencias,2,0),"")))))))))),"")*L$3,"")</f>
        <v>1</v>
      </c>
      <c r="M152" t="str">
        <f>IFERROR(IFERROR(IF(M$5='Conceptos Desglosados'!$H$4,VLOOKUP($A152,dormitorios,2,0),IF(M$5='Conceptos Desglosados'!$H$5,VLOOKUP($A152,comedor,2,0),IF(M$5='Conceptos Desglosados'!$H$6,VLOOKUP($A152,alojamiento,2,0),IF(M$5='Conceptos Desglosados'!$H$7,VLOOKUP($A152,sanidad,2,0),IF(M$5='Conceptos Desglosados'!$H$8,VLOOKUP($A152,servicios,2,0),IF(M$5='Conceptos Desglosados'!$H$9,VLOOKUP($A152,comyaloj,2,0),IF(M$5='Conceptos Desglosados'!$H$10,VLOOKUP($A152,comandancia,2,0),IF(M$5='Conceptos Desglosados'!$H$11,VLOOKUP($A152,mantenimiento,2,0),IF(M$5='Conceptos Desglosados'!$H$12,VLOOKUP($A152,serestatal,2,0),IF(M$5='Conceptos Desglosados'!$H$13,VLOOKUP($A152,conferencias,2,0),"")))))))))),"")*M$3,"")</f>
        <v/>
      </c>
      <c r="O152">
        <f>SUM(K152:M152)</f>
        <v>1</v>
      </c>
    </row>
    <row r="153" spans="1:15" x14ac:dyDescent="0.35">
      <c r="A153">
        <v>148</v>
      </c>
      <c r="B153" t="s">
        <v>10</v>
      </c>
      <c r="C153" t="s">
        <v>847</v>
      </c>
      <c r="D153" t="s">
        <v>848</v>
      </c>
      <c r="E153" t="s">
        <v>885</v>
      </c>
      <c r="F153" t="s">
        <v>511</v>
      </c>
      <c r="G153" t="s">
        <v>0</v>
      </c>
      <c r="H153">
        <v>2.02</v>
      </c>
      <c r="I153">
        <v>2.7149999999999999</v>
      </c>
      <c r="J153" t="s">
        <v>6</v>
      </c>
      <c r="K153" t="str">
        <f>IFERROR(IFERROR(IF(K$5='Conceptos Desglosados'!$H$4,VLOOKUP($A153,dormitorios,2,0),IF(K$5='Conceptos Desglosados'!$H$5,VLOOKUP($A153,comedor,2,0),IF(K$5='Conceptos Desglosados'!$H$6,VLOOKUP($A153,alojamiento,2,0),IF(K$5='Conceptos Desglosados'!$H$7,VLOOKUP($A153,sanidad,2,0),IF(K$5='Conceptos Desglosados'!$H$8,VLOOKUP($A153,servicios,2,0),IF(K$5='Conceptos Desglosados'!$H$9,VLOOKUP($A153,comyaloj,2,0),IF(K$5='Conceptos Desglosados'!$H$10,VLOOKUP($A153,comandancia,2,0),IF(K$5='Conceptos Desglosados'!$H$11,VLOOKUP($A153,mantenimiento,2,0),IF(K$5='Conceptos Desglosados'!$H$12,VLOOKUP($A153,serestatal,2,0),IF(K$5='Conceptos Desglosados'!$H$13,VLOOKUP($A153,conferencias,2,0),"")))))))))),"")*K$3,"")</f>
        <v/>
      </c>
      <c r="L153" t="str">
        <f>IFERROR(IFERROR(IF(L$5='Conceptos Desglosados'!$H$4,VLOOKUP($A153,dormitorios,2,0),IF(L$5='Conceptos Desglosados'!$H$5,VLOOKUP($A153,comedor,2,0),IF(L$5='Conceptos Desglosados'!$H$6,VLOOKUP($A153,alojamiento,2,0),IF(L$5='Conceptos Desglosados'!$H$7,VLOOKUP($A153,sanidad,2,0),IF(L$5='Conceptos Desglosados'!$H$8,VLOOKUP($A153,servicios,2,0),IF(L$5='Conceptos Desglosados'!$H$9,VLOOKUP($A153,comyaloj,2,0),IF(L$5='Conceptos Desglosados'!$H$10,VLOOKUP($A153,comandancia,2,0),IF(L$5='Conceptos Desglosados'!$H$11,VLOOKUP($A153,mantenimiento,2,0),IF(L$5='Conceptos Desglosados'!$H$12,VLOOKUP($A153,serestatal,2,0),IF(L$5='Conceptos Desglosados'!$H$13,VLOOKUP($A153,conferencias,2,0),"")))))))))),"")*L$3,"")</f>
        <v/>
      </c>
      <c r="M153" t="str">
        <f>IFERROR(IFERROR(IF(M$5='Conceptos Desglosados'!$H$4,VLOOKUP($A153,dormitorios,2,0),IF(M$5='Conceptos Desglosados'!$H$5,VLOOKUP($A153,comedor,2,0),IF(M$5='Conceptos Desglosados'!$H$6,VLOOKUP($A153,alojamiento,2,0),IF(M$5='Conceptos Desglosados'!$H$7,VLOOKUP($A153,sanidad,2,0),IF(M$5='Conceptos Desglosados'!$H$8,VLOOKUP($A153,servicios,2,0),IF(M$5='Conceptos Desglosados'!$H$9,VLOOKUP($A153,comyaloj,2,0),IF(M$5='Conceptos Desglosados'!$H$10,VLOOKUP($A153,comandancia,2,0),IF(M$5='Conceptos Desglosados'!$H$11,VLOOKUP($A153,mantenimiento,2,0),IF(M$5='Conceptos Desglosados'!$H$12,VLOOKUP($A153,serestatal,2,0),IF(M$5='Conceptos Desglosados'!$H$13,VLOOKUP($A153,conferencias,2,0),"")))))))))),"")*M$3,"")</f>
        <v/>
      </c>
      <c r="O153">
        <f>SUM(K153:M153)</f>
        <v>0</v>
      </c>
    </row>
    <row r="154" spans="1:15" x14ac:dyDescent="0.35">
      <c r="A154">
        <v>149</v>
      </c>
      <c r="B154" t="s">
        <v>10</v>
      </c>
      <c r="C154" t="s">
        <v>856</v>
      </c>
      <c r="D154" t="s">
        <v>857</v>
      </c>
      <c r="E154" t="s">
        <v>886</v>
      </c>
      <c r="F154" t="s">
        <v>884</v>
      </c>
      <c r="G154" t="s">
        <v>0</v>
      </c>
      <c r="H154">
        <v>1.96</v>
      </c>
      <c r="I154">
        <v>2.7149999999999999</v>
      </c>
      <c r="J154" t="s">
        <v>6</v>
      </c>
      <c r="K154" t="str">
        <f>IFERROR(IFERROR(IF(K$5='Conceptos Desglosados'!$H$4,VLOOKUP($A154,dormitorios,2,0),IF(K$5='Conceptos Desglosados'!$H$5,VLOOKUP($A154,comedor,2,0),IF(K$5='Conceptos Desglosados'!$H$6,VLOOKUP($A154,alojamiento,2,0),IF(K$5='Conceptos Desglosados'!$H$7,VLOOKUP($A154,sanidad,2,0),IF(K$5='Conceptos Desglosados'!$H$8,VLOOKUP($A154,servicios,2,0),IF(K$5='Conceptos Desglosados'!$H$9,VLOOKUP($A154,comyaloj,2,0),IF(K$5='Conceptos Desglosados'!$H$10,VLOOKUP($A154,comandancia,2,0),IF(K$5='Conceptos Desglosados'!$H$11,VLOOKUP($A154,mantenimiento,2,0),IF(K$5='Conceptos Desglosados'!$H$12,VLOOKUP($A154,serestatal,2,0),IF(K$5='Conceptos Desglosados'!$H$13,VLOOKUP($A154,conferencias,2,0),"")))))))))),"")*K$3,"")</f>
        <v/>
      </c>
      <c r="L154" t="str">
        <f>IFERROR(IFERROR(IF(L$5='Conceptos Desglosados'!$H$4,VLOOKUP($A154,dormitorios,2,0),IF(L$5='Conceptos Desglosados'!$H$5,VLOOKUP($A154,comedor,2,0),IF(L$5='Conceptos Desglosados'!$H$6,VLOOKUP($A154,alojamiento,2,0),IF(L$5='Conceptos Desglosados'!$H$7,VLOOKUP($A154,sanidad,2,0),IF(L$5='Conceptos Desglosados'!$H$8,VLOOKUP($A154,servicios,2,0),IF(L$5='Conceptos Desglosados'!$H$9,VLOOKUP($A154,comyaloj,2,0),IF(L$5='Conceptos Desglosados'!$H$10,VLOOKUP($A154,comandancia,2,0),IF(L$5='Conceptos Desglosados'!$H$11,VLOOKUP($A154,mantenimiento,2,0),IF(L$5='Conceptos Desglosados'!$H$12,VLOOKUP($A154,serestatal,2,0),IF(L$5='Conceptos Desglosados'!$H$13,VLOOKUP($A154,conferencias,2,0),"")))))))))),"")*L$3,"")</f>
        <v/>
      </c>
      <c r="M154" t="str">
        <f>IFERROR(IFERROR(IF(M$5='Conceptos Desglosados'!$H$4,VLOOKUP($A154,dormitorios,2,0),IF(M$5='Conceptos Desglosados'!$H$5,VLOOKUP($A154,comedor,2,0),IF(M$5='Conceptos Desglosados'!$H$6,VLOOKUP($A154,alojamiento,2,0),IF(M$5='Conceptos Desglosados'!$H$7,VLOOKUP($A154,sanidad,2,0),IF(M$5='Conceptos Desglosados'!$H$8,VLOOKUP($A154,servicios,2,0),IF(M$5='Conceptos Desglosados'!$H$9,VLOOKUP($A154,comyaloj,2,0),IF(M$5='Conceptos Desglosados'!$H$10,VLOOKUP($A154,comandancia,2,0),IF(M$5='Conceptos Desglosados'!$H$11,VLOOKUP($A154,mantenimiento,2,0),IF(M$5='Conceptos Desglosados'!$H$12,VLOOKUP($A154,serestatal,2,0),IF(M$5='Conceptos Desglosados'!$H$13,VLOOKUP($A154,conferencias,2,0),"")))))))))),"")*M$3,"")</f>
        <v/>
      </c>
      <c r="O154">
        <f>SUM(K154:M154)</f>
        <v>0</v>
      </c>
    </row>
    <row r="155" spans="1:15" x14ac:dyDescent="0.35">
      <c r="A155">
        <v>150</v>
      </c>
      <c r="B155" t="s">
        <v>10</v>
      </c>
      <c r="C155" t="s">
        <v>858</v>
      </c>
      <c r="D155" t="s">
        <v>859</v>
      </c>
      <c r="E155" t="s">
        <v>656</v>
      </c>
      <c r="F155" t="s">
        <v>511</v>
      </c>
      <c r="G155" t="s">
        <v>2</v>
      </c>
      <c r="H155">
        <v>1.02</v>
      </c>
      <c r="I155">
        <v>2.7149999999999999</v>
      </c>
      <c r="J155" t="s">
        <v>6</v>
      </c>
      <c r="K155" t="str">
        <f>IFERROR(IFERROR(IF(K$5='Conceptos Desglosados'!$H$4,VLOOKUP($A155,dormitorios,2,0),IF(K$5='Conceptos Desglosados'!$H$5,VLOOKUP($A155,comedor,2,0),IF(K$5='Conceptos Desglosados'!$H$6,VLOOKUP($A155,alojamiento,2,0),IF(K$5='Conceptos Desglosados'!$H$7,VLOOKUP($A155,sanidad,2,0),IF(K$5='Conceptos Desglosados'!$H$8,VLOOKUP($A155,servicios,2,0),IF(K$5='Conceptos Desglosados'!$H$9,VLOOKUP($A155,comyaloj,2,0),IF(K$5='Conceptos Desglosados'!$H$10,VLOOKUP($A155,comandancia,2,0),IF(K$5='Conceptos Desglosados'!$H$11,VLOOKUP($A155,mantenimiento,2,0),IF(K$5='Conceptos Desglosados'!$H$12,VLOOKUP($A155,serestatal,2,0),IF(K$5='Conceptos Desglosados'!$H$13,VLOOKUP($A155,conferencias,2,0),"")))))))))),"")*K$3,"")</f>
        <v/>
      </c>
      <c r="L155" t="str">
        <f>IFERROR(IFERROR(IF(L$5='Conceptos Desglosados'!$H$4,VLOOKUP($A155,dormitorios,2,0),IF(L$5='Conceptos Desglosados'!$H$5,VLOOKUP($A155,comedor,2,0),IF(L$5='Conceptos Desglosados'!$H$6,VLOOKUP($A155,alojamiento,2,0),IF(L$5='Conceptos Desglosados'!$H$7,VLOOKUP($A155,sanidad,2,0),IF(L$5='Conceptos Desglosados'!$H$8,VLOOKUP($A155,servicios,2,0),IF(L$5='Conceptos Desglosados'!$H$9,VLOOKUP($A155,comyaloj,2,0),IF(L$5='Conceptos Desglosados'!$H$10,VLOOKUP($A155,comandancia,2,0),IF(L$5='Conceptos Desglosados'!$H$11,VLOOKUP($A155,mantenimiento,2,0),IF(L$5='Conceptos Desglosados'!$H$12,VLOOKUP($A155,serestatal,2,0),IF(L$5='Conceptos Desglosados'!$H$13,VLOOKUP($A155,conferencias,2,0),"")))))))))),"")*L$3,"")</f>
        <v/>
      </c>
      <c r="M155" t="str">
        <f>IFERROR(IFERROR(IF(M$5='Conceptos Desglosados'!$H$4,VLOOKUP($A155,dormitorios,2,0),IF(M$5='Conceptos Desglosados'!$H$5,VLOOKUP($A155,comedor,2,0),IF(M$5='Conceptos Desglosados'!$H$6,VLOOKUP($A155,alojamiento,2,0),IF(M$5='Conceptos Desglosados'!$H$7,VLOOKUP($A155,sanidad,2,0),IF(M$5='Conceptos Desglosados'!$H$8,VLOOKUP($A155,servicios,2,0),IF(M$5='Conceptos Desglosados'!$H$9,VLOOKUP($A155,comyaloj,2,0),IF(M$5='Conceptos Desglosados'!$H$10,VLOOKUP($A155,comandancia,2,0),IF(M$5='Conceptos Desglosados'!$H$11,VLOOKUP($A155,mantenimiento,2,0),IF(M$5='Conceptos Desglosados'!$H$12,VLOOKUP($A155,serestatal,2,0),IF(M$5='Conceptos Desglosados'!$H$13,VLOOKUP($A155,conferencias,2,0),"")))))))))),"")*M$3,"")</f>
        <v/>
      </c>
      <c r="O155">
        <f>SUM(K155:M155)</f>
        <v>0</v>
      </c>
    </row>
    <row r="156" spans="1:15" x14ac:dyDescent="0.35">
      <c r="A156">
        <v>151</v>
      </c>
      <c r="B156" t="s">
        <v>10</v>
      </c>
      <c r="C156" t="s">
        <v>860</v>
      </c>
      <c r="D156" t="s">
        <v>861</v>
      </c>
      <c r="E156" t="s">
        <v>656</v>
      </c>
      <c r="F156" t="s">
        <v>511</v>
      </c>
      <c r="G156" t="s">
        <v>2</v>
      </c>
      <c r="H156">
        <v>1.27</v>
      </c>
      <c r="I156">
        <v>2.7149999999999999</v>
      </c>
      <c r="J156" t="s">
        <v>6</v>
      </c>
      <c r="K156" t="str">
        <f>IFERROR(IFERROR(IF(K$5='Conceptos Desglosados'!$H$4,VLOOKUP($A156,dormitorios,2,0),IF(K$5='Conceptos Desglosados'!$H$5,VLOOKUP($A156,comedor,2,0),IF(K$5='Conceptos Desglosados'!$H$6,VLOOKUP($A156,alojamiento,2,0),IF(K$5='Conceptos Desglosados'!$H$7,VLOOKUP($A156,sanidad,2,0),IF(K$5='Conceptos Desglosados'!$H$8,VLOOKUP($A156,servicios,2,0),IF(K$5='Conceptos Desglosados'!$H$9,VLOOKUP($A156,comyaloj,2,0),IF(K$5='Conceptos Desglosados'!$H$10,VLOOKUP($A156,comandancia,2,0),IF(K$5='Conceptos Desglosados'!$H$11,VLOOKUP($A156,mantenimiento,2,0),IF(K$5='Conceptos Desglosados'!$H$12,VLOOKUP($A156,serestatal,2,0),IF(K$5='Conceptos Desglosados'!$H$13,VLOOKUP($A156,conferencias,2,0),"")))))))))),"")*K$3,"")</f>
        <v/>
      </c>
      <c r="L156" t="str">
        <f>IFERROR(IFERROR(IF(L$5='Conceptos Desglosados'!$H$4,VLOOKUP($A156,dormitorios,2,0),IF(L$5='Conceptos Desglosados'!$H$5,VLOOKUP($A156,comedor,2,0),IF(L$5='Conceptos Desglosados'!$H$6,VLOOKUP($A156,alojamiento,2,0),IF(L$5='Conceptos Desglosados'!$H$7,VLOOKUP($A156,sanidad,2,0),IF(L$5='Conceptos Desglosados'!$H$8,VLOOKUP($A156,servicios,2,0),IF(L$5='Conceptos Desglosados'!$H$9,VLOOKUP($A156,comyaloj,2,0),IF(L$5='Conceptos Desglosados'!$H$10,VLOOKUP($A156,comandancia,2,0),IF(L$5='Conceptos Desglosados'!$H$11,VLOOKUP($A156,mantenimiento,2,0),IF(L$5='Conceptos Desglosados'!$H$12,VLOOKUP($A156,serestatal,2,0),IF(L$5='Conceptos Desglosados'!$H$13,VLOOKUP($A156,conferencias,2,0),"")))))))))),"")*L$3,"")</f>
        <v/>
      </c>
      <c r="M156" t="str">
        <f>IFERROR(IFERROR(IF(M$5='Conceptos Desglosados'!$H$4,VLOOKUP($A156,dormitorios,2,0),IF(M$5='Conceptos Desglosados'!$H$5,VLOOKUP($A156,comedor,2,0),IF(M$5='Conceptos Desglosados'!$H$6,VLOOKUP($A156,alojamiento,2,0),IF(M$5='Conceptos Desglosados'!$H$7,VLOOKUP($A156,sanidad,2,0),IF(M$5='Conceptos Desglosados'!$H$8,VLOOKUP($A156,servicios,2,0),IF(M$5='Conceptos Desglosados'!$H$9,VLOOKUP($A156,comyaloj,2,0),IF(M$5='Conceptos Desglosados'!$H$10,VLOOKUP($A156,comandancia,2,0),IF(M$5='Conceptos Desglosados'!$H$11,VLOOKUP($A156,mantenimiento,2,0),IF(M$5='Conceptos Desglosados'!$H$12,VLOOKUP($A156,serestatal,2,0),IF(M$5='Conceptos Desglosados'!$H$13,VLOOKUP($A156,conferencias,2,0),"")))))))))),"")*M$3,"")</f>
        <v/>
      </c>
      <c r="O156">
        <f>SUM(K156:M156)</f>
        <v>0</v>
      </c>
    </row>
    <row r="157" spans="1:15" x14ac:dyDescent="0.35">
      <c r="A157">
        <v>152</v>
      </c>
      <c r="B157" t="s">
        <v>10</v>
      </c>
      <c r="C157" t="s">
        <v>862</v>
      </c>
      <c r="D157" t="s">
        <v>863</v>
      </c>
      <c r="E157" t="s">
        <v>656</v>
      </c>
      <c r="F157" t="s">
        <v>511</v>
      </c>
      <c r="G157" t="s">
        <v>0</v>
      </c>
      <c r="H157">
        <v>1.6</v>
      </c>
      <c r="I157">
        <v>2.7149999999999999</v>
      </c>
      <c r="J157" t="s">
        <v>6</v>
      </c>
      <c r="K157" t="str">
        <f>IFERROR(IFERROR(IF(K$5='Conceptos Desglosados'!$H$4,VLOOKUP($A157,dormitorios,2,0),IF(K$5='Conceptos Desglosados'!$H$5,VLOOKUP($A157,comedor,2,0),IF(K$5='Conceptos Desglosados'!$H$6,VLOOKUP($A157,alojamiento,2,0),IF(K$5='Conceptos Desglosados'!$H$7,VLOOKUP($A157,sanidad,2,0),IF(K$5='Conceptos Desglosados'!$H$8,VLOOKUP($A157,servicios,2,0),IF(K$5='Conceptos Desglosados'!$H$9,VLOOKUP($A157,comyaloj,2,0),IF(K$5='Conceptos Desglosados'!$H$10,VLOOKUP($A157,comandancia,2,0),IF(K$5='Conceptos Desglosados'!$H$11,VLOOKUP($A157,mantenimiento,2,0),IF(K$5='Conceptos Desglosados'!$H$12,VLOOKUP($A157,serestatal,2,0),IF(K$5='Conceptos Desglosados'!$H$13,VLOOKUP($A157,conferencias,2,0),"")))))))))),"")*K$3,"")</f>
        <v/>
      </c>
      <c r="L157" t="str">
        <f>IFERROR(IFERROR(IF(L$5='Conceptos Desglosados'!$H$4,VLOOKUP($A157,dormitorios,2,0),IF(L$5='Conceptos Desglosados'!$H$5,VLOOKUP($A157,comedor,2,0),IF(L$5='Conceptos Desglosados'!$H$6,VLOOKUP($A157,alojamiento,2,0),IF(L$5='Conceptos Desglosados'!$H$7,VLOOKUP($A157,sanidad,2,0),IF(L$5='Conceptos Desglosados'!$H$8,VLOOKUP($A157,servicios,2,0),IF(L$5='Conceptos Desglosados'!$H$9,VLOOKUP($A157,comyaloj,2,0),IF(L$5='Conceptos Desglosados'!$H$10,VLOOKUP($A157,comandancia,2,0),IF(L$5='Conceptos Desglosados'!$H$11,VLOOKUP($A157,mantenimiento,2,0),IF(L$5='Conceptos Desglosados'!$H$12,VLOOKUP($A157,serestatal,2,0),IF(L$5='Conceptos Desglosados'!$H$13,VLOOKUP($A157,conferencias,2,0),"")))))))))),"")*L$3,"")</f>
        <v/>
      </c>
      <c r="M157" t="str">
        <f>IFERROR(IFERROR(IF(M$5='Conceptos Desglosados'!$H$4,VLOOKUP($A157,dormitorios,2,0),IF(M$5='Conceptos Desglosados'!$H$5,VLOOKUP($A157,comedor,2,0),IF(M$5='Conceptos Desglosados'!$H$6,VLOOKUP($A157,alojamiento,2,0),IF(M$5='Conceptos Desglosados'!$H$7,VLOOKUP($A157,sanidad,2,0),IF(M$5='Conceptos Desglosados'!$H$8,VLOOKUP($A157,servicios,2,0),IF(M$5='Conceptos Desglosados'!$H$9,VLOOKUP($A157,comyaloj,2,0),IF(M$5='Conceptos Desglosados'!$H$10,VLOOKUP($A157,comandancia,2,0),IF(M$5='Conceptos Desglosados'!$H$11,VLOOKUP($A157,mantenimiento,2,0),IF(M$5='Conceptos Desglosados'!$H$12,VLOOKUP($A157,serestatal,2,0),IF(M$5='Conceptos Desglosados'!$H$13,VLOOKUP($A157,conferencias,2,0),"")))))))))),"")*M$3,"")</f>
        <v/>
      </c>
      <c r="O157">
        <f>SUM(K157:M157)</f>
        <v>0</v>
      </c>
    </row>
    <row r="158" spans="1:15" x14ac:dyDescent="0.35">
      <c r="A158">
        <v>153</v>
      </c>
      <c r="B158" t="s">
        <v>10</v>
      </c>
      <c r="C158" t="s">
        <v>877</v>
      </c>
      <c r="D158" t="s">
        <v>875</v>
      </c>
      <c r="E158" t="s">
        <v>656</v>
      </c>
      <c r="F158" t="s">
        <v>667</v>
      </c>
      <c r="G158" t="s">
        <v>0</v>
      </c>
      <c r="H158">
        <v>2.0499999999999998</v>
      </c>
      <c r="I158">
        <v>2.7149999999999999</v>
      </c>
      <c r="J158" t="s">
        <v>6</v>
      </c>
      <c r="K158" t="str">
        <f>IFERROR(IFERROR(IF(K$5='Conceptos Desglosados'!$H$4,VLOOKUP($A158,dormitorios,2,0),IF(K$5='Conceptos Desglosados'!$H$5,VLOOKUP($A158,comedor,2,0),IF(K$5='Conceptos Desglosados'!$H$6,VLOOKUP($A158,alojamiento,2,0),IF(K$5='Conceptos Desglosados'!$H$7,VLOOKUP($A158,sanidad,2,0),IF(K$5='Conceptos Desglosados'!$H$8,VLOOKUP($A158,servicios,2,0),IF(K$5='Conceptos Desglosados'!$H$9,VLOOKUP($A158,comyaloj,2,0),IF(K$5='Conceptos Desglosados'!$H$10,VLOOKUP($A158,comandancia,2,0),IF(K$5='Conceptos Desglosados'!$H$11,VLOOKUP($A158,mantenimiento,2,0),IF(K$5='Conceptos Desglosados'!$H$12,VLOOKUP($A158,serestatal,2,0),IF(K$5='Conceptos Desglosados'!$H$13,VLOOKUP($A158,conferencias,2,0),"")))))))))),"")*K$3,"")</f>
        <v/>
      </c>
      <c r="L158" t="str">
        <f>IFERROR(IFERROR(IF(L$5='Conceptos Desglosados'!$H$4,VLOOKUP($A158,dormitorios,2,0),IF(L$5='Conceptos Desglosados'!$H$5,VLOOKUP($A158,comedor,2,0),IF(L$5='Conceptos Desglosados'!$H$6,VLOOKUP($A158,alojamiento,2,0),IF(L$5='Conceptos Desglosados'!$H$7,VLOOKUP($A158,sanidad,2,0),IF(L$5='Conceptos Desglosados'!$H$8,VLOOKUP($A158,servicios,2,0),IF(L$5='Conceptos Desglosados'!$H$9,VLOOKUP($A158,comyaloj,2,0),IF(L$5='Conceptos Desglosados'!$H$10,VLOOKUP($A158,comandancia,2,0),IF(L$5='Conceptos Desglosados'!$H$11,VLOOKUP($A158,mantenimiento,2,0),IF(L$5='Conceptos Desglosados'!$H$12,VLOOKUP($A158,serestatal,2,0),IF(L$5='Conceptos Desglosados'!$H$13,VLOOKUP($A158,conferencias,2,0),"")))))))))),"")*L$3,"")</f>
        <v/>
      </c>
      <c r="M158" t="str">
        <f>IFERROR(IFERROR(IF(M$5='Conceptos Desglosados'!$H$4,VLOOKUP($A158,dormitorios,2,0),IF(M$5='Conceptos Desglosados'!$H$5,VLOOKUP($A158,comedor,2,0),IF(M$5='Conceptos Desglosados'!$H$6,VLOOKUP($A158,alojamiento,2,0),IF(M$5='Conceptos Desglosados'!$H$7,VLOOKUP($A158,sanidad,2,0),IF(M$5='Conceptos Desglosados'!$H$8,VLOOKUP($A158,servicios,2,0),IF(M$5='Conceptos Desglosados'!$H$9,VLOOKUP($A158,comyaloj,2,0),IF(M$5='Conceptos Desglosados'!$H$10,VLOOKUP($A158,comandancia,2,0),IF(M$5='Conceptos Desglosados'!$H$11,VLOOKUP($A158,mantenimiento,2,0),IF(M$5='Conceptos Desglosados'!$H$12,VLOOKUP($A158,serestatal,2,0),IF(M$5='Conceptos Desglosados'!$H$13,VLOOKUP($A158,conferencias,2,0),"")))))))))),"")*M$3,"")</f>
        <v/>
      </c>
      <c r="O158">
        <f>SUM(K158:M158)</f>
        <v>0</v>
      </c>
    </row>
    <row r="159" spans="1:15" x14ac:dyDescent="0.35">
      <c r="A159">
        <v>154</v>
      </c>
      <c r="B159" t="s">
        <v>10</v>
      </c>
      <c r="C159" t="s">
        <v>878</v>
      </c>
      <c r="D159" t="s">
        <v>876</v>
      </c>
      <c r="E159" t="s">
        <v>656</v>
      </c>
      <c r="F159" t="s">
        <v>667</v>
      </c>
      <c r="G159" t="s">
        <v>0</v>
      </c>
      <c r="H159">
        <v>1.96</v>
      </c>
      <c r="I159">
        <v>2.7149999999999999</v>
      </c>
      <c r="J159" t="s">
        <v>6</v>
      </c>
      <c r="K159" t="str">
        <f>IFERROR(IFERROR(IF(K$5='Conceptos Desglosados'!$H$4,VLOOKUP($A159,dormitorios,2,0),IF(K$5='Conceptos Desglosados'!$H$5,VLOOKUP($A159,comedor,2,0),IF(K$5='Conceptos Desglosados'!$H$6,VLOOKUP($A159,alojamiento,2,0),IF(K$5='Conceptos Desglosados'!$H$7,VLOOKUP($A159,sanidad,2,0),IF(K$5='Conceptos Desglosados'!$H$8,VLOOKUP($A159,servicios,2,0),IF(K$5='Conceptos Desglosados'!$H$9,VLOOKUP($A159,comyaloj,2,0),IF(K$5='Conceptos Desglosados'!$H$10,VLOOKUP($A159,comandancia,2,0),IF(K$5='Conceptos Desglosados'!$H$11,VLOOKUP($A159,mantenimiento,2,0),IF(K$5='Conceptos Desglosados'!$H$12,VLOOKUP($A159,serestatal,2,0),IF(K$5='Conceptos Desglosados'!$H$13,VLOOKUP($A159,conferencias,2,0),"")))))))))),"")*K$3,"")</f>
        <v/>
      </c>
      <c r="L159" t="str">
        <f>IFERROR(IFERROR(IF(L$5='Conceptos Desglosados'!$H$4,VLOOKUP($A159,dormitorios,2,0),IF(L$5='Conceptos Desglosados'!$H$5,VLOOKUP($A159,comedor,2,0),IF(L$5='Conceptos Desglosados'!$H$6,VLOOKUP($A159,alojamiento,2,0),IF(L$5='Conceptos Desglosados'!$H$7,VLOOKUP($A159,sanidad,2,0),IF(L$5='Conceptos Desglosados'!$H$8,VLOOKUP($A159,servicios,2,0),IF(L$5='Conceptos Desglosados'!$H$9,VLOOKUP($A159,comyaloj,2,0),IF(L$5='Conceptos Desglosados'!$H$10,VLOOKUP($A159,comandancia,2,0),IF(L$5='Conceptos Desglosados'!$H$11,VLOOKUP($A159,mantenimiento,2,0),IF(L$5='Conceptos Desglosados'!$H$12,VLOOKUP($A159,serestatal,2,0),IF(L$5='Conceptos Desglosados'!$H$13,VLOOKUP($A159,conferencias,2,0),"")))))))))),"")*L$3,"")</f>
        <v/>
      </c>
      <c r="M159" t="str">
        <f>IFERROR(IFERROR(IF(M$5='Conceptos Desglosados'!$H$4,VLOOKUP($A159,dormitorios,2,0),IF(M$5='Conceptos Desglosados'!$H$5,VLOOKUP($A159,comedor,2,0),IF(M$5='Conceptos Desglosados'!$H$6,VLOOKUP($A159,alojamiento,2,0),IF(M$5='Conceptos Desglosados'!$H$7,VLOOKUP($A159,sanidad,2,0),IF(M$5='Conceptos Desglosados'!$H$8,VLOOKUP($A159,servicios,2,0),IF(M$5='Conceptos Desglosados'!$H$9,VLOOKUP($A159,comyaloj,2,0),IF(M$5='Conceptos Desglosados'!$H$10,VLOOKUP($A159,comandancia,2,0),IF(M$5='Conceptos Desglosados'!$H$11,VLOOKUP($A159,mantenimiento,2,0),IF(M$5='Conceptos Desglosados'!$H$12,VLOOKUP($A159,serestatal,2,0),IF(M$5='Conceptos Desglosados'!$H$13,VLOOKUP($A159,conferencias,2,0),"")))))))))),"")*M$3,"")</f>
        <v/>
      </c>
      <c r="O159">
        <f>SUM(K159:M159)</f>
        <v>0</v>
      </c>
    </row>
    <row r="160" spans="1:15" x14ac:dyDescent="0.35">
      <c r="A160">
        <v>155</v>
      </c>
      <c r="B160" t="s">
        <v>10</v>
      </c>
      <c r="C160" t="s">
        <v>899</v>
      </c>
      <c r="D160" t="s">
        <v>900</v>
      </c>
      <c r="E160" t="s">
        <v>656</v>
      </c>
      <c r="F160" t="s">
        <v>667</v>
      </c>
      <c r="G160" t="s">
        <v>0</v>
      </c>
      <c r="H160">
        <v>1.26</v>
      </c>
      <c r="I160">
        <v>2.7149999999999999</v>
      </c>
      <c r="J160" t="s">
        <v>6</v>
      </c>
      <c r="K160" t="str">
        <f>IFERROR(IFERROR(IF(K$5='Conceptos Desglosados'!$H$4,VLOOKUP($A160,dormitorios,2,0),IF(K$5='Conceptos Desglosados'!$H$5,VLOOKUP($A160,comedor,2,0),IF(K$5='Conceptos Desglosados'!$H$6,VLOOKUP($A160,alojamiento,2,0),IF(K$5='Conceptos Desglosados'!$H$7,VLOOKUP($A160,sanidad,2,0),IF(K$5='Conceptos Desglosados'!$H$8,VLOOKUP($A160,servicios,2,0),IF(K$5='Conceptos Desglosados'!$H$9,VLOOKUP($A160,comyaloj,2,0),IF(K$5='Conceptos Desglosados'!$H$10,VLOOKUP($A160,comandancia,2,0),IF(K$5='Conceptos Desglosados'!$H$11,VLOOKUP($A160,mantenimiento,2,0),IF(K$5='Conceptos Desglosados'!$H$12,VLOOKUP($A160,serestatal,2,0),IF(K$5='Conceptos Desglosados'!$H$13,VLOOKUP($A160,conferencias,2,0),"")))))))))),"")*K$3,"")</f>
        <v/>
      </c>
      <c r="L160" t="str">
        <f>IFERROR(IFERROR(IF(L$5='Conceptos Desglosados'!$H$4,VLOOKUP($A160,dormitorios,2,0),IF(L$5='Conceptos Desglosados'!$H$5,VLOOKUP($A160,comedor,2,0),IF(L$5='Conceptos Desglosados'!$H$6,VLOOKUP($A160,alojamiento,2,0),IF(L$5='Conceptos Desglosados'!$H$7,VLOOKUP($A160,sanidad,2,0),IF(L$5='Conceptos Desglosados'!$H$8,VLOOKUP($A160,servicios,2,0),IF(L$5='Conceptos Desglosados'!$H$9,VLOOKUP($A160,comyaloj,2,0),IF(L$5='Conceptos Desglosados'!$H$10,VLOOKUP($A160,comandancia,2,0),IF(L$5='Conceptos Desglosados'!$H$11,VLOOKUP($A160,mantenimiento,2,0),IF(L$5='Conceptos Desglosados'!$H$12,VLOOKUP($A160,serestatal,2,0),IF(L$5='Conceptos Desglosados'!$H$13,VLOOKUP($A160,conferencias,2,0),"")))))))))),"")*L$3,"")</f>
        <v/>
      </c>
      <c r="M160" t="str">
        <f>IFERROR(IFERROR(IF(M$5='Conceptos Desglosados'!$H$4,VLOOKUP($A160,dormitorios,2,0),IF(M$5='Conceptos Desglosados'!$H$5,VLOOKUP($A160,comedor,2,0),IF(M$5='Conceptos Desglosados'!$H$6,VLOOKUP($A160,alojamiento,2,0),IF(M$5='Conceptos Desglosados'!$H$7,VLOOKUP($A160,sanidad,2,0),IF(M$5='Conceptos Desglosados'!$H$8,VLOOKUP($A160,servicios,2,0),IF(M$5='Conceptos Desglosados'!$H$9,VLOOKUP($A160,comyaloj,2,0),IF(M$5='Conceptos Desglosados'!$H$10,VLOOKUP($A160,comandancia,2,0),IF(M$5='Conceptos Desglosados'!$H$11,VLOOKUP($A160,mantenimiento,2,0),IF(M$5='Conceptos Desglosados'!$H$12,VLOOKUP($A160,serestatal,2,0),IF(M$5='Conceptos Desglosados'!$H$13,VLOOKUP($A160,conferencias,2,0),"")))))))))),"")*M$3,"")</f>
        <v/>
      </c>
      <c r="O160">
        <f>SUM(K160:M160)</f>
        <v>0</v>
      </c>
    </row>
    <row r="161" spans="1:15" x14ac:dyDescent="0.35">
      <c r="A161">
        <v>156</v>
      </c>
      <c r="B161" t="s">
        <v>10</v>
      </c>
      <c r="C161" t="s">
        <v>910</v>
      </c>
      <c r="D161" t="s">
        <v>911</v>
      </c>
      <c r="E161" t="s">
        <v>656</v>
      </c>
      <c r="F161" t="s">
        <v>511</v>
      </c>
      <c r="G161" t="s">
        <v>2</v>
      </c>
      <c r="H161">
        <v>0.75</v>
      </c>
      <c r="I161">
        <v>2.7149999999999999</v>
      </c>
      <c r="J161" t="s">
        <v>6</v>
      </c>
      <c r="K161" t="str">
        <f>IFERROR(IFERROR(IF(K$5='Conceptos Desglosados'!$H$4,VLOOKUP($A161,dormitorios,2,0),IF(K$5='Conceptos Desglosados'!$H$5,VLOOKUP($A161,comedor,2,0),IF(K$5='Conceptos Desglosados'!$H$6,VLOOKUP($A161,alojamiento,2,0),IF(K$5='Conceptos Desglosados'!$H$7,VLOOKUP($A161,sanidad,2,0),IF(K$5='Conceptos Desglosados'!$H$8,VLOOKUP($A161,servicios,2,0),IF(K$5='Conceptos Desglosados'!$H$9,VLOOKUP($A161,comyaloj,2,0),IF(K$5='Conceptos Desglosados'!$H$10,VLOOKUP($A161,comandancia,2,0),IF(K$5='Conceptos Desglosados'!$H$11,VLOOKUP($A161,mantenimiento,2,0),IF(K$5='Conceptos Desglosados'!$H$12,VLOOKUP($A161,serestatal,2,0),IF(K$5='Conceptos Desglosados'!$H$13,VLOOKUP($A161,conferencias,2,0),"")))))))))),"")*K$3,"")</f>
        <v/>
      </c>
      <c r="L161" t="str">
        <f>IFERROR(IFERROR(IF(L$5='Conceptos Desglosados'!$H$4,VLOOKUP($A161,dormitorios,2,0),IF(L$5='Conceptos Desglosados'!$H$5,VLOOKUP($A161,comedor,2,0),IF(L$5='Conceptos Desglosados'!$H$6,VLOOKUP($A161,alojamiento,2,0),IF(L$5='Conceptos Desglosados'!$H$7,VLOOKUP($A161,sanidad,2,0),IF(L$5='Conceptos Desglosados'!$H$8,VLOOKUP($A161,servicios,2,0),IF(L$5='Conceptos Desglosados'!$H$9,VLOOKUP($A161,comyaloj,2,0),IF(L$5='Conceptos Desglosados'!$H$10,VLOOKUP($A161,comandancia,2,0),IF(L$5='Conceptos Desglosados'!$H$11,VLOOKUP($A161,mantenimiento,2,0),IF(L$5='Conceptos Desglosados'!$H$12,VLOOKUP($A161,serestatal,2,0),IF(L$5='Conceptos Desglosados'!$H$13,VLOOKUP($A161,conferencias,2,0),"")))))))))),"")*L$3,"")</f>
        <v/>
      </c>
      <c r="M161" t="str">
        <f>IFERROR(IFERROR(IF(M$5='Conceptos Desglosados'!$H$4,VLOOKUP($A161,dormitorios,2,0),IF(M$5='Conceptos Desglosados'!$H$5,VLOOKUP($A161,comedor,2,0),IF(M$5='Conceptos Desglosados'!$H$6,VLOOKUP($A161,alojamiento,2,0),IF(M$5='Conceptos Desglosados'!$H$7,VLOOKUP($A161,sanidad,2,0),IF(M$5='Conceptos Desglosados'!$H$8,VLOOKUP($A161,servicios,2,0),IF(M$5='Conceptos Desglosados'!$H$9,VLOOKUP($A161,comyaloj,2,0),IF(M$5='Conceptos Desglosados'!$H$10,VLOOKUP($A161,comandancia,2,0),IF(M$5='Conceptos Desglosados'!$H$11,VLOOKUP($A161,mantenimiento,2,0),IF(M$5='Conceptos Desglosados'!$H$12,VLOOKUP($A161,serestatal,2,0),IF(M$5='Conceptos Desglosados'!$H$13,VLOOKUP($A161,conferencias,2,0),"")))))))))),"")*M$3,"")</f>
        <v/>
      </c>
      <c r="O161">
        <f>SUM(K161:M161)</f>
        <v>0</v>
      </c>
    </row>
    <row r="162" spans="1:15" x14ac:dyDescent="0.35">
      <c r="A162">
        <v>157</v>
      </c>
      <c r="B162" t="s">
        <v>10</v>
      </c>
      <c r="C162" t="s">
        <v>915</v>
      </c>
      <c r="D162" t="s">
        <v>916</v>
      </c>
      <c r="E162" t="s">
        <v>656</v>
      </c>
      <c r="F162" t="s">
        <v>511</v>
      </c>
      <c r="G162" t="s">
        <v>2</v>
      </c>
      <c r="H162">
        <v>1.31</v>
      </c>
      <c r="I162">
        <v>2.7149999999999999</v>
      </c>
      <c r="J162" t="s">
        <v>6</v>
      </c>
      <c r="K162" t="str">
        <f>IFERROR(IFERROR(IF(K$5='Conceptos Desglosados'!$H$4,VLOOKUP($A162,dormitorios,2,0),IF(K$5='Conceptos Desglosados'!$H$5,VLOOKUP($A162,comedor,2,0),IF(K$5='Conceptos Desglosados'!$H$6,VLOOKUP($A162,alojamiento,2,0),IF(K$5='Conceptos Desglosados'!$H$7,VLOOKUP($A162,sanidad,2,0),IF(K$5='Conceptos Desglosados'!$H$8,VLOOKUP($A162,servicios,2,0),IF(K$5='Conceptos Desglosados'!$H$9,VLOOKUP($A162,comyaloj,2,0),IF(K$5='Conceptos Desglosados'!$H$10,VLOOKUP($A162,comandancia,2,0),IF(K$5='Conceptos Desglosados'!$H$11,VLOOKUP($A162,mantenimiento,2,0),IF(K$5='Conceptos Desglosados'!$H$12,VLOOKUP($A162,serestatal,2,0),IF(K$5='Conceptos Desglosados'!$H$13,VLOOKUP($A162,conferencias,2,0),"")))))))))),"")*K$3,"")</f>
        <v/>
      </c>
      <c r="L162" t="str">
        <f>IFERROR(IFERROR(IF(L$5='Conceptos Desglosados'!$H$4,VLOOKUP($A162,dormitorios,2,0),IF(L$5='Conceptos Desglosados'!$H$5,VLOOKUP($A162,comedor,2,0),IF(L$5='Conceptos Desglosados'!$H$6,VLOOKUP($A162,alojamiento,2,0),IF(L$5='Conceptos Desglosados'!$H$7,VLOOKUP($A162,sanidad,2,0),IF(L$5='Conceptos Desglosados'!$H$8,VLOOKUP($A162,servicios,2,0),IF(L$5='Conceptos Desglosados'!$H$9,VLOOKUP($A162,comyaloj,2,0),IF(L$5='Conceptos Desglosados'!$H$10,VLOOKUP($A162,comandancia,2,0),IF(L$5='Conceptos Desglosados'!$H$11,VLOOKUP($A162,mantenimiento,2,0),IF(L$5='Conceptos Desglosados'!$H$12,VLOOKUP($A162,serestatal,2,0),IF(L$5='Conceptos Desglosados'!$H$13,VLOOKUP($A162,conferencias,2,0),"")))))))))),"")*L$3,"")</f>
        <v/>
      </c>
      <c r="M162" t="str">
        <f>IFERROR(IFERROR(IF(M$5='Conceptos Desglosados'!$H$4,VLOOKUP($A162,dormitorios,2,0),IF(M$5='Conceptos Desglosados'!$H$5,VLOOKUP($A162,comedor,2,0),IF(M$5='Conceptos Desglosados'!$H$6,VLOOKUP($A162,alojamiento,2,0),IF(M$5='Conceptos Desglosados'!$H$7,VLOOKUP($A162,sanidad,2,0),IF(M$5='Conceptos Desglosados'!$H$8,VLOOKUP($A162,servicios,2,0),IF(M$5='Conceptos Desglosados'!$H$9,VLOOKUP($A162,comyaloj,2,0),IF(M$5='Conceptos Desglosados'!$H$10,VLOOKUP($A162,comandancia,2,0),IF(M$5='Conceptos Desglosados'!$H$11,VLOOKUP($A162,mantenimiento,2,0),IF(M$5='Conceptos Desglosados'!$H$12,VLOOKUP($A162,serestatal,2,0),IF(M$5='Conceptos Desglosados'!$H$13,VLOOKUP($A162,conferencias,2,0),"")))))))))),"")*M$3,"")</f>
        <v/>
      </c>
      <c r="O162">
        <f>SUM(K162:M162)</f>
        <v>0</v>
      </c>
    </row>
    <row r="163" spans="1:15" x14ac:dyDescent="0.35">
      <c r="A163">
        <v>158</v>
      </c>
      <c r="B163" t="s">
        <v>10</v>
      </c>
      <c r="C163" t="s">
        <v>930</v>
      </c>
      <c r="D163" t="s">
        <v>917</v>
      </c>
      <c r="E163" t="s">
        <v>656</v>
      </c>
      <c r="F163" t="s">
        <v>667</v>
      </c>
      <c r="G163" t="s">
        <v>2</v>
      </c>
      <c r="H163">
        <v>1.31</v>
      </c>
      <c r="I163">
        <v>2.7149999999999999</v>
      </c>
      <c r="J163" t="s">
        <v>6</v>
      </c>
      <c r="K163" t="str">
        <f>IFERROR(IFERROR(IF(K$5='Conceptos Desglosados'!$H$4,VLOOKUP($A163,dormitorios,2,0),IF(K$5='Conceptos Desglosados'!$H$5,VLOOKUP($A163,comedor,2,0),IF(K$5='Conceptos Desglosados'!$H$6,VLOOKUP($A163,alojamiento,2,0),IF(K$5='Conceptos Desglosados'!$H$7,VLOOKUP($A163,sanidad,2,0),IF(K$5='Conceptos Desglosados'!$H$8,VLOOKUP($A163,servicios,2,0),IF(K$5='Conceptos Desglosados'!$H$9,VLOOKUP($A163,comyaloj,2,0),IF(K$5='Conceptos Desglosados'!$H$10,VLOOKUP($A163,comandancia,2,0),IF(K$5='Conceptos Desglosados'!$H$11,VLOOKUP($A163,mantenimiento,2,0),IF(K$5='Conceptos Desglosados'!$H$12,VLOOKUP($A163,serestatal,2,0),IF(K$5='Conceptos Desglosados'!$H$13,VLOOKUP($A163,conferencias,2,0),"")))))))))),"")*K$3,"")</f>
        <v/>
      </c>
      <c r="L163" t="str">
        <f>IFERROR(IFERROR(IF(L$5='Conceptos Desglosados'!$H$4,VLOOKUP($A163,dormitorios,2,0),IF(L$5='Conceptos Desglosados'!$H$5,VLOOKUP($A163,comedor,2,0),IF(L$5='Conceptos Desglosados'!$H$6,VLOOKUP($A163,alojamiento,2,0),IF(L$5='Conceptos Desglosados'!$H$7,VLOOKUP($A163,sanidad,2,0),IF(L$5='Conceptos Desglosados'!$H$8,VLOOKUP($A163,servicios,2,0),IF(L$5='Conceptos Desglosados'!$H$9,VLOOKUP($A163,comyaloj,2,0),IF(L$5='Conceptos Desglosados'!$H$10,VLOOKUP($A163,comandancia,2,0),IF(L$5='Conceptos Desglosados'!$H$11,VLOOKUP($A163,mantenimiento,2,0),IF(L$5='Conceptos Desglosados'!$H$12,VLOOKUP($A163,serestatal,2,0),IF(L$5='Conceptos Desglosados'!$H$13,VLOOKUP($A163,conferencias,2,0),"")))))))))),"")*L$3,"")</f>
        <v/>
      </c>
      <c r="M163" t="str">
        <f>IFERROR(IFERROR(IF(M$5='Conceptos Desglosados'!$H$4,VLOOKUP($A163,dormitorios,2,0),IF(M$5='Conceptos Desglosados'!$H$5,VLOOKUP($A163,comedor,2,0),IF(M$5='Conceptos Desglosados'!$H$6,VLOOKUP($A163,alojamiento,2,0),IF(M$5='Conceptos Desglosados'!$H$7,VLOOKUP($A163,sanidad,2,0),IF(M$5='Conceptos Desglosados'!$H$8,VLOOKUP($A163,servicios,2,0),IF(M$5='Conceptos Desglosados'!$H$9,VLOOKUP($A163,comyaloj,2,0),IF(M$5='Conceptos Desglosados'!$H$10,VLOOKUP($A163,comandancia,2,0),IF(M$5='Conceptos Desglosados'!$H$11,VLOOKUP($A163,mantenimiento,2,0),IF(M$5='Conceptos Desglosados'!$H$12,VLOOKUP($A163,serestatal,2,0),IF(M$5='Conceptos Desglosados'!$H$13,VLOOKUP($A163,conferencias,2,0),"")))))))))),"")*M$3,"")</f>
        <v/>
      </c>
      <c r="O163">
        <f>SUM(K163:M163)</f>
        <v>0</v>
      </c>
    </row>
    <row r="164" spans="1:15" x14ac:dyDescent="0.35">
      <c r="A164">
        <v>159</v>
      </c>
      <c r="B164" t="s">
        <v>10</v>
      </c>
      <c r="C164" t="s">
        <v>931</v>
      </c>
      <c r="D164" t="s">
        <v>928</v>
      </c>
      <c r="E164" t="s">
        <v>656</v>
      </c>
      <c r="F164" t="s">
        <v>667</v>
      </c>
      <c r="G164" t="s">
        <v>0</v>
      </c>
      <c r="H164">
        <v>1.9490000000000001</v>
      </c>
      <c r="I164">
        <v>2.7149999999999999</v>
      </c>
      <c r="J164" t="s">
        <v>6</v>
      </c>
      <c r="K164" t="str">
        <f>IFERROR(IFERROR(IF(K$5='Conceptos Desglosados'!$H$4,VLOOKUP($A164,dormitorios,2,0),IF(K$5='Conceptos Desglosados'!$H$5,VLOOKUP($A164,comedor,2,0),IF(K$5='Conceptos Desglosados'!$H$6,VLOOKUP($A164,alojamiento,2,0),IF(K$5='Conceptos Desglosados'!$H$7,VLOOKUP($A164,sanidad,2,0),IF(K$5='Conceptos Desglosados'!$H$8,VLOOKUP($A164,servicios,2,0),IF(K$5='Conceptos Desglosados'!$H$9,VLOOKUP($A164,comyaloj,2,0),IF(K$5='Conceptos Desglosados'!$H$10,VLOOKUP($A164,comandancia,2,0),IF(K$5='Conceptos Desglosados'!$H$11,VLOOKUP($A164,mantenimiento,2,0),IF(K$5='Conceptos Desglosados'!$H$12,VLOOKUP($A164,serestatal,2,0),IF(K$5='Conceptos Desglosados'!$H$13,VLOOKUP($A164,conferencias,2,0),"")))))))))),"")*K$3,"")</f>
        <v/>
      </c>
      <c r="L164" t="str">
        <f>IFERROR(IFERROR(IF(L$5='Conceptos Desglosados'!$H$4,VLOOKUP($A164,dormitorios,2,0),IF(L$5='Conceptos Desglosados'!$H$5,VLOOKUP($A164,comedor,2,0),IF(L$5='Conceptos Desglosados'!$H$6,VLOOKUP($A164,alojamiento,2,0),IF(L$5='Conceptos Desglosados'!$H$7,VLOOKUP($A164,sanidad,2,0),IF(L$5='Conceptos Desglosados'!$H$8,VLOOKUP($A164,servicios,2,0),IF(L$5='Conceptos Desglosados'!$H$9,VLOOKUP($A164,comyaloj,2,0),IF(L$5='Conceptos Desglosados'!$H$10,VLOOKUP($A164,comandancia,2,0),IF(L$5='Conceptos Desglosados'!$H$11,VLOOKUP($A164,mantenimiento,2,0),IF(L$5='Conceptos Desglosados'!$H$12,VLOOKUP($A164,serestatal,2,0),IF(L$5='Conceptos Desglosados'!$H$13,VLOOKUP($A164,conferencias,2,0),"")))))))))),"")*L$3,"")</f>
        <v/>
      </c>
      <c r="M164" t="str">
        <f>IFERROR(IFERROR(IF(M$5='Conceptos Desglosados'!$H$4,VLOOKUP($A164,dormitorios,2,0),IF(M$5='Conceptos Desglosados'!$H$5,VLOOKUP($A164,comedor,2,0),IF(M$5='Conceptos Desglosados'!$H$6,VLOOKUP($A164,alojamiento,2,0),IF(M$5='Conceptos Desglosados'!$H$7,VLOOKUP($A164,sanidad,2,0),IF(M$5='Conceptos Desglosados'!$H$8,VLOOKUP($A164,servicios,2,0),IF(M$5='Conceptos Desglosados'!$H$9,VLOOKUP($A164,comyaloj,2,0),IF(M$5='Conceptos Desglosados'!$H$10,VLOOKUP($A164,comandancia,2,0),IF(M$5='Conceptos Desglosados'!$H$11,VLOOKUP($A164,mantenimiento,2,0),IF(M$5='Conceptos Desglosados'!$H$12,VLOOKUP($A164,serestatal,2,0),IF(M$5='Conceptos Desglosados'!$H$13,VLOOKUP($A164,conferencias,2,0),"")))))))))),"")*M$3,"")</f>
        <v/>
      </c>
      <c r="O164">
        <f>SUM(K164:M164)</f>
        <v>0</v>
      </c>
    </row>
    <row r="165" spans="1:15" x14ac:dyDescent="0.35">
      <c r="A165">
        <v>160</v>
      </c>
      <c r="B165" t="s">
        <v>10</v>
      </c>
      <c r="C165" t="s">
        <v>932</v>
      </c>
      <c r="D165" t="s">
        <v>929</v>
      </c>
      <c r="E165" t="s">
        <v>656</v>
      </c>
      <c r="F165" t="s">
        <v>667</v>
      </c>
      <c r="G165" t="s">
        <v>0</v>
      </c>
      <c r="H165">
        <v>1.968</v>
      </c>
      <c r="I165">
        <v>2.7149999999999999</v>
      </c>
      <c r="J165" t="s">
        <v>6</v>
      </c>
      <c r="K165">
        <f>IFERROR(IFERROR(IF(K$5='Conceptos Desglosados'!$H$4,VLOOKUP($A165,dormitorios,2,0),IF(K$5='Conceptos Desglosados'!$H$5,VLOOKUP($A165,comedor,2,0),IF(K$5='Conceptos Desglosados'!$H$6,VLOOKUP($A165,alojamiento,2,0),IF(K$5='Conceptos Desglosados'!$H$7,VLOOKUP($A165,sanidad,2,0),IF(K$5='Conceptos Desglosados'!$H$8,VLOOKUP($A165,servicios,2,0),IF(K$5='Conceptos Desglosados'!$H$9,VLOOKUP($A165,comyaloj,2,0),IF(K$5='Conceptos Desglosados'!$H$10,VLOOKUP($A165,comandancia,2,0),IF(K$5='Conceptos Desglosados'!$H$11,VLOOKUP($A165,mantenimiento,2,0),IF(K$5='Conceptos Desglosados'!$H$12,VLOOKUP($A165,serestatal,2,0),IF(K$5='Conceptos Desglosados'!$H$13,VLOOKUP($A165,conferencias,2,0),"")))))))))),"")*K$3,"")</f>
        <v>8</v>
      </c>
      <c r="L165" t="str">
        <f>IFERROR(IFERROR(IF(L$5='Conceptos Desglosados'!$H$4,VLOOKUP($A165,dormitorios,2,0),IF(L$5='Conceptos Desglosados'!$H$5,VLOOKUP($A165,comedor,2,0),IF(L$5='Conceptos Desglosados'!$H$6,VLOOKUP($A165,alojamiento,2,0),IF(L$5='Conceptos Desglosados'!$H$7,VLOOKUP($A165,sanidad,2,0),IF(L$5='Conceptos Desglosados'!$H$8,VLOOKUP($A165,servicios,2,0),IF(L$5='Conceptos Desglosados'!$H$9,VLOOKUP($A165,comyaloj,2,0),IF(L$5='Conceptos Desglosados'!$H$10,VLOOKUP($A165,comandancia,2,0),IF(L$5='Conceptos Desglosados'!$H$11,VLOOKUP($A165,mantenimiento,2,0),IF(L$5='Conceptos Desglosados'!$H$12,VLOOKUP($A165,serestatal,2,0),IF(L$5='Conceptos Desglosados'!$H$13,VLOOKUP($A165,conferencias,2,0),"")))))))))),"")*L$3,"")</f>
        <v/>
      </c>
      <c r="M165" t="str">
        <f>IFERROR(IFERROR(IF(M$5='Conceptos Desglosados'!$H$4,VLOOKUP($A165,dormitorios,2,0),IF(M$5='Conceptos Desglosados'!$H$5,VLOOKUP($A165,comedor,2,0),IF(M$5='Conceptos Desglosados'!$H$6,VLOOKUP($A165,alojamiento,2,0),IF(M$5='Conceptos Desglosados'!$H$7,VLOOKUP($A165,sanidad,2,0),IF(M$5='Conceptos Desglosados'!$H$8,VLOOKUP($A165,servicios,2,0),IF(M$5='Conceptos Desglosados'!$H$9,VLOOKUP($A165,comyaloj,2,0),IF(M$5='Conceptos Desglosados'!$H$10,VLOOKUP($A165,comandancia,2,0),IF(M$5='Conceptos Desglosados'!$H$11,VLOOKUP($A165,mantenimiento,2,0),IF(M$5='Conceptos Desglosados'!$H$12,VLOOKUP($A165,serestatal,2,0),IF(M$5='Conceptos Desglosados'!$H$13,VLOOKUP($A165,conferencias,2,0),"")))))))))),"")*M$3,"")</f>
        <v/>
      </c>
      <c r="O165">
        <f>SUM(K165:M165)</f>
        <v>8</v>
      </c>
    </row>
    <row r="166" spans="1:15" x14ac:dyDescent="0.35">
      <c r="A166">
        <v>161</v>
      </c>
      <c r="B166" t="s">
        <v>10</v>
      </c>
      <c r="C166" t="s">
        <v>933</v>
      </c>
      <c r="D166" t="s">
        <v>934</v>
      </c>
      <c r="E166" t="s">
        <v>656</v>
      </c>
      <c r="F166" t="s">
        <v>511</v>
      </c>
      <c r="G166" t="s">
        <v>2</v>
      </c>
      <c r="H166">
        <v>1.9990000000000001</v>
      </c>
      <c r="I166">
        <v>2.7149999999999999</v>
      </c>
      <c r="J166" t="s">
        <v>6</v>
      </c>
      <c r="K166">
        <f>IFERROR(IFERROR(IF(K$5='Conceptos Desglosados'!$H$4,VLOOKUP($A166,dormitorios,2,0),IF(K$5='Conceptos Desglosados'!$H$5,VLOOKUP($A166,comedor,2,0),IF(K$5='Conceptos Desglosados'!$H$6,VLOOKUP($A166,alojamiento,2,0),IF(K$5='Conceptos Desglosados'!$H$7,VLOOKUP($A166,sanidad,2,0),IF(K$5='Conceptos Desglosados'!$H$8,VLOOKUP($A166,servicios,2,0),IF(K$5='Conceptos Desglosados'!$H$9,VLOOKUP($A166,comyaloj,2,0),IF(K$5='Conceptos Desglosados'!$H$10,VLOOKUP($A166,comandancia,2,0),IF(K$5='Conceptos Desglosados'!$H$11,VLOOKUP($A166,mantenimiento,2,0),IF(K$5='Conceptos Desglosados'!$H$12,VLOOKUP($A166,serestatal,2,0),IF(K$5='Conceptos Desglosados'!$H$13,VLOOKUP($A166,conferencias,2,0),"")))))))))),"")*K$3,"")</f>
        <v>8</v>
      </c>
      <c r="L166" t="str">
        <f>IFERROR(IFERROR(IF(L$5='Conceptos Desglosados'!$H$4,VLOOKUP($A166,dormitorios,2,0),IF(L$5='Conceptos Desglosados'!$H$5,VLOOKUP($A166,comedor,2,0),IF(L$5='Conceptos Desglosados'!$H$6,VLOOKUP($A166,alojamiento,2,0),IF(L$5='Conceptos Desglosados'!$H$7,VLOOKUP($A166,sanidad,2,0),IF(L$5='Conceptos Desglosados'!$H$8,VLOOKUP($A166,servicios,2,0),IF(L$5='Conceptos Desglosados'!$H$9,VLOOKUP($A166,comyaloj,2,0),IF(L$5='Conceptos Desglosados'!$H$10,VLOOKUP($A166,comandancia,2,0),IF(L$5='Conceptos Desglosados'!$H$11,VLOOKUP($A166,mantenimiento,2,0),IF(L$5='Conceptos Desglosados'!$H$12,VLOOKUP($A166,serestatal,2,0),IF(L$5='Conceptos Desglosados'!$H$13,VLOOKUP($A166,conferencias,2,0),"")))))))))),"")*L$3,"")</f>
        <v/>
      </c>
      <c r="M166">
        <f>IFERROR(IFERROR(IF(M$5='Conceptos Desglosados'!$H$4,VLOOKUP($A166,dormitorios,2,0),IF(M$5='Conceptos Desglosados'!$H$5,VLOOKUP($A166,comedor,2,0),IF(M$5='Conceptos Desglosados'!$H$6,VLOOKUP($A166,alojamiento,2,0),IF(M$5='Conceptos Desglosados'!$H$7,VLOOKUP($A166,sanidad,2,0),IF(M$5='Conceptos Desglosados'!$H$8,VLOOKUP($A166,servicios,2,0),IF(M$5='Conceptos Desglosados'!$H$9,VLOOKUP($A166,comyaloj,2,0),IF(M$5='Conceptos Desglosados'!$H$10,VLOOKUP($A166,comandancia,2,0),IF(M$5='Conceptos Desglosados'!$H$11,VLOOKUP($A166,mantenimiento,2,0),IF(M$5='Conceptos Desglosados'!$H$12,VLOOKUP($A166,serestatal,2,0),IF(M$5='Conceptos Desglosados'!$H$13,VLOOKUP($A166,conferencias,2,0),"")))))))))),"")*M$3,"")</f>
        <v>20</v>
      </c>
      <c r="O166">
        <f>SUM(K166:M166)</f>
        <v>28</v>
      </c>
    </row>
    <row r="167" spans="1:15" x14ac:dyDescent="0.35">
      <c r="A167">
        <v>162</v>
      </c>
      <c r="B167" t="s">
        <v>10</v>
      </c>
      <c r="C167" t="s">
        <v>935</v>
      </c>
      <c r="D167" t="s">
        <v>936</v>
      </c>
      <c r="E167" t="s">
        <v>1</v>
      </c>
      <c r="F167" t="s">
        <v>883</v>
      </c>
      <c r="G167" t="s">
        <v>2</v>
      </c>
      <c r="H167">
        <v>1.9990000000000001</v>
      </c>
      <c r="I167">
        <v>2.7149999999999999</v>
      </c>
      <c r="J167" t="s">
        <v>6</v>
      </c>
      <c r="K167">
        <f>IFERROR(IFERROR(IF(K$5='Conceptos Desglosados'!$H$4,VLOOKUP($A167,dormitorios,2,0),IF(K$5='Conceptos Desglosados'!$H$5,VLOOKUP($A167,comedor,2,0),IF(K$5='Conceptos Desglosados'!$H$6,VLOOKUP($A167,alojamiento,2,0),IF(K$5='Conceptos Desglosados'!$H$7,VLOOKUP($A167,sanidad,2,0),IF(K$5='Conceptos Desglosados'!$H$8,VLOOKUP($A167,servicios,2,0),IF(K$5='Conceptos Desglosados'!$H$9,VLOOKUP($A167,comyaloj,2,0),IF(K$5='Conceptos Desglosados'!$H$10,VLOOKUP($A167,comandancia,2,0),IF(K$5='Conceptos Desglosados'!$H$11,VLOOKUP($A167,mantenimiento,2,0),IF(K$5='Conceptos Desglosados'!$H$12,VLOOKUP($A167,serestatal,2,0),IF(K$5='Conceptos Desglosados'!$H$13,VLOOKUP($A167,conferencias,2,0),"")))))))))),"")*K$3,"")</f>
        <v>4</v>
      </c>
      <c r="L167" t="str">
        <f>IFERROR(IFERROR(IF(L$5='Conceptos Desglosados'!$H$4,VLOOKUP($A167,dormitorios,2,0),IF(L$5='Conceptos Desglosados'!$H$5,VLOOKUP($A167,comedor,2,0),IF(L$5='Conceptos Desglosados'!$H$6,VLOOKUP($A167,alojamiento,2,0),IF(L$5='Conceptos Desglosados'!$H$7,VLOOKUP($A167,sanidad,2,0),IF(L$5='Conceptos Desglosados'!$H$8,VLOOKUP($A167,servicios,2,0),IF(L$5='Conceptos Desglosados'!$H$9,VLOOKUP($A167,comyaloj,2,0),IF(L$5='Conceptos Desglosados'!$H$10,VLOOKUP($A167,comandancia,2,0),IF(L$5='Conceptos Desglosados'!$H$11,VLOOKUP($A167,mantenimiento,2,0),IF(L$5='Conceptos Desglosados'!$H$12,VLOOKUP($A167,serestatal,2,0),IF(L$5='Conceptos Desglosados'!$H$13,VLOOKUP($A167,conferencias,2,0),"")))))))))),"")*L$3,"")</f>
        <v/>
      </c>
      <c r="M167">
        <f>IFERROR(IFERROR(IF(M$5='Conceptos Desglosados'!$H$4,VLOOKUP($A167,dormitorios,2,0),IF(M$5='Conceptos Desglosados'!$H$5,VLOOKUP($A167,comedor,2,0),IF(M$5='Conceptos Desglosados'!$H$6,VLOOKUP($A167,alojamiento,2,0),IF(M$5='Conceptos Desglosados'!$H$7,VLOOKUP($A167,sanidad,2,0),IF(M$5='Conceptos Desglosados'!$H$8,VLOOKUP($A167,servicios,2,0),IF(M$5='Conceptos Desglosados'!$H$9,VLOOKUP($A167,comyaloj,2,0),IF(M$5='Conceptos Desglosados'!$H$10,VLOOKUP($A167,comandancia,2,0),IF(M$5='Conceptos Desglosados'!$H$11,VLOOKUP($A167,mantenimiento,2,0),IF(M$5='Conceptos Desglosados'!$H$12,VLOOKUP($A167,serestatal,2,0),IF(M$5='Conceptos Desglosados'!$H$13,VLOOKUP($A167,conferencias,2,0),"")))))))))),"")*M$3,"")</f>
        <v>12</v>
      </c>
      <c r="O167">
        <f>SUM(K167:M167)</f>
        <v>16</v>
      </c>
    </row>
    <row r="168" spans="1:15" x14ac:dyDescent="0.35">
      <c r="A168">
        <v>163</v>
      </c>
      <c r="B168" t="s">
        <v>10</v>
      </c>
      <c r="C168" t="s">
        <v>939</v>
      </c>
      <c r="D168" t="s">
        <v>940</v>
      </c>
      <c r="E168" t="s">
        <v>1</v>
      </c>
      <c r="F168" t="s">
        <v>883</v>
      </c>
      <c r="G168" t="s">
        <v>0</v>
      </c>
      <c r="H168">
        <v>1.968</v>
      </c>
      <c r="I168">
        <v>2.7149999999999999</v>
      </c>
      <c r="J168" t="s">
        <v>6</v>
      </c>
      <c r="K168">
        <f>IFERROR(IFERROR(IF(K$5='Conceptos Desglosados'!$H$4,VLOOKUP($A168,dormitorios,2,0),IF(K$5='Conceptos Desglosados'!$H$5,VLOOKUP($A168,comedor,2,0),IF(K$5='Conceptos Desglosados'!$H$6,VLOOKUP($A168,alojamiento,2,0),IF(K$5='Conceptos Desglosados'!$H$7,VLOOKUP($A168,sanidad,2,0),IF(K$5='Conceptos Desglosados'!$H$8,VLOOKUP($A168,servicios,2,0),IF(K$5='Conceptos Desglosados'!$H$9,VLOOKUP($A168,comyaloj,2,0),IF(K$5='Conceptos Desglosados'!$H$10,VLOOKUP($A168,comandancia,2,0),IF(K$5='Conceptos Desglosados'!$H$11,VLOOKUP($A168,mantenimiento,2,0),IF(K$5='Conceptos Desglosados'!$H$12,VLOOKUP($A168,serestatal,2,0),IF(K$5='Conceptos Desglosados'!$H$13,VLOOKUP($A168,conferencias,2,0),"")))))))))),"")*K$3,"")</f>
        <v>8</v>
      </c>
      <c r="L168" t="str">
        <f>IFERROR(IFERROR(IF(L$5='Conceptos Desglosados'!$H$4,VLOOKUP($A168,dormitorios,2,0),IF(L$5='Conceptos Desglosados'!$H$5,VLOOKUP($A168,comedor,2,0),IF(L$5='Conceptos Desglosados'!$H$6,VLOOKUP($A168,alojamiento,2,0),IF(L$5='Conceptos Desglosados'!$H$7,VLOOKUP($A168,sanidad,2,0),IF(L$5='Conceptos Desglosados'!$H$8,VLOOKUP($A168,servicios,2,0),IF(L$5='Conceptos Desglosados'!$H$9,VLOOKUP($A168,comyaloj,2,0),IF(L$5='Conceptos Desglosados'!$H$10,VLOOKUP($A168,comandancia,2,0),IF(L$5='Conceptos Desglosados'!$H$11,VLOOKUP($A168,mantenimiento,2,0),IF(L$5='Conceptos Desglosados'!$H$12,VLOOKUP($A168,serestatal,2,0),IF(L$5='Conceptos Desglosados'!$H$13,VLOOKUP($A168,conferencias,2,0),"")))))))))),"")*L$3,"")</f>
        <v/>
      </c>
      <c r="M168">
        <f>IFERROR(IFERROR(IF(M$5='Conceptos Desglosados'!$H$4,VLOOKUP($A168,dormitorios,2,0),IF(M$5='Conceptos Desglosados'!$H$5,VLOOKUP($A168,comedor,2,0),IF(M$5='Conceptos Desglosados'!$H$6,VLOOKUP($A168,alojamiento,2,0),IF(M$5='Conceptos Desglosados'!$H$7,VLOOKUP($A168,sanidad,2,0),IF(M$5='Conceptos Desglosados'!$H$8,VLOOKUP($A168,servicios,2,0),IF(M$5='Conceptos Desglosados'!$H$9,VLOOKUP($A168,comyaloj,2,0),IF(M$5='Conceptos Desglosados'!$H$10,VLOOKUP($A168,comandancia,2,0),IF(M$5='Conceptos Desglosados'!$H$11,VLOOKUP($A168,mantenimiento,2,0),IF(M$5='Conceptos Desglosados'!$H$12,VLOOKUP($A168,serestatal,2,0),IF(M$5='Conceptos Desglosados'!$H$13,VLOOKUP($A168,conferencias,2,0),"")))))))))),"")*M$3,"")</f>
        <v>16</v>
      </c>
      <c r="O168">
        <f>SUM(K168:M168)</f>
        <v>24</v>
      </c>
    </row>
    <row r="169" spans="1:15" x14ac:dyDescent="0.35">
      <c r="A169">
        <v>164</v>
      </c>
      <c r="B169" t="s">
        <v>10</v>
      </c>
      <c r="C169" t="s">
        <v>943</v>
      </c>
      <c r="D169" t="s">
        <v>944</v>
      </c>
      <c r="E169" t="s">
        <v>1</v>
      </c>
      <c r="F169" t="s">
        <v>883</v>
      </c>
      <c r="G169" t="s">
        <v>0</v>
      </c>
      <c r="H169">
        <v>1.0820000000000001</v>
      </c>
      <c r="I169">
        <v>2.7149999999999999</v>
      </c>
      <c r="J169" t="s">
        <v>6</v>
      </c>
      <c r="K169">
        <f>IFERROR(IFERROR(IF(K$5='Conceptos Desglosados'!$H$4,VLOOKUP($A169,dormitorios,2,0),IF(K$5='Conceptos Desglosados'!$H$5,VLOOKUP($A169,comedor,2,0),IF(K$5='Conceptos Desglosados'!$H$6,VLOOKUP($A169,alojamiento,2,0),IF(K$5='Conceptos Desglosados'!$H$7,VLOOKUP($A169,sanidad,2,0),IF(K$5='Conceptos Desglosados'!$H$8,VLOOKUP($A169,servicios,2,0),IF(K$5='Conceptos Desglosados'!$H$9,VLOOKUP($A169,comyaloj,2,0),IF(K$5='Conceptos Desglosados'!$H$10,VLOOKUP($A169,comandancia,2,0),IF(K$5='Conceptos Desglosados'!$H$11,VLOOKUP($A169,mantenimiento,2,0),IF(K$5='Conceptos Desglosados'!$H$12,VLOOKUP($A169,serestatal,2,0),IF(K$5='Conceptos Desglosados'!$H$13,VLOOKUP($A169,conferencias,2,0),"")))))))))),"")*K$3,"")</f>
        <v>2</v>
      </c>
      <c r="L169" t="str">
        <f>IFERROR(IFERROR(IF(L$5='Conceptos Desglosados'!$H$4,VLOOKUP($A169,dormitorios,2,0),IF(L$5='Conceptos Desglosados'!$H$5,VLOOKUP($A169,comedor,2,0),IF(L$5='Conceptos Desglosados'!$H$6,VLOOKUP($A169,alojamiento,2,0),IF(L$5='Conceptos Desglosados'!$H$7,VLOOKUP($A169,sanidad,2,0),IF(L$5='Conceptos Desglosados'!$H$8,VLOOKUP($A169,servicios,2,0),IF(L$5='Conceptos Desglosados'!$H$9,VLOOKUP($A169,comyaloj,2,0),IF(L$5='Conceptos Desglosados'!$H$10,VLOOKUP($A169,comandancia,2,0),IF(L$5='Conceptos Desglosados'!$H$11,VLOOKUP($A169,mantenimiento,2,0),IF(L$5='Conceptos Desglosados'!$H$12,VLOOKUP($A169,serestatal,2,0),IF(L$5='Conceptos Desglosados'!$H$13,VLOOKUP($A169,conferencias,2,0),"")))))))))),"")*L$3,"")</f>
        <v/>
      </c>
      <c r="M169" t="str">
        <f>IFERROR(IFERROR(IF(M$5='Conceptos Desglosados'!$H$4,VLOOKUP($A169,dormitorios,2,0),IF(M$5='Conceptos Desglosados'!$H$5,VLOOKUP($A169,comedor,2,0),IF(M$5='Conceptos Desglosados'!$H$6,VLOOKUP($A169,alojamiento,2,0),IF(M$5='Conceptos Desglosados'!$H$7,VLOOKUP($A169,sanidad,2,0),IF(M$5='Conceptos Desglosados'!$H$8,VLOOKUP($A169,servicios,2,0),IF(M$5='Conceptos Desglosados'!$H$9,VLOOKUP($A169,comyaloj,2,0),IF(M$5='Conceptos Desglosados'!$H$10,VLOOKUP($A169,comandancia,2,0),IF(M$5='Conceptos Desglosados'!$H$11,VLOOKUP($A169,mantenimiento,2,0),IF(M$5='Conceptos Desglosados'!$H$12,VLOOKUP($A169,serestatal,2,0),IF(M$5='Conceptos Desglosados'!$H$13,VLOOKUP($A169,conferencias,2,0),"")))))))))),"")*M$3,"")</f>
        <v/>
      </c>
      <c r="O169">
        <f>SUM(K169:M169)</f>
        <v>2</v>
      </c>
    </row>
    <row r="170" spans="1:15" x14ac:dyDescent="0.35">
      <c r="A170">
        <v>165</v>
      </c>
      <c r="B170" t="s">
        <v>10</v>
      </c>
      <c r="C170" t="s">
        <v>946</v>
      </c>
      <c r="D170" t="s">
        <v>945</v>
      </c>
      <c r="E170" t="s">
        <v>656</v>
      </c>
      <c r="F170" t="s">
        <v>511</v>
      </c>
      <c r="G170" t="s">
        <v>0</v>
      </c>
      <c r="H170">
        <v>1.9490000000000001</v>
      </c>
      <c r="I170">
        <v>2.7149999999999999</v>
      </c>
      <c r="J170" t="s">
        <v>6</v>
      </c>
      <c r="K170" t="str">
        <f>IFERROR(IFERROR(IF(K$5='Conceptos Desglosados'!$H$4,VLOOKUP($A170,dormitorios,2,0),IF(K$5='Conceptos Desglosados'!$H$5,VLOOKUP($A170,comedor,2,0),IF(K$5='Conceptos Desglosados'!$H$6,VLOOKUP($A170,alojamiento,2,0),IF(K$5='Conceptos Desglosados'!$H$7,VLOOKUP($A170,sanidad,2,0),IF(K$5='Conceptos Desglosados'!$H$8,VLOOKUP($A170,servicios,2,0),IF(K$5='Conceptos Desglosados'!$H$9,VLOOKUP($A170,comyaloj,2,0),IF(K$5='Conceptos Desglosados'!$H$10,VLOOKUP($A170,comandancia,2,0),IF(K$5='Conceptos Desglosados'!$H$11,VLOOKUP($A170,mantenimiento,2,0),IF(K$5='Conceptos Desglosados'!$H$12,VLOOKUP($A170,serestatal,2,0),IF(K$5='Conceptos Desglosados'!$H$13,VLOOKUP($A170,conferencias,2,0),"")))))))))),"")*K$3,"")</f>
        <v/>
      </c>
      <c r="L170" t="str">
        <f>IFERROR(IFERROR(IF(L$5='Conceptos Desglosados'!$H$4,VLOOKUP($A170,dormitorios,2,0),IF(L$5='Conceptos Desglosados'!$H$5,VLOOKUP($A170,comedor,2,0),IF(L$5='Conceptos Desglosados'!$H$6,VLOOKUP($A170,alojamiento,2,0),IF(L$5='Conceptos Desglosados'!$H$7,VLOOKUP($A170,sanidad,2,0),IF(L$5='Conceptos Desglosados'!$H$8,VLOOKUP($A170,servicios,2,0),IF(L$5='Conceptos Desglosados'!$H$9,VLOOKUP($A170,comyaloj,2,0),IF(L$5='Conceptos Desglosados'!$H$10,VLOOKUP($A170,comandancia,2,0),IF(L$5='Conceptos Desglosados'!$H$11,VLOOKUP($A170,mantenimiento,2,0),IF(L$5='Conceptos Desglosados'!$H$12,VLOOKUP($A170,serestatal,2,0),IF(L$5='Conceptos Desglosados'!$H$13,VLOOKUP($A170,conferencias,2,0),"")))))))))),"")*L$3,"")</f>
        <v/>
      </c>
      <c r="M170" t="str">
        <f>IFERROR(IFERROR(IF(M$5='Conceptos Desglosados'!$H$4,VLOOKUP($A170,dormitorios,2,0),IF(M$5='Conceptos Desglosados'!$H$5,VLOOKUP($A170,comedor,2,0),IF(M$5='Conceptos Desglosados'!$H$6,VLOOKUP($A170,alojamiento,2,0),IF(M$5='Conceptos Desglosados'!$H$7,VLOOKUP($A170,sanidad,2,0),IF(M$5='Conceptos Desglosados'!$H$8,VLOOKUP($A170,servicios,2,0),IF(M$5='Conceptos Desglosados'!$H$9,VLOOKUP($A170,comyaloj,2,0),IF(M$5='Conceptos Desglosados'!$H$10,VLOOKUP($A170,comandancia,2,0),IF(M$5='Conceptos Desglosados'!$H$11,VLOOKUP($A170,mantenimiento,2,0),IF(M$5='Conceptos Desglosados'!$H$12,VLOOKUP($A170,serestatal,2,0),IF(M$5='Conceptos Desglosados'!$H$13,VLOOKUP($A170,conferencias,2,0),"")))))))))),"")*M$3,"")</f>
        <v/>
      </c>
      <c r="O170">
        <f>SUM(K170:M170)</f>
        <v>0</v>
      </c>
    </row>
    <row r="171" spans="1:15" x14ac:dyDescent="0.35">
      <c r="A171">
        <v>166</v>
      </c>
      <c r="B171" t="s">
        <v>10</v>
      </c>
      <c r="C171" t="s">
        <v>955</v>
      </c>
      <c r="D171" t="s">
        <v>947</v>
      </c>
      <c r="E171" t="s">
        <v>1</v>
      </c>
      <c r="F171" t="s">
        <v>883</v>
      </c>
      <c r="G171" t="s">
        <v>0</v>
      </c>
      <c r="H171">
        <v>0.94599999999999995</v>
      </c>
      <c r="I171">
        <v>2.7149999999999999</v>
      </c>
      <c r="J171" t="s">
        <v>6</v>
      </c>
      <c r="K171">
        <f>IFERROR(IFERROR(IF(K$5='Conceptos Desglosados'!$H$4,VLOOKUP($A171,dormitorios,2,0),IF(K$5='Conceptos Desglosados'!$H$5,VLOOKUP($A171,comedor,2,0),IF(K$5='Conceptos Desglosados'!$H$6,VLOOKUP($A171,alojamiento,2,0),IF(K$5='Conceptos Desglosados'!$H$7,VLOOKUP($A171,sanidad,2,0),IF(K$5='Conceptos Desglosados'!$H$8,VLOOKUP($A171,servicios,2,0),IF(K$5='Conceptos Desglosados'!$H$9,VLOOKUP($A171,comyaloj,2,0),IF(K$5='Conceptos Desglosados'!$H$10,VLOOKUP($A171,comandancia,2,0),IF(K$5='Conceptos Desglosados'!$H$11,VLOOKUP($A171,mantenimiento,2,0),IF(K$5='Conceptos Desglosados'!$H$12,VLOOKUP($A171,serestatal,2,0),IF(K$5='Conceptos Desglosados'!$H$13,VLOOKUP($A171,conferencias,2,0),"")))))))))),"")*K$3,"")</f>
        <v>4</v>
      </c>
      <c r="L171" t="str">
        <f>IFERROR(IFERROR(IF(L$5='Conceptos Desglosados'!$H$4,VLOOKUP($A171,dormitorios,2,0),IF(L$5='Conceptos Desglosados'!$H$5,VLOOKUP($A171,comedor,2,0),IF(L$5='Conceptos Desglosados'!$H$6,VLOOKUP($A171,alojamiento,2,0),IF(L$5='Conceptos Desglosados'!$H$7,VLOOKUP($A171,sanidad,2,0),IF(L$5='Conceptos Desglosados'!$H$8,VLOOKUP($A171,servicios,2,0),IF(L$5='Conceptos Desglosados'!$H$9,VLOOKUP($A171,comyaloj,2,0),IF(L$5='Conceptos Desglosados'!$H$10,VLOOKUP($A171,comandancia,2,0),IF(L$5='Conceptos Desglosados'!$H$11,VLOOKUP($A171,mantenimiento,2,0),IF(L$5='Conceptos Desglosados'!$H$12,VLOOKUP($A171,serestatal,2,0),IF(L$5='Conceptos Desglosados'!$H$13,VLOOKUP($A171,conferencias,2,0),"")))))))))),"")*L$3,"")</f>
        <v/>
      </c>
      <c r="M171">
        <f>IFERROR(IFERROR(IF(M$5='Conceptos Desglosados'!$H$4,VLOOKUP($A171,dormitorios,2,0),IF(M$5='Conceptos Desglosados'!$H$5,VLOOKUP($A171,comedor,2,0),IF(M$5='Conceptos Desglosados'!$H$6,VLOOKUP($A171,alojamiento,2,0),IF(M$5='Conceptos Desglosados'!$H$7,VLOOKUP($A171,sanidad,2,0),IF(M$5='Conceptos Desglosados'!$H$8,VLOOKUP($A171,servicios,2,0),IF(M$5='Conceptos Desglosados'!$H$9,VLOOKUP($A171,comyaloj,2,0),IF(M$5='Conceptos Desglosados'!$H$10,VLOOKUP($A171,comandancia,2,0),IF(M$5='Conceptos Desglosados'!$H$11,VLOOKUP($A171,mantenimiento,2,0),IF(M$5='Conceptos Desglosados'!$H$12,VLOOKUP($A171,serestatal,2,0),IF(M$5='Conceptos Desglosados'!$H$13,VLOOKUP($A171,conferencias,2,0),"")))))))))),"")*M$3,"")</f>
        <v>4</v>
      </c>
      <c r="O171">
        <f>SUM(K171:M171)</f>
        <v>8</v>
      </c>
    </row>
    <row r="172" spans="1:15" x14ac:dyDescent="0.35">
      <c r="A172">
        <v>167</v>
      </c>
      <c r="B172" t="s">
        <v>10</v>
      </c>
      <c r="C172" t="s">
        <v>956</v>
      </c>
      <c r="D172" t="s">
        <v>954</v>
      </c>
      <c r="E172" t="s">
        <v>656</v>
      </c>
      <c r="F172" t="s">
        <v>511</v>
      </c>
      <c r="G172" t="s">
        <v>0</v>
      </c>
      <c r="H172">
        <v>1.486</v>
      </c>
      <c r="I172">
        <v>2.7149999999999999</v>
      </c>
      <c r="J172" t="s">
        <v>6</v>
      </c>
      <c r="K172">
        <f>IFERROR(IFERROR(IF(K$5='Conceptos Desglosados'!$H$4,VLOOKUP($A172,dormitorios,2,0),IF(K$5='Conceptos Desglosados'!$H$5,VLOOKUP($A172,comedor,2,0),IF(K$5='Conceptos Desglosados'!$H$6,VLOOKUP($A172,alojamiento,2,0),IF(K$5='Conceptos Desglosados'!$H$7,VLOOKUP($A172,sanidad,2,0),IF(K$5='Conceptos Desglosados'!$H$8,VLOOKUP($A172,servicios,2,0),IF(K$5='Conceptos Desglosados'!$H$9,VLOOKUP($A172,comyaloj,2,0),IF(K$5='Conceptos Desglosados'!$H$10,VLOOKUP($A172,comandancia,2,0),IF(K$5='Conceptos Desglosados'!$H$11,VLOOKUP($A172,mantenimiento,2,0),IF(K$5='Conceptos Desglosados'!$H$12,VLOOKUP($A172,serestatal,2,0),IF(K$5='Conceptos Desglosados'!$H$13,VLOOKUP($A172,conferencias,2,0),"")))))))))),"")*K$3,"")</f>
        <v>2</v>
      </c>
      <c r="L172" t="str">
        <f>IFERROR(IFERROR(IF(L$5='Conceptos Desglosados'!$H$4,VLOOKUP($A172,dormitorios,2,0),IF(L$5='Conceptos Desglosados'!$H$5,VLOOKUP($A172,comedor,2,0),IF(L$5='Conceptos Desglosados'!$H$6,VLOOKUP($A172,alojamiento,2,0),IF(L$5='Conceptos Desglosados'!$H$7,VLOOKUP($A172,sanidad,2,0),IF(L$5='Conceptos Desglosados'!$H$8,VLOOKUP($A172,servicios,2,0),IF(L$5='Conceptos Desglosados'!$H$9,VLOOKUP($A172,comyaloj,2,0),IF(L$5='Conceptos Desglosados'!$H$10,VLOOKUP($A172,comandancia,2,0),IF(L$5='Conceptos Desglosados'!$H$11,VLOOKUP($A172,mantenimiento,2,0),IF(L$5='Conceptos Desglosados'!$H$12,VLOOKUP($A172,serestatal,2,0),IF(L$5='Conceptos Desglosados'!$H$13,VLOOKUP($A172,conferencias,2,0),"")))))))))),"")*L$3,"")</f>
        <v/>
      </c>
      <c r="M172" t="str">
        <f>IFERROR(IFERROR(IF(M$5='Conceptos Desglosados'!$H$4,VLOOKUP($A172,dormitorios,2,0),IF(M$5='Conceptos Desglosados'!$H$5,VLOOKUP($A172,comedor,2,0),IF(M$5='Conceptos Desglosados'!$H$6,VLOOKUP($A172,alojamiento,2,0),IF(M$5='Conceptos Desglosados'!$H$7,VLOOKUP($A172,sanidad,2,0),IF(M$5='Conceptos Desglosados'!$H$8,VLOOKUP($A172,servicios,2,0),IF(M$5='Conceptos Desglosados'!$H$9,VLOOKUP($A172,comyaloj,2,0),IF(M$5='Conceptos Desglosados'!$H$10,VLOOKUP($A172,comandancia,2,0),IF(M$5='Conceptos Desglosados'!$H$11,VLOOKUP($A172,mantenimiento,2,0),IF(M$5='Conceptos Desglosados'!$H$12,VLOOKUP($A172,serestatal,2,0),IF(M$5='Conceptos Desglosados'!$H$13,VLOOKUP($A172,conferencias,2,0),"")))))))))),"")*M$3,"")</f>
        <v/>
      </c>
      <c r="O172">
        <f>SUM(K172:M172)</f>
        <v>2</v>
      </c>
    </row>
    <row r="173" spans="1:15" x14ac:dyDescent="0.35">
      <c r="A173">
        <v>168</v>
      </c>
      <c r="B173" t="s">
        <v>10</v>
      </c>
      <c r="C173" t="s">
        <v>957</v>
      </c>
      <c r="D173" t="s">
        <v>958</v>
      </c>
      <c r="E173" t="s">
        <v>656</v>
      </c>
      <c r="F173" t="s">
        <v>667</v>
      </c>
      <c r="G173" t="s">
        <v>2</v>
      </c>
      <c r="H173">
        <v>0.90800000000000003</v>
      </c>
      <c r="I173">
        <v>2.7149999999999999</v>
      </c>
      <c r="J173" t="s">
        <v>6</v>
      </c>
      <c r="K173">
        <f>IFERROR(IFERROR(IF(K$5='Conceptos Desglosados'!$H$4,VLOOKUP($A173,dormitorios,2,0),IF(K$5='Conceptos Desglosados'!$H$5,VLOOKUP($A173,comedor,2,0),IF(K$5='Conceptos Desglosados'!$H$6,VLOOKUP($A173,alojamiento,2,0),IF(K$5='Conceptos Desglosados'!$H$7,VLOOKUP($A173,sanidad,2,0),IF(K$5='Conceptos Desglosados'!$H$8,VLOOKUP($A173,servicios,2,0),IF(K$5='Conceptos Desglosados'!$H$9,VLOOKUP($A173,comyaloj,2,0),IF(K$5='Conceptos Desglosados'!$H$10,VLOOKUP($A173,comandancia,2,0),IF(K$5='Conceptos Desglosados'!$H$11,VLOOKUP($A173,mantenimiento,2,0),IF(K$5='Conceptos Desglosados'!$H$12,VLOOKUP($A173,serestatal,2,0),IF(K$5='Conceptos Desglosados'!$H$13,VLOOKUP($A173,conferencias,2,0),"")))))))))),"")*K$3,"")</f>
        <v>2</v>
      </c>
      <c r="L173" t="str">
        <f>IFERROR(IFERROR(IF(L$5='Conceptos Desglosados'!$H$4,VLOOKUP($A173,dormitorios,2,0),IF(L$5='Conceptos Desglosados'!$H$5,VLOOKUP($A173,comedor,2,0),IF(L$5='Conceptos Desglosados'!$H$6,VLOOKUP($A173,alojamiento,2,0),IF(L$5='Conceptos Desglosados'!$H$7,VLOOKUP($A173,sanidad,2,0),IF(L$5='Conceptos Desglosados'!$H$8,VLOOKUP($A173,servicios,2,0),IF(L$5='Conceptos Desglosados'!$H$9,VLOOKUP($A173,comyaloj,2,0),IF(L$5='Conceptos Desglosados'!$H$10,VLOOKUP($A173,comandancia,2,0),IF(L$5='Conceptos Desglosados'!$H$11,VLOOKUP($A173,mantenimiento,2,0),IF(L$5='Conceptos Desglosados'!$H$12,VLOOKUP($A173,serestatal,2,0),IF(L$5='Conceptos Desglosados'!$H$13,VLOOKUP($A173,conferencias,2,0),"")))))))))),"")*L$3,"")</f>
        <v/>
      </c>
      <c r="M173" t="str">
        <f>IFERROR(IFERROR(IF(M$5='Conceptos Desglosados'!$H$4,VLOOKUP($A173,dormitorios,2,0),IF(M$5='Conceptos Desglosados'!$H$5,VLOOKUP($A173,comedor,2,0),IF(M$5='Conceptos Desglosados'!$H$6,VLOOKUP($A173,alojamiento,2,0),IF(M$5='Conceptos Desglosados'!$H$7,VLOOKUP($A173,sanidad,2,0),IF(M$5='Conceptos Desglosados'!$H$8,VLOOKUP($A173,servicios,2,0),IF(M$5='Conceptos Desglosados'!$H$9,VLOOKUP($A173,comyaloj,2,0),IF(M$5='Conceptos Desglosados'!$H$10,VLOOKUP($A173,comandancia,2,0),IF(M$5='Conceptos Desglosados'!$H$11,VLOOKUP($A173,mantenimiento,2,0),IF(M$5='Conceptos Desglosados'!$H$12,VLOOKUP($A173,serestatal,2,0),IF(M$5='Conceptos Desglosados'!$H$13,VLOOKUP($A173,conferencias,2,0),"")))))))))),"")*M$3,"")</f>
        <v/>
      </c>
      <c r="O173">
        <f>SUM(K173:M173)</f>
        <v>2</v>
      </c>
    </row>
    <row r="174" spans="1:15" x14ac:dyDescent="0.35">
      <c r="A174">
        <v>169</v>
      </c>
      <c r="B174" t="s">
        <v>10</v>
      </c>
      <c r="C174" t="s">
        <v>959</v>
      </c>
      <c r="D174" t="s">
        <v>960</v>
      </c>
      <c r="E174" t="s">
        <v>656</v>
      </c>
      <c r="F174" t="s">
        <v>667</v>
      </c>
      <c r="G174" t="s">
        <v>0</v>
      </c>
      <c r="H174">
        <v>0.875</v>
      </c>
      <c r="I174">
        <v>2.7149999999999999</v>
      </c>
      <c r="J174" t="s">
        <v>6</v>
      </c>
      <c r="K174">
        <f>IFERROR(IFERROR(IF(K$5='Conceptos Desglosados'!$H$4,VLOOKUP($A174,dormitorios,2,0),IF(K$5='Conceptos Desglosados'!$H$5,VLOOKUP($A174,comedor,2,0),IF(K$5='Conceptos Desglosados'!$H$6,VLOOKUP($A174,alojamiento,2,0),IF(K$5='Conceptos Desglosados'!$H$7,VLOOKUP($A174,sanidad,2,0),IF(K$5='Conceptos Desglosados'!$H$8,VLOOKUP($A174,servicios,2,0),IF(K$5='Conceptos Desglosados'!$H$9,VLOOKUP($A174,comyaloj,2,0),IF(K$5='Conceptos Desglosados'!$H$10,VLOOKUP($A174,comandancia,2,0),IF(K$5='Conceptos Desglosados'!$H$11,VLOOKUP($A174,mantenimiento,2,0),IF(K$5='Conceptos Desglosados'!$H$12,VLOOKUP($A174,serestatal,2,0),IF(K$5='Conceptos Desglosados'!$H$13,VLOOKUP($A174,conferencias,2,0),"")))))))))),"")*K$3,"")</f>
        <v>2</v>
      </c>
      <c r="L174" t="str">
        <f>IFERROR(IFERROR(IF(L$5='Conceptos Desglosados'!$H$4,VLOOKUP($A174,dormitorios,2,0),IF(L$5='Conceptos Desglosados'!$H$5,VLOOKUP($A174,comedor,2,0),IF(L$5='Conceptos Desglosados'!$H$6,VLOOKUP($A174,alojamiento,2,0),IF(L$5='Conceptos Desglosados'!$H$7,VLOOKUP($A174,sanidad,2,0),IF(L$5='Conceptos Desglosados'!$H$8,VLOOKUP($A174,servicios,2,0),IF(L$5='Conceptos Desglosados'!$H$9,VLOOKUP($A174,comyaloj,2,0),IF(L$5='Conceptos Desglosados'!$H$10,VLOOKUP($A174,comandancia,2,0),IF(L$5='Conceptos Desglosados'!$H$11,VLOOKUP($A174,mantenimiento,2,0),IF(L$5='Conceptos Desglosados'!$H$12,VLOOKUP($A174,serestatal,2,0),IF(L$5='Conceptos Desglosados'!$H$13,VLOOKUP($A174,conferencias,2,0),"")))))))))),"")*L$3,"")</f>
        <v/>
      </c>
      <c r="M174" t="str">
        <f>IFERROR(IFERROR(IF(M$5='Conceptos Desglosados'!$H$4,VLOOKUP($A174,dormitorios,2,0),IF(M$5='Conceptos Desglosados'!$H$5,VLOOKUP($A174,comedor,2,0),IF(M$5='Conceptos Desglosados'!$H$6,VLOOKUP($A174,alojamiento,2,0),IF(M$5='Conceptos Desglosados'!$H$7,VLOOKUP($A174,sanidad,2,0),IF(M$5='Conceptos Desglosados'!$H$8,VLOOKUP($A174,servicios,2,0),IF(M$5='Conceptos Desglosados'!$H$9,VLOOKUP($A174,comyaloj,2,0),IF(M$5='Conceptos Desglosados'!$H$10,VLOOKUP($A174,comandancia,2,0),IF(M$5='Conceptos Desglosados'!$H$11,VLOOKUP($A174,mantenimiento,2,0),IF(M$5='Conceptos Desglosados'!$H$12,VLOOKUP($A174,serestatal,2,0),IF(M$5='Conceptos Desglosados'!$H$13,VLOOKUP($A174,conferencias,2,0),"")))))))))),"")*M$3,"")</f>
        <v/>
      </c>
      <c r="O174">
        <f>SUM(K174:M174)</f>
        <v>2</v>
      </c>
    </row>
    <row r="175" spans="1:15" x14ac:dyDescent="0.35">
      <c r="A175">
        <v>170</v>
      </c>
      <c r="B175" t="s">
        <v>10</v>
      </c>
      <c r="C175" t="s">
        <v>979</v>
      </c>
      <c r="D175" t="s">
        <v>980</v>
      </c>
      <c r="E175" t="s">
        <v>656</v>
      </c>
      <c r="F175" t="s">
        <v>511</v>
      </c>
      <c r="G175" t="s">
        <v>0</v>
      </c>
      <c r="H175">
        <v>0.755</v>
      </c>
      <c r="I175">
        <v>2.7149999999999999</v>
      </c>
      <c r="J175" t="s">
        <v>6</v>
      </c>
      <c r="K175" t="str">
        <f>IFERROR(IFERROR(IF(K$5='Conceptos Desglosados'!$H$4,VLOOKUP($A175,dormitorios,2,0),IF(K$5='Conceptos Desglosados'!$H$5,VLOOKUP($A175,comedor,2,0),IF(K$5='Conceptos Desglosados'!$H$6,VLOOKUP($A175,alojamiento,2,0),IF(K$5='Conceptos Desglosados'!$H$7,VLOOKUP($A175,sanidad,2,0),IF(K$5='Conceptos Desglosados'!$H$8,VLOOKUP($A175,servicios,2,0),IF(K$5='Conceptos Desglosados'!$H$9,VLOOKUP($A175,comyaloj,2,0),IF(K$5='Conceptos Desglosados'!$H$10,VLOOKUP($A175,comandancia,2,0),IF(K$5='Conceptos Desglosados'!$H$11,VLOOKUP($A175,mantenimiento,2,0),IF(K$5='Conceptos Desglosados'!$H$12,VLOOKUP($A175,serestatal,2,0),IF(K$5='Conceptos Desglosados'!$H$13,VLOOKUP($A175,conferencias,2,0),"")))))))))),"")*K$3,"")</f>
        <v/>
      </c>
      <c r="L175" t="str">
        <f>IFERROR(IFERROR(IF(L$5='Conceptos Desglosados'!$H$4,VLOOKUP($A175,dormitorios,2,0),IF(L$5='Conceptos Desglosados'!$H$5,VLOOKUP($A175,comedor,2,0),IF(L$5='Conceptos Desglosados'!$H$6,VLOOKUP($A175,alojamiento,2,0),IF(L$5='Conceptos Desglosados'!$H$7,VLOOKUP($A175,sanidad,2,0),IF(L$5='Conceptos Desglosados'!$H$8,VLOOKUP($A175,servicios,2,0),IF(L$5='Conceptos Desglosados'!$H$9,VLOOKUP($A175,comyaloj,2,0),IF(L$5='Conceptos Desglosados'!$H$10,VLOOKUP($A175,comandancia,2,0),IF(L$5='Conceptos Desglosados'!$H$11,VLOOKUP($A175,mantenimiento,2,0),IF(L$5='Conceptos Desglosados'!$H$12,VLOOKUP($A175,serestatal,2,0),IF(L$5='Conceptos Desglosados'!$H$13,VLOOKUP($A175,conferencias,2,0),"")))))))))),"")*L$3,"")</f>
        <v/>
      </c>
      <c r="M175" t="str">
        <f>IFERROR(IFERROR(IF(M$5='Conceptos Desglosados'!$H$4,VLOOKUP($A175,dormitorios,2,0),IF(M$5='Conceptos Desglosados'!$H$5,VLOOKUP($A175,comedor,2,0),IF(M$5='Conceptos Desglosados'!$H$6,VLOOKUP($A175,alojamiento,2,0),IF(M$5='Conceptos Desglosados'!$H$7,VLOOKUP($A175,sanidad,2,0),IF(M$5='Conceptos Desglosados'!$H$8,VLOOKUP($A175,servicios,2,0),IF(M$5='Conceptos Desglosados'!$H$9,VLOOKUP($A175,comyaloj,2,0),IF(M$5='Conceptos Desglosados'!$H$10,VLOOKUP($A175,comandancia,2,0),IF(M$5='Conceptos Desglosados'!$H$11,VLOOKUP($A175,mantenimiento,2,0),IF(M$5='Conceptos Desglosados'!$H$12,VLOOKUP($A175,serestatal,2,0),IF(M$5='Conceptos Desglosados'!$H$13,VLOOKUP($A175,conferencias,2,0),"")))))))))),"")*M$3,"")</f>
        <v/>
      </c>
      <c r="O175">
        <f>SUM(K175:M175)</f>
        <v>0</v>
      </c>
    </row>
    <row r="176" spans="1:15" x14ac:dyDescent="0.35">
      <c r="A176">
        <v>171</v>
      </c>
      <c r="B176" t="s">
        <v>10</v>
      </c>
      <c r="C176" t="s">
        <v>981</v>
      </c>
      <c r="D176" t="s">
        <v>982</v>
      </c>
      <c r="E176" t="s">
        <v>656</v>
      </c>
      <c r="F176" t="s">
        <v>667</v>
      </c>
      <c r="G176" t="s">
        <v>0</v>
      </c>
      <c r="H176">
        <v>1.9279999999999999</v>
      </c>
      <c r="I176">
        <v>2.7149999999999999</v>
      </c>
      <c r="J176" t="s">
        <v>6</v>
      </c>
      <c r="K176" t="str">
        <f>IFERROR(IFERROR(IF(K$5='Conceptos Desglosados'!$H$4,VLOOKUP($A176,dormitorios,2,0),IF(K$5='Conceptos Desglosados'!$H$5,VLOOKUP($A176,comedor,2,0),IF(K$5='Conceptos Desglosados'!$H$6,VLOOKUP($A176,alojamiento,2,0),IF(K$5='Conceptos Desglosados'!$H$7,VLOOKUP($A176,sanidad,2,0),IF(K$5='Conceptos Desglosados'!$H$8,VLOOKUP($A176,servicios,2,0),IF(K$5='Conceptos Desglosados'!$H$9,VLOOKUP($A176,comyaloj,2,0),IF(K$5='Conceptos Desglosados'!$H$10,VLOOKUP($A176,comandancia,2,0),IF(K$5='Conceptos Desglosados'!$H$11,VLOOKUP($A176,mantenimiento,2,0),IF(K$5='Conceptos Desglosados'!$H$12,VLOOKUP($A176,serestatal,2,0),IF(K$5='Conceptos Desglosados'!$H$13,VLOOKUP($A176,conferencias,2,0),"")))))))))),"")*K$3,"")</f>
        <v/>
      </c>
      <c r="L176" t="str">
        <f>IFERROR(IFERROR(IF(L$5='Conceptos Desglosados'!$H$4,VLOOKUP($A176,dormitorios,2,0),IF(L$5='Conceptos Desglosados'!$H$5,VLOOKUP($A176,comedor,2,0),IF(L$5='Conceptos Desglosados'!$H$6,VLOOKUP($A176,alojamiento,2,0),IF(L$5='Conceptos Desglosados'!$H$7,VLOOKUP($A176,sanidad,2,0),IF(L$5='Conceptos Desglosados'!$H$8,VLOOKUP($A176,servicios,2,0),IF(L$5='Conceptos Desglosados'!$H$9,VLOOKUP($A176,comyaloj,2,0),IF(L$5='Conceptos Desglosados'!$H$10,VLOOKUP($A176,comandancia,2,0),IF(L$5='Conceptos Desglosados'!$H$11,VLOOKUP($A176,mantenimiento,2,0),IF(L$5='Conceptos Desglosados'!$H$12,VLOOKUP($A176,serestatal,2,0),IF(L$5='Conceptos Desglosados'!$H$13,VLOOKUP($A176,conferencias,2,0),"")))))))))),"")*L$3,"")</f>
        <v/>
      </c>
      <c r="M176" t="str">
        <f>IFERROR(IFERROR(IF(M$5='Conceptos Desglosados'!$H$4,VLOOKUP($A176,dormitorios,2,0),IF(M$5='Conceptos Desglosados'!$H$5,VLOOKUP($A176,comedor,2,0),IF(M$5='Conceptos Desglosados'!$H$6,VLOOKUP($A176,alojamiento,2,0),IF(M$5='Conceptos Desglosados'!$H$7,VLOOKUP($A176,sanidad,2,0),IF(M$5='Conceptos Desglosados'!$H$8,VLOOKUP($A176,servicios,2,0),IF(M$5='Conceptos Desglosados'!$H$9,VLOOKUP($A176,comyaloj,2,0),IF(M$5='Conceptos Desglosados'!$H$10,VLOOKUP($A176,comandancia,2,0),IF(M$5='Conceptos Desglosados'!$H$11,VLOOKUP($A176,mantenimiento,2,0),IF(M$5='Conceptos Desglosados'!$H$12,VLOOKUP($A176,serestatal,2,0),IF(M$5='Conceptos Desglosados'!$H$13,VLOOKUP($A176,conferencias,2,0),"")))))))))),"")*M$3,"")</f>
        <v/>
      </c>
      <c r="O176">
        <f>SUM(K176:M176)</f>
        <v>0</v>
      </c>
    </row>
    <row r="177" spans="1:15" x14ac:dyDescent="0.35">
      <c r="A177">
        <v>172</v>
      </c>
      <c r="B177" t="s">
        <v>10</v>
      </c>
      <c r="C177" t="s">
        <v>983</v>
      </c>
      <c r="D177" t="s">
        <v>984</v>
      </c>
      <c r="E177" t="s">
        <v>656</v>
      </c>
      <c r="F177" t="s">
        <v>511</v>
      </c>
      <c r="G177" t="s">
        <v>0</v>
      </c>
      <c r="H177">
        <v>1.9279999999999999</v>
      </c>
      <c r="I177">
        <v>2.7149999999999999</v>
      </c>
      <c r="J177" t="s">
        <v>6</v>
      </c>
      <c r="K177" t="str">
        <f>IFERROR(IFERROR(IF(K$5='Conceptos Desglosados'!$H$4,VLOOKUP($A177,dormitorios,2,0),IF(K$5='Conceptos Desglosados'!$H$5,VLOOKUP($A177,comedor,2,0),IF(K$5='Conceptos Desglosados'!$H$6,VLOOKUP($A177,alojamiento,2,0),IF(K$5='Conceptos Desglosados'!$H$7,VLOOKUP($A177,sanidad,2,0),IF(K$5='Conceptos Desglosados'!$H$8,VLOOKUP($A177,servicios,2,0),IF(K$5='Conceptos Desglosados'!$H$9,VLOOKUP($A177,comyaloj,2,0),IF(K$5='Conceptos Desglosados'!$H$10,VLOOKUP($A177,comandancia,2,0),IF(K$5='Conceptos Desglosados'!$H$11,VLOOKUP($A177,mantenimiento,2,0),IF(K$5='Conceptos Desglosados'!$H$12,VLOOKUP($A177,serestatal,2,0),IF(K$5='Conceptos Desglosados'!$H$13,VLOOKUP($A177,conferencias,2,0),"")))))))))),"")*K$3,"")</f>
        <v/>
      </c>
      <c r="L177" t="str">
        <f>IFERROR(IFERROR(IF(L$5='Conceptos Desglosados'!$H$4,VLOOKUP($A177,dormitorios,2,0),IF(L$5='Conceptos Desglosados'!$H$5,VLOOKUP($A177,comedor,2,0),IF(L$5='Conceptos Desglosados'!$H$6,VLOOKUP($A177,alojamiento,2,0),IF(L$5='Conceptos Desglosados'!$H$7,VLOOKUP($A177,sanidad,2,0),IF(L$5='Conceptos Desglosados'!$H$8,VLOOKUP($A177,servicios,2,0),IF(L$5='Conceptos Desglosados'!$H$9,VLOOKUP($A177,comyaloj,2,0),IF(L$5='Conceptos Desglosados'!$H$10,VLOOKUP($A177,comandancia,2,0),IF(L$5='Conceptos Desglosados'!$H$11,VLOOKUP($A177,mantenimiento,2,0),IF(L$5='Conceptos Desglosados'!$H$12,VLOOKUP($A177,serestatal,2,0),IF(L$5='Conceptos Desglosados'!$H$13,VLOOKUP($A177,conferencias,2,0),"")))))))))),"")*L$3,"")</f>
        <v/>
      </c>
      <c r="M177" t="str">
        <f>IFERROR(IFERROR(IF(M$5='Conceptos Desglosados'!$H$4,VLOOKUP($A177,dormitorios,2,0),IF(M$5='Conceptos Desglosados'!$H$5,VLOOKUP($A177,comedor,2,0),IF(M$5='Conceptos Desglosados'!$H$6,VLOOKUP($A177,alojamiento,2,0),IF(M$5='Conceptos Desglosados'!$H$7,VLOOKUP($A177,sanidad,2,0),IF(M$5='Conceptos Desglosados'!$H$8,VLOOKUP($A177,servicios,2,0),IF(M$5='Conceptos Desglosados'!$H$9,VLOOKUP($A177,comyaloj,2,0),IF(M$5='Conceptos Desglosados'!$H$10,VLOOKUP($A177,comandancia,2,0),IF(M$5='Conceptos Desglosados'!$H$11,VLOOKUP($A177,mantenimiento,2,0),IF(M$5='Conceptos Desglosados'!$H$12,VLOOKUP($A177,serestatal,2,0),IF(M$5='Conceptos Desglosados'!$H$13,VLOOKUP($A177,conferencias,2,0),"")))))))))),"")*M$3,"")</f>
        <v/>
      </c>
      <c r="O177">
        <f>SUM(K177:M177)</f>
        <v>0</v>
      </c>
    </row>
    <row r="178" spans="1:15" x14ac:dyDescent="0.35">
      <c r="A178">
        <v>173</v>
      </c>
      <c r="B178" t="s">
        <v>10</v>
      </c>
      <c r="C178" t="s">
        <v>985</v>
      </c>
      <c r="D178" t="s">
        <v>986</v>
      </c>
      <c r="E178" t="s">
        <v>656</v>
      </c>
      <c r="F178" t="s">
        <v>511</v>
      </c>
      <c r="G178" t="s">
        <v>2</v>
      </c>
      <c r="H178">
        <v>1.704</v>
      </c>
      <c r="I178">
        <v>2.7149999999999999</v>
      </c>
      <c r="J178" t="s">
        <v>6</v>
      </c>
      <c r="K178" t="str">
        <f>IFERROR(IFERROR(IF(K$5='Conceptos Desglosados'!$H$4,VLOOKUP($A178,dormitorios,2,0),IF(K$5='Conceptos Desglosados'!$H$5,VLOOKUP($A178,comedor,2,0),IF(K$5='Conceptos Desglosados'!$H$6,VLOOKUP($A178,alojamiento,2,0),IF(K$5='Conceptos Desglosados'!$H$7,VLOOKUP($A178,sanidad,2,0),IF(K$5='Conceptos Desglosados'!$H$8,VLOOKUP($A178,servicios,2,0),IF(K$5='Conceptos Desglosados'!$H$9,VLOOKUP($A178,comyaloj,2,0),IF(K$5='Conceptos Desglosados'!$H$10,VLOOKUP($A178,comandancia,2,0),IF(K$5='Conceptos Desglosados'!$H$11,VLOOKUP($A178,mantenimiento,2,0),IF(K$5='Conceptos Desglosados'!$H$12,VLOOKUP($A178,serestatal,2,0),IF(K$5='Conceptos Desglosados'!$H$13,VLOOKUP($A178,conferencias,2,0),"")))))))))),"")*K$3,"")</f>
        <v/>
      </c>
      <c r="L178" t="str">
        <f>IFERROR(IFERROR(IF(L$5='Conceptos Desglosados'!$H$4,VLOOKUP($A178,dormitorios,2,0),IF(L$5='Conceptos Desglosados'!$H$5,VLOOKUP($A178,comedor,2,0),IF(L$5='Conceptos Desglosados'!$H$6,VLOOKUP($A178,alojamiento,2,0),IF(L$5='Conceptos Desglosados'!$H$7,VLOOKUP($A178,sanidad,2,0),IF(L$5='Conceptos Desglosados'!$H$8,VLOOKUP($A178,servicios,2,0),IF(L$5='Conceptos Desglosados'!$H$9,VLOOKUP($A178,comyaloj,2,0),IF(L$5='Conceptos Desglosados'!$H$10,VLOOKUP($A178,comandancia,2,0),IF(L$5='Conceptos Desglosados'!$H$11,VLOOKUP($A178,mantenimiento,2,0),IF(L$5='Conceptos Desglosados'!$H$12,VLOOKUP($A178,serestatal,2,0),IF(L$5='Conceptos Desglosados'!$H$13,VLOOKUP($A178,conferencias,2,0),"")))))))))),"")*L$3,"")</f>
        <v/>
      </c>
      <c r="M178" t="str">
        <f>IFERROR(IFERROR(IF(M$5='Conceptos Desglosados'!$H$4,VLOOKUP($A178,dormitorios,2,0),IF(M$5='Conceptos Desglosados'!$H$5,VLOOKUP($A178,comedor,2,0),IF(M$5='Conceptos Desglosados'!$H$6,VLOOKUP($A178,alojamiento,2,0),IF(M$5='Conceptos Desglosados'!$H$7,VLOOKUP($A178,sanidad,2,0),IF(M$5='Conceptos Desglosados'!$H$8,VLOOKUP($A178,servicios,2,0),IF(M$5='Conceptos Desglosados'!$H$9,VLOOKUP($A178,comyaloj,2,0),IF(M$5='Conceptos Desglosados'!$H$10,VLOOKUP($A178,comandancia,2,0),IF(M$5='Conceptos Desglosados'!$H$11,VLOOKUP($A178,mantenimiento,2,0),IF(M$5='Conceptos Desglosados'!$H$12,VLOOKUP($A178,serestatal,2,0),IF(M$5='Conceptos Desglosados'!$H$13,VLOOKUP($A178,conferencias,2,0),"")))))))))),"")*M$3,"")</f>
        <v/>
      </c>
      <c r="O178">
        <f>SUM(K178:M178)</f>
        <v>0</v>
      </c>
    </row>
    <row r="179" spans="1:15" x14ac:dyDescent="0.35">
      <c r="A179">
        <v>174</v>
      </c>
      <c r="B179" t="s">
        <v>10</v>
      </c>
      <c r="C179" t="s">
        <v>993</v>
      </c>
      <c r="D179" t="s">
        <v>994</v>
      </c>
      <c r="E179" t="s">
        <v>776</v>
      </c>
      <c r="F179" t="s">
        <v>995</v>
      </c>
      <c r="G179" t="s">
        <v>0</v>
      </c>
      <c r="H179">
        <v>2.02</v>
      </c>
      <c r="I179">
        <v>2.7149999999999999</v>
      </c>
      <c r="J179" t="s">
        <v>6</v>
      </c>
      <c r="K179">
        <f>IFERROR(IFERROR(IF(K$5='Conceptos Desglosados'!$H$4,VLOOKUP($A179,dormitorios,2,0),IF(K$5='Conceptos Desglosados'!$H$5,VLOOKUP($A179,comedor,2,0),IF(K$5='Conceptos Desglosados'!$H$6,VLOOKUP($A179,alojamiento,2,0),IF(K$5='Conceptos Desglosados'!$H$7,VLOOKUP($A179,sanidad,2,0),IF(K$5='Conceptos Desglosados'!$H$8,VLOOKUP($A179,servicios,2,0),IF(K$5='Conceptos Desglosados'!$H$9,VLOOKUP($A179,comyaloj,2,0),IF(K$5='Conceptos Desglosados'!$H$10,VLOOKUP($A179,comandancia,2,0),IF(K$5='Conceptos Desglosados'!$H$11,VLOOKUP($A179,mantenimiento,2,0),IF(K$5='Conceptos Desglosados'!$H$12,VLOOKUP($A179,serestatal,2,0),IF(K$5='Conceptos Desglosados'!$H$13,VLOOKUP($A179,conferencias,2,0),"")))))))))),"")*K$3,"")</f>
        <v>2</v>
      </c>
      <c r="L179" t="str">
        <f>IFERROR(IFERROR(IF(L$5='Conceptos Desglosados'!$H$4,VLOOKUP($A179,dormitorios,2,0),IF(L$5='Conceptos Desglosados'!$H$5,VLOOKUP($A179,comedor,2,0),IF(L$5='Conceptos Desglosados'!$H$6,VLOOKUP($A179,alojamiento,2,0),IF(L$5='Conceptos Desglosados'!$H$7,VLOOKUP($A179,sanidad,2,0),IF(L$5='Conceptos Desglosados'!$H$8,VLOOKUP($A179,servicios,2,0),IF(L$5='Conceptos Desglosados'!$H$9,VLOOKUP($A179,comyaloj,2,0),IF(L$5='Conceptos Desglosados'!$H$10,VLOOKUP($A179,comandancia,2,0),IF(L$5='Conceptos Desglosados'!$H$11,VLOOKUP($A179,mantenimiento,2,0),IF(L$5='Conceptos Desglosados'!$H$12,VLOOKUP($A179,serestatal,2,0),IF(L$5='Conceptos Desglosados'!$H$13,VLOOKUP($A179,conferencias,2,0),"")))))))))),"")*L$3,"")</f>
        <v/>
      </c>
      <c r="M179" t="str">
        <f>IFERROR(IFERROR(IF(M$5='Conceptos Desglosados'!$H$4,VLOOKUP($A179,dormitorios,2,0),IF(M$5='Conceptos Desglosados'!$H$5,VLOOKUP($A179,comedor,2,0),IF(M$5='Conceptos Desglosados'!$H$6,VLOOKUP($A179,alojamiento,2,0),IF(M$5='Conceptos Desglosados'!$H$7,VLOOKUP($A179,sanidad,2,0),IF(M$5='Conceptos Desglosados'!$H$8,VLOOKUP($A179,servicios,2,0),IF(M$5='Conceptos Desglosados'!$H$9,VLOOKUP($A179,comyaloj,2,0),IF(M$5='Conceptos Desglosados'!$H$10,VLOOKUP($A179,comandancia,2,0),IF(M$5='Conceptos Desglosados'!$H$11,VLOOKUP($A179,mantenimiento,2,0),IF(M$5='Conceptos Desglosados'!$H$12,VLOOKUP($A179,serestatal,2,0),IF(M$5='Conceptos Desglosados'!$H$13,VLOOKUP($A179,conferencias,2,0),"")))))))))),"")*M$3,"")</f>
        <v/>
      </c>
      <c r="O179">
        <f>SUM(K179:M179)</f>
        <v>2</v>
      </c>
    </row>
    <row r="180" spans="1:15" x14ac:dyDescent="0.35">
      <c r="A180">
        <v>175</v>
      </c>
      <c r="B180" t="s">
        <v>10</v>
      </c>
      <c r="C180" t="s">
        <v>1042</v>
      </c>
      <c r="D180" t="s">
        <v>997</v>
      </c>
      <c r="E180" t="s">
        <v>656</v>
      </c>
      <c r="F180" t="s">
        <v>667</v>
      </c>
      <c r="G180" t="s">
        <v>0</v>
      </c>
      <c r="H180">
        <v>2.0449999999999999</v>
      </c>
      <c r="I180">
        <v>2.7149999999999999</v>
      </c>
      <c r="J180" t="s">
        <v>6</v>
      </c>
      <c r="K180" t="str">
        <f>IFERROR(IFERROR(IF(K$5='Conceptos Desglosados'!$H$4,VLOOKUP($A180,dormitorios,2,0),IF(K$5='Conceptos Desglosados'!$H$5,VLOOKUP($A180,comedor,2,0),IF(K$5='Conceptos Desglosados'!$H$6,VLOOKUP($A180,alojamiento,2,0),IF(K$5='Conceptos Desglosados'!$H$7,VLOOKUP($A180,sanidad,2,0),IF(K$5='Conceptos Desglosados'!$H$8,VLOOKUP($A180,servicios,2,0),IF(K$5='Conceptos Desglosados'!$H$9,VLOOKUP($A180,comyaloj,2,0),IF(K$5='Conceptos Desglosados'!$H$10,VLOOKUP($A180,comandancia,2,0),IF(K$5='Conceptos Desglosados'!$H$11,VLOOKUP($A180,mantenimiento,2,0),IF(K$5='Conceptos Desglosados'!$H$12,VLOOKUP($A180,serestatal,2,0),IF(K$5='Conceptos Desglosados'!$H$13,VLOOKUP($A180,conferencias,2,0),"")))))))))),"")*K$3,"")</f>
        <v/>
      </c>
      <c r="L180" t="str">
        <f>IFERROR(IFERROR(IF(L$5='Conceptos Desglosados'!$H$4,VLOOKUP($A180,dormitorios,2,0),IF(L$5='Conceptos Desglosados'!$H$5,VLOOKUP($A180,comedor,2,0),IF(L$5='Conceptos Desglosados'!$H$6,VLOOKUP($A180,alojamiento,2,0),IF(L$5='Conceptos Desglosados'!$H$7,VLOOKUP($A180,sanidad,2,0),IF(L$5='Conceptos Desglosados'!$H$8,VLOOKUP($A180,servicios,2,0),IF(L$5='Conceptos Desglosados'!$H$9,VLOOKUP($A180,comyaloj,2,0),IF(L$5='Conceptos Desglosados'!$H$10,VLOOKUP($A180,comandancia,2,0),IF(L$5='Conceptos Desglosados'!$H$11,VLOOKUP($A180,mantenimiento,2,0),IF(L$5='Conceptos Desglosados'!$H$12,VLOOKUP($A180,serestatal,2,0),IF(L$5='Conceptos Desglosados'!$H$13,VLOOKUP($A180,conferencias,2,0),"")))))))))),"")*L$3,"")</f>
        <v/>
      </c>
      <c r="M180" t="str">
        <f>IFERROR(IFERROR(IF(M$5='Conceptos Desglosados'!$H$4,VLOOKUP($A180,dormitorios,2,0),IF(M$5='Conceptos Desglosados'!$H$5,VLOOKUP($A180,comedor,2,0),IF(M$5='Conceptos Desglosados'!$H$6,VLOOKUP($A180,alojamiento,2,0),IF(M$5='Conceptos Desglosados'!$H$7,VLOOKUP($A180,sanidad,2,0),IF(M$5='Conceptos Desglosados'!$H$8,VLOOKUP($A180,servicios,2,0),IF(M$5='Conceptos Desglosados'!$H$9,VLOOKUP($A180,comyaloj,2,0),IF(M$5='Conceptos Desglosados'!$H$10,VLOOKUP($A180,comandancia,2,0),IF(M$5='Conceptos Desglosados'!$H$11,VLOOKUP($A180,mantenimiento,2,0),IF(M$5='Conceptos Desglosados'!$H$12,VLOOKUP($A180,serestatal,2,0),IF(M$5='Conceptos Desglosados'!$H$13,VLOOKUP($A180,conferencias,2,0),"")))))))))),"")*M$3,"")</f>
        <v/>
      </c>
      <c r="O180">
        <f>SUM(K180:M180)</f>
        <v>0</v>
      </c>
    </row>
    <row r="181" spans="1:15" x14ac:dyDescent="0.35">
      <c r="A181">
        <v>176</v>
      </c>
      <c r="B181" t="s">
        <v>10</v>
      </c>
      <c r="C181" t="s">
        <v>1043</v>
      </c>
      <c r="D181" t="s">
        <v>998</v>
      </c>
      <c r="E181" t="s">
        <v>656</v>
      </c>
      <c r="F181" t="s">
        <v>511</v>
      </c>
      <c r="G181" t="s">
        <v>0</v>
      </c>
      <c r="H181">
        <v>2.0649999999999999</v>
      </c>
      <c r="I181">
        <v>2.7149999999999999</v>
      </c>
      <c r="J181" t="s">
        <v>6</v>
      </c>
      <c r="K181" t="str">
        <f>IFERROR(IFERROR(IF(K$5='Conceptos Desglosados'!$H$4,VLOOKUP($A181,dormitorios,2,0),IF(K$5='Conceptos Desglosados'!$H$5,VLOOKUP($A181,comedor,2,0),IF(K$5='Conceptos Desglosados'!$H$6,VLOOKUP($A181,alojamiento,2,0),IF(K$5='Conceptos Desglosados'!$H$7,VLOOKUP($A181,sanidad,2,0),IF(K$5='Conceptos Desglosados'!$H$8,VLOOKUP($A181,servicios,2,0),IF(K$5='Conceptos Desglosados'!$H$9,VLOOKUP($A181,comyaloj,2,0),IF(K$5='Conceptos Desglosados'!$H$10,VLOOKUP($A181,comandancia,2,0),IF(K$5='Conceptos Desglosados'!$H$11,VLOOKUP($A181,mantenimiento,2,0),IF(K$5='Conceptos Desglosados'!$H$12,VLOOKUP($A181,serestatal,2,0),IF(K$5='Conceptos Desglosados'!$H$13,VLOOKUP($A181,conferencias,2,0),"")))))))))),"")*K$3,"")</f>
        <v/>
      </c>
      <c r="L181">
        <f>IFERROR(IFERROR(IF(L$5='Conceptos Desglosados'!$H$4,VLOOKUP($A181,dormitorios,2,0),IF(L$5='Conceptos Desglosados'!$H$5,VLOOKUP($A181,comedor,2,0),IF(L$5='Conceptos Desglosados'!$H$6,VLOOKUP($A181,alojamiento,2,0),IF(L$5='Conceptos Desglosados'!$H$7,VLOOKUP($A181,sanidad,2,0),IF(L$5='Conceptos Desglosados'!$H$8,VLOOKUP($A181,servicios,2,0),IF(L$5='Conceptos Desglosados'!$H$9,VLOOKUP($A181,comyaloj,2,0),IF(L$5='Conceptos Desglosados'!$H$10,VLOOKUP($A181,comandancia,2,0),IF(L$5='Conceptos Desglosados'!$H$11,VLOOKUP($A181,mantenimiento,2,0),IF(L$5='Conceptos Desglosados'!$H$12,VLOOKUP($A181,serestatal,2,0),IF(L$5='Conceptos Desglosados'!$H$13,VLOOKUP($A181,conferencias,2,0),"")))))))))),"")*L$3,"")</f>
        <v>1</v>
      </c>
      <c r="M181" t="str">
        <f>IFERROR(IFERROR(IF(M$5='Conceptos Desglosados'!$H$4,VLOOKUP($A181,dormitorios,2,0),IF(M$5='Conceptos Desglosados'!$H$5,VLOOKUP($A181,comedor,2,0),IF(M$5='Conceptos Desglosados'!$H$6,VLOOKUP($A181,alojamiento,2,0),IF(M$5='Conceptos Desglosados'!$H$7,VLOOKUP($A181,sanidad,2,0),IF(M$5='Conceptos Desglosados'!$H$8,VLOOKUP($A181,servicios,2,0),IF(M$5='Conceptos Desglosados'!$H$9,VLOOKUP($A181,comyaloj,2,0),IF(M$5='Conceptos Desglosados'!$H$10,VLOOKUP($A181,comandancia,2,0),IF(M$5='Conceptos Desglosados'!$H$11,VLOOKUP($A181,mantenimiento,2,0),IF(M$5='Conceptos Desglosados'!$H$12,VLOOKUP($A181,serestatal,2,0),IF(M$5='Conceptos Desglosados'!$H$13,VLOOKUP($A181,conferencias,2,0),"")))))))))),"")*M$3,"")</f>
        <v/>
      </c>
      <c r="O181">
        <f>SUM(K181:M181)</f>
        <v>1</v>
      </c>
    </row>
    <row r="182" spans="1:15" x14ac:dyDescent="0.35">
      <c r="A182">
        <v>177</v>
      </c>
      <c r="B182" t="s">
        <v>10</v>
      </c>
      <c r="C182" t="s">
        <v>1044</v>
      </c>
      <c r="D182" t="s">
        <v>999</v>
      </c>
      <c r="E182" t="s">
        <v>1</v>
      </c>
      <c r="F182" t="s">
        <v>883</v>
      </c>
      <c r="G182" t="s">
        <v>0</v>
      </c>
      <c r="H182">
        <v>2.0390000000000001</v>
      </c>
      <c r="I182">
        <v>2.7149999999999999</v>
      </c>
      <c r="J182" t="s">
        <v>6</v>
      </c>
      <c r="K182" t="str">
        <f>IFERROR(IFERROR(IF(K$5='Conceptos Desglosados'!$H$4,VLOOKUP($A182,dormitorios,2,0),IF(K$5='Conceptos Desglosados'!$H$5,VLOOKUP($A182,comedor,2,0),IF(K$5='Conceptos Desglosados'!$H$6,VLOOKUP($A182,alojamiento,2,0),IF(K$5='Conceptos Desglosados'!$H$7,VLOOKUP($A182,sanidad,2,0),IF(K$5='Conceptos Desglosados'!$H$8,VLOOKUP($A182,servicios,2,0),IF(K$5='Conceptos Desglosados'!$H$9,VLOOKUP($A182,comyaloj,2,0),IF(K$5='Conceptos Desglosados'!$H$10,VLOOKUP($A182,comandancia,2,0),IF(K$5='Conceptos Desglosados'!$H$11,VLOOKUP($A182,mantenimiento,2,0),IF(K$5='Conceptos Desglosados'!$H$12,VLOOKUP($A182,serestatal,2,0),IF(K$5='Conceptos Desglosados'!$H$13,VLOOKUP($A182,conferencias,2,0),"")))))))))),"")*K$3,"")</f>
        <v/>
      </c>
      <c r="L182" t="str">
        <f>IFERROR(IFERROR(IF(L$5='Conceptos Desglosados'!$H$4,VLOOKUP($A182,dormitorios,2,0),IF(L$5='Conceptos Desglosados'!$H$5,VLOOKUP($A182,comedor,2,0),IF(L$5='Conceptos Desglosados'!$H$6,VLOOKUP($A182,alojamiento,2,0),IF(L$5='Conceptos Desglosados'!$H$7,VLOOKUP($A182,sanidad,2,0),IF(L$5='Conceptos Desglosados'!$H$8,VLOOKUP($A182,servicios,2,0),IF(L$5='Conceptos Desglosados'!$H$9,VLOOKUP($A182,comyaloj,2,0),IF(L$5='Conceptos Desglosados'!$H$10,VLOOKUP($A182,comandancia,2,0),IF(L$5='Conceptos Desglosados'!$H$11,VLOOKUP($A182,mantenimiento,2,0),IF(L$5='Conceptos Desglosados'!$H$12,VLOOKUP($A182,serestatal,2,0),IF(L$5='Conceptos Desglosados'!$H$13,VLOOKUP($A182,conferencias,2,0),"")))))))))),"")*L$3,"")</f>
        <v/>
      </c>
      <c r="M182" t="str">
        <f>IFERROR(IFERROR(IF(M$5='Conceptos Desglosados'!$H$4,VLOOKUP($A182,dormitorios,2,0),IF(M$5='Conceptos Desglosados'!$H$5,VLOOKUP($A182,comedor,2,0),IF(M$5='Conceptos Desglosados'!$H$6,VLOOKUP($A182,alojamiento,2,0),IF(M$5='Conceptos Desglosados'!$H$7,VLOOKUP($A182,sanidad,2,0),IF(M$5='Conceptos Desglosados'!$H$8,VLOOKUP($A182,servicios,2,0),IF(M$5='Conceptos Desglosados'!$H$9,VLOOKUP($A182,comyaloj,2,0),IF(M$5='Conceptos Desglosados'!$H$10,VLOOKUP($A182,comandancia,2,0),IF(M$5='Conceptos Desglosados'!$H$11,VLOOKUP($A182,mantenimiento,2,0),IF(M$5='Conceptos Desglosados'!$H$12,VLOOKUP($A182,serestatal,2,0),IF(M$5='Conceptos Desglosados'!$H$13,VLOOKUP($A182,conferencias,2,0),"")))))))))),"")*M$3,"")</f>
        <v/>
      </c>
      <c r="O182">
        <f>SUM(K182:M182)</f>
        <v>0</v>
      </c>
    </row>
    <row r="183" spans="1:15" x14ac:dyDescent="0.35">
      <c r="A183">
        <v>178</v>
      </c>
      <c r="B183" t="s">
        <v>10</v>
      </c>
      <c r="C183" t="s">
        <v>1045</v>
      </c>
      <c r="D183" t="s">
        <v>1000</v>
      </c>
      <c r="E183" t="s">
        <v>656</v>
      </c>
      <c r="F183" t="s">
        <v>511</v>
      </c>
      <c r="G183" t="s">
        <v>0</v>
      </c>
      <c r="H183">
        <v>1.968</v>
      </c>
      <c r="I183">
        <v>2.7149999999999999</v>
      </c>
      <c r="J183" t="s">
        <v>6</v>
      </c>
      <c r="K183">
        <f>IFERROR(IFERROR(IF(K$5='Conceptos Desglosados'!$H$4,VLOOKUP($A183,dormitorios,2,0),IF(K$5='Conceptos Desglosados'!$H$5,VLOOKUP($A183,comedor,2,0),IF(K$5='Conceptos Desglosados'!$H$6,VLOOKUP($A183,alojamiento,2,0),IF(K$5='Conceptos Desglosados'!$H$7,VLOOKUP($A183,sanidad,2,0),IF(K$5='Conceptos Desglosados'!$H$8,VLOOKUP($A183,servicios,2,0),IF(K$5='Conceptos Desglosados'!$H$9,VLOOKUP($A183,comyaloj,2,0),IF(K$5='Conceptos Desglosados'!$H$10,VLOOKUP($A183,comandancia,2,0),IF(K$5='Conceptos Desglosados'!$H$11,VLOOKUP($A183,mantenimiento,2,0),IF(K$5='Conceptos Desglosados'!$H$12,VLOOKUP($A183,serestatal,2,0),IF(K$5='Conceptos Desglosados'!$H$13,VLOOKUP($A183,conferencias,2,0),"")))))))))),"")*K$3,"")</f>
        <v>2</v>
      </c>
      <c r="L183" t="str">
        <f>IFERROR(IFERROR(IF(L$5='Conceptos Desglosados'!$H$4,VLOOKUP($A183,dormitorios,2,0),IF(L$5='Conceptos Desglosados'!$H$5,VLOOKUP($A183,comedor,2,0),IF(L$5='Conceptos Desglosados'!$H$6,VLOOKUP($A183,alojamiento,2,0),IF(L$5='Conceptos Desglosados'!$H$7,VLOOKUP($A183,sanidad,2,0),IF(L$5='Conceptos Desglosados'!$H$8,VLOOKUP($A183,servicios,2,0),IF(L$5='Conceptos Desglosados'!$H$9,VLOOKUP($A183,comyaloj,2,0),IF(L$5='Conceptos Desglosados'!$H$10,VLOOKUP($A183,comandancia,2,0),IF(L$5='Conceptos Desglosados'!$H$11,VLOOKUP($A183,mantenimiento,2,0),IF(L$5='Conceptos Desglosados'!$H$12,VLOOKUP($A183,serestatal,2,0),IF(L$5='Conceptos Desglosados'!$H$13,VLOOKUP($A183,conferencias,2,0),"")))))))))),"")*L$3,"")</f>
        <v/>
      </c>
      <c r="M183" t="str">
        <f>IFERROR(IFERROR(IF(M$5='Conceptos Desglosados'!$H$4,VLOOKUP($A183,dormitorios,2,0),IF(M$5='Conceptos Desglosados'!$H$5,VLOOKUP($A183,comedor,2,0),IF(M$5='Conceptos Desglosados'!$H$6,VLOOKUP($A183,alojamiento,2,0),IF(M$5='Conceptos Desglosados'!$H$7,VLOOKUP($A183,sanidad,2,0),IF(M$5='Conceptos Desglosados'!$H$8,VLOOKUP($A183,servicios,2,0),IF(M$5='Conceptos Desglosados'!$H$9,VLOOKUP($A183,comyaloj,2,0),IF(M$5='Conceptos Desglosados'!$H$10,VLOOKUP($A183,comandancia,2,0),IF(M$5='Conceptos Desglosados'!$H$11,VLOOKUP($A183,mantenimiento,2,0),IF(M$5='Conceptos Desglosados'!$H$12,VLOOKUP($A183,serestatal,2,0),IF(M$5='Conceptos Desglosados'!$H$13,VLOOKUP($A183,conferencias,2,0),"")))))))))),"")*M$3,"")</f>
        <v/>
      </c>
      <c r="O183">
        <f>SUM(K183:M183)</f>
        <v>2</v>
      </c>
    </row>
    <row r="184" spans="1:15" x14ac:dyDescent="0.35">
      <c r="A184">
        <v>179</v>
      </c>
      <c r="B184" t="s">
        <v>10</v>
      </c>
      <c r="C184" t="s">
        <v>1046</v>
      </c>
      <c r="D184" t="s">
        <v>1001</v>
      </c>
      <c r="E184" t="s">
        <v>656</v>
      </c>
      <c r="F184" t="s">
        <v>511</v>
      </c>
      <c r="G184" t="s">
        <v>2</v>
      </c>
      <c r="H184">
        <v>1.946</v>
      </c>
      <c r="I184">
        <v>2.7149999999999999</v>
      </c>
      <c r="J184" t="s">
        <v>6</v>
      </c>
      <c r="K184" t="str">
        <f>IFERROR(IFERROR(IF(K$5='Conceptos Desglosados'!$H$4,VLOOKUP($A184,dormitorios,2,0),IF(K$5='Conceptos Desglosados'!$H$5,VLOOKUP($A184,comedor,2,0),IF(K$5='Conceptos Desglosados'!$H$6,VLOOKUP($A184,alojamiento,2,0),IF(K$5='Conceptos Desglosados'!$H$7,VLOOKUP($A184,sanidad,2,0),IF(K$5='Conceptos Desglosados'!$H$8,VLOOKUP($A184,servicios,2,0),IF(K$5='Conceptos Desglosados'!$H$9,VLOOKUP($A184,comyaloj,2,0),IF(K$5='Conceptos Desglosados'!$H$10,VLOOKUP($A184,comandancia,2,0),IF(K$5='Conceptos Desglosados'!$H$11,VLOOKUP($A184,mantenimiento,2,0),IF(K$5='Conceptos Desglosados'!$H$12,VLOOKUP($A184,serestatal,2,0),IF(K$5='Conceptos Desglosados'!$H$13,VLOOKUP($A184,conferencias,2,0),"")))))))))),"")*K$3,"")</f>
        <v/>
      </c>
      <c r="L184" t="str">
        <f>IFERROR(IFERROR(IF(L$5='Conceptos Desglosados'!$H$4,VLOOKUP($A184,dormitorios,2,0),IF(L$5='Conceptos Desglosados'!$H$5,VLOOKUP($A184,comedor,2,0),IF(L$5='Conceptos Desglosados'!$H$6,VLOOKUP($A184,alojamiento,2,0),IF(L$5='Conceptos Desglosados'!$H$7,VLOOKUP($A184,sanidad,2,0),IF(L$5='Conceptos Desglosados'!$H$8,VLOOKUP($A184,servicios,2,0),IF(L$5='Conceptos Desglosados'!$H$9,VLOOKUP($A184,comyaloj,2,0),IF(L$5='Conceptos Desglosados'!$H$10,VLOOKUP($A184,comandancia,2,0),IF(L$5='Conceptos Desglosados'!$H$11,VLOOKUP($A184,mantenimiento,2,0),IF(L$5='Conceptos Desglosados'!$H$12,VLOOKUP($A184,serestatal,2,0),IF(L$5='Conceptos Desglosados'!$H$13,VLOOKUP($A184,conferencias,2,0),"")))))))))),"")*L$3,"")</f>
        <v/>
      </c>
      <c r="M184" t="str">
        <f>IFERROR(IFERROR(IF(M$5='Conceptos Desglosados'!$H$4,VLOOKUP($A184,dormitorios,2,0),IF(M$5='Conceptos Desglosados'!$H$5,VLOOKUP($A184,comedor,2,0),IF(M$5='Conceptos Desglosados'!$H$6,VLOOKUP($A184,alojamiento,2,0),IF(M$5='Conceptos Desglosados'!$H$7,VLOOKUP($A184,sanidad,2,0),IF(M$5='Conceptos Desglosados'!$H$8,VLOOKUP($A184,servicios,2,0),IF(M$5='Conceptos Desglosados'!$H$9,VLOOKUP($A184,comyaloj,2,0),IF(M$5='Conceptos Desglosados'!$H$10,VLOOKUP($A184,comandancia,2,0),IF(M$5='Conceptos Desglosados'!$H$11,VLOOKUP($A184,mantenimiento,2,0),IF(M$5='Conceptos Desglosados'!$H$12,VLOOKUP($A184,serestatal,2,0),IF(M$5='Conceptos Desglosados'!$H$13,VLOOKUP($A184,conferencias,2,0),"")))))))))),"")*M$3,"")</f>
        <v/>
      </c>
      <c r="O184">
        <f>SUM(K184:M184)</f>
        <v>0</v>
      </c>
    </row>
    <row r="185" spans="1:15" x14ac:dyDescent="0.35">
      <c r="A185">
        <v>180</v>
      </c>
      <c r="B185" t="s">
        <v>10</v>
      </c>
      <c r="C185" t="s">
        <v>1047</v>
      </c>
      <c r="D185" t="s">
        <v>1002</v>
      </c>
      <c r="E185" t="s">
        <v>656</v>
      </c>
      <c r="F185" t="s">
        <v>667</v>
      </c>
      <c r="G185" t="s">
        <v>0</v>
      </c>
      <c r="H185">
        <v>2.0390000000000001</v>
      </c>
      <c r="I185">
        <v>2.7149999999999999</v>
      </c>
      <c r="J185" t="s">
        <v>6</v>
      </c>
      <c r="K185" t="str">
        <f>IFERROR(IFERROR(IF(K$5='Conceptos Desglosados'!$H$4,VLOOKUP($A185,dormitorios,2,0),IF(K$5='Conceptos Desglosados'!$H$5,VLOOKUP($A185,comedor,2,0),IF(K$5='Conceptos Desglosados'!$H$6,VLOOKUP($A185,alojamiento,2,0),IF(K$5='Conceptos Desglosados'!$H$7,VLOOKUP($A185,sanidad,2,0),IF(K$5='Conceptos Desglosados'!$H$8,VLOOKUP($A185,servicios,2,0),IF(K$5='Conceptos Desglosados'!$H$9,VLOOKUP($A185,comyaloj,2,0),IF(K$5='Conceptos Desglosados'!$H$10,VLOOKUP($A185,comandancia,2,0),IF(K$5='Conceptos Desglosados'!$H$11,VLOOKUP($A185,mantenimiento,2,0),IF(K$5='Conceptos Desglosados'!$H$12,VLOOKUP($A185,serestatal,2,0),IF(K$5='Conceptos Desglosados'!$H$13,VLOOKUP($A185,conferencias,2,0),"")))))))))),"")*K$3,"")</f>
        <v/>
      </c>
      <c r="L185" t="str">
        <f>IFERROR(IFERROR(IF(L$5='Conceptos Desglosados'!$H$4,VLOOKUP($A185,dormitorios,2,0),IF(L$5='Conceptos Desglosados'!$H$5,VLOOKUP($A185,comedor,2,0),IF(L$5='Conceptos Desglosados'!$H$6,VLOOKUP($A185,alojamiento,2,0),IF(L$5='Conceptos Desglosados'!$H$7,VLOOKUP($A185,sanidad,2,0),IF(L$5='Conceptos Desglosados'!$H$8,VLOOKUP($A185,servicios,2,0),IF(L$5='Conceptos Desglosados'!$H$9,VLOOKUP($A185,comyaloj,2,0),IF(L$5='Conceptos Desglosados'!$H$10,VLOOKUP($A185,comandancia,2,0),IF(L$5='Conceptos Desglosados'!$H$11,VLOOKUP($A185,mantenimiento,2,0),IF(L$5='Conceptos Desglosados'!$H$12,VLOOKUP($A185,serestatal,2,0),IF(L$5='Conceptos Desglosados'!$H$13,VLOOKUP($A185,conferencias,2,0),"")))))))))),"")*L$3,"")</f>
        <v/>
      </c>
      <c r="M185">
        <f>IFERROR(IFERROR(IF(M$5='Conceptos Desglosados'!$H$4,VLOOKUP($A185,dormitorios,2,0),IF(M$5='Conceptos Desglosados'!$H$5,VLOOKUP($A185,comedor,2,0),IF(M$5='Conceptos Desglosados'!$H$6,VLOOKUP($A185,alojamiento,2,0),IF(M$5='Conceptos Desglosados'!$H$7,VLOOKUP($A185,sanidad,2,0),IF(M$5='Conceptos Desglosados'!$H$8,VLOOKUP($A185,servicios,2,0),IF(M$5='Conceptos Desglosados'!$H$9,VLOOKUP($A185,comyaloj,2,0),IF(M$5='Conceptos Desglosados'!$H$10,VLOOKUP($A185,comandancia,2,0),IF(M$5='Conceptos Desglosados'!$H$11,VLOOKUP($A185,mantenimiento,2,0),IF(M$5='Conceptos Desglosados'!$H$12,VLOOKUP($A185,serestatal,2,0),IF(M$5='Conceptos Desglosados'!$H$13,VLOOKUP($A185,conferencias,2,0),"")))))))))),"")*M$3,"")</f>
        <v>4</v>
      </c>
      <c r="O185">
        <f>SUM(K185:M185)</f>
        <v>4</v>
      </c>
    </row>
    <row r="186" spans="1:15" x14ac:dyDescent="0.35">
      <c r="A186">
        <v>181</v>
      </c>
      <c r="B186" t="s">
        <v>10</v>
      </c>
      <c r="C186" t="s">
        <v>1048</v>
      </c>
      <c r="D186" t="s">
        <v>1003</v>
      </c>
      <c r="E186" t="s">
        <v>656</v>
      </c>
      <c r="F186" t="s">
        <v>511</v>
      </c>
      <c r="G186" t="s">
        <v>2</v>
      </c>
      <c r="H186">
        <v>2.0310000000000001</v>
      </c>
      <c r="I186">
        <v>2.7149999999999999</v>
      </c>
      <c r="J186" t="s">
        <v>6</v>
      </c>
      <c r="K186" t="str">
        <f>IFERROR(IFERROR(IF(K$5='Conceptos Desglosados'!$H$4,VLOOKUP($A186,dormitorios,2,0),IF(K$5='Conceptos Desglosados'!$H$5,VLOOKUP($A186,comedor,2,0),IF(K$5='Conceptos Desglosados'!$H$6,VLOOKUP($A186,alojamiento,2,0),IF(K$5='Conceptos Desglosados'!$H$7,VLOOKUP($A186,sanidad,2,0),IF(K$5='Conceptos Desglosados'!$H$8,VLOOKUP($A186,servicios,2,0),IF(K$5='Conceptos Desglosados'!$H$9,VLOOKUP($A186,comyaloj,2,0),IF(K$5='Conceptos Desglosados'!$H$10,VLOOKUP($A186,comandancia,2,0),IF(K$5='Conceptos Desglosados'!$H$11,VLOOKUP($A186,mantenimiento,2,0),IF(K$5='Conceptos Desglosados'!$H$12,VLOOKUP($A186,serestatal,2,0),IF(K$5='Conceptos Desglosados'!$H$13,VLOOKUP($A186,conferencias,2,0),"")))))))))),"")*K$3,"")</f>
        <v/>
      </c>
      <c r="L186" t="str">
        <f>IFERROR(IFERROR(IF(L$5='Conceptos Desglosados'!$H$4,VLOOKUP($A186,dormitorios,2,0),IF(L$5='Conceptos Desglosados'!$H$5,VLOOKUP($A186,comedor,2,0),IF(L$5='Conceptos Desglosados'!$H$6,VLOOKUP($A186,alojamiento,2,0),IF(L$5='Conceptos Desglosados'!$H$7,VLOOKUP($A186,sanidad,2,0),IF(L$5='Conceptos Desglosados'!$H$8,VLOOKUP($A186,servicios,2,0),IF(L$5='Conceptos Desglosados'!$H$9,VLOOKUP($A186,comyaloj,2,0),IF(L$5='Conceptos Desglosados'!$H$10,VLOOKUP($A186,comandancia,2,0),IF(L$5='Conceptos Desglosados'!$H$11,VLOOKUP($A186,mantenimiento,2,0),IF(L$5='Conceptos Desglosados'!$H$12,VLOOKUP($A186,serestatal,2,0),IF(L$5='Conceptos Desglosados'!$H$13,VLOOKUP($A186,conferencias,2,0),"")))))))))),"")*L$3,"")</f>
        <v/>
      </c>
      <c r="M186" t="str">
        <f>IFERROR(IFERROR(IF(M$5='Conceptos Desglosados'!$H$4,VLOOKUP($A186,dormitorios,2,0),IF(M$5='Conceptos Desglosados'!$H$5,VLOOKUP($A186,comedor,2,0),IF(M$5='Conceptos Desglosados'!$H$6,VLOOKUP($A186,alojamiento,2,0),IF(M$5='Conceptos Desglosados'!$H$7,VLOOKUP($A186,sanidad,2,0),IF(M$5='Conceptos Desglosados'!$H$8,VLOOKUP($A186,servicios,2,0),IF(M$5='Conceptos Desglosados'!$H$9,VLOOKUP($A186,comyaloj,2,0),IF(M$5='Conceptos Desglosados'!$H$10,VLOOKUP($A186,comandancia,2,0),IF(M$5='Conceptos Desglosados'!$H$11,VLOOKUP($A186,mantenimiento,2,0),IF(M$5='Conceptos Desglosados'!$H$12,VLOOKUP($A186,serestatal,2,0),IF(M$5='Conceptos Desglosados'!$H$13,VLOOKUP($A186,conferencias,2,0),"")))))))))),"")*M$3,"")</f>
        <v/>
      </c>
      <c r="O186">
        <f>SUM(K186:M186)</f>
        <v>0</v>
      </c>
    </row>
    <row r="187" spans="1:15" x14ac:dyDescent="0.35">
      <c r="A187">
        <v>182</v>
      </c>
      <c r="B187" t="s">
        <v>10</v>
      </c>
      <c r="C187" t="s">
        <v>1049</v>
      </c>
      <c r="D187" t="s">
        <v>1032</v>
      </c>
      <c r="E187" t="s">
        <v>656</v>
      </c>
      <c r="F187" t="s">
        <v>511</v>
      </c>
      <c r="G187" t="s">
        <v>0</v>
      </c>
      <c r="H187">
        <v>1.163</v>
      </c>
      <c r="I187">
        <v>2.7149999999999999</v>
      </c>
      <c r="J187" t="s">
        <v>6</v>
      </c>
      <c r="K187" t="str">
        <f>IFERROR(IFERROR(IF(K$5='Conceptos Desglosados'!$H$4,VLOOKUP($A187,dormitorios,2,0),IF(K$5='Conceptos Desglosados'!$H$5,VLOOKUP($A187,comedor,2,0),IF(K$5='Conceptos Desglosados'!$H$6,VLOOKUP($A187,alojamiento,2,0),IF(K$5='Conceptos Desglosados'!$H$7,VLOOKUP($A187,sanidad,2,0),IF(K$5='Conceptos Desglosados'!$H$8,VLOOKUP($A187,servicios,2,0),IF(K$5='Conceptos Desglosados'!$H$9,VLOOKUP($A187,comyaloj,2,0),IF(K$5='Conceptos Desglosados'!$H$10,VLOOKUP($A187,comandancia,2,0),IF(K$5='Conceptos Desglosados'!$H$11,VLOOKUP($A187,mantenimiento,2,0),IF(K$5='Conceptos Desglosados'!$H$12,VLOOKUP($A187,serestatal,2,0),IF(K$5='Conceptos Desglosados'!$H$13,VLOOKUP($A187,conferencias,2,0),"")))))))))),"")*K$3,"")</f>
        <v/>
      </c>
      <c r="L187" t="str">
        <f>IFERROR(IFERROR(IF(L$5='Conceptos Desglosados'!$H$4,VLOOKUP($A187,dormitorios,2,0),IF(L$5='Conceptos Desglosados'!$H$5,VLOOKUP($A187,comedor,2,0),IF(L$5='Conceptos Desglosados'!$H$6,VLOOKUP($A187,alojamiento,2,0),IF(L$5='Conceptos Desglosados'!$H$7,VLOOKUP($A187,sanidad,2,0),IF(L$5='Conceptos Desglosados'!$H$8,VLOOKUP($A187,servicios,2,0),IF(L$5='Conceptos Desglosados'!$H$9,VLOOKUP($A187,comyaloj,2,0),IF(L$5='Conceptos Desglosados'!$H$10,VLOOKUP($A187,comandancia,2,0),IF(L$5='Conceptos Desglosados'!$H$11,VLOOKUP($A187,mantenimiento,2,0),IF(L$5='Conceptos Desglosados'!$H$12,VLOOKUP($A187,serestatal,2,0),IF(L$5='Conceptos Desglosados'!$H$13,VLOOKUP($A187,conferencias,2,0),"")))))))))),"")*L$3,"")</f>
        <v/>
      </c>
      <c r="M187" t="str">
        <f>IFERROR(IFERROR(IF(M$5='Conceptos Desglosados'!$H$4,VLOOKUP($A187,dormitorios,2,0),IF(M$5='Conceptos Desglosados'!$H$5,VLOOKUP($A187,comedor,2,0),IF(M$5='Conceptos Desglosados'!$H$6,VLOOKUP($A187,alojamiento,2,0),IF(M$5='Conceptos Desglosados'!$H$7,VLOOKUP($A187,sanidad,2,0),IF(M$5='Conceptos Desglosados'!$H$8,VLOOKUP($A187,servicios,2,0),IF(M$5='Conceptos Desglosados'!$H$9,VLOOKUP($A187,comyaloj,2,0),IF(M$5='Conceptos Desglosados'!$H$10,VLOOKUP($A187,comandancia,2,0),IF(M$5='Conceptos Desglosados'!$H$11,VLOOKUP($A187,mantenimiento,2,0),IF(M$5='Conceptos Desglosados'!$H$12,VLOOKUP($A187,serestatal,2,0),IF(M$5='Conceptos Desglosados'!$H$13,VLOOKUP($A187,conferencias,2,0),"")))))))))),"")*M$3,"")</f>
        <v/>
      </c>
      <c r="O187">
        <f>SUM(K187:M187)</f>
        <v>0</v>
      </c>
    </row>
    <row r="188" spans="1:15" x14ac:dyDescent="0.35">
      <c r="A188">
        <v>183</v>
      </c>
      <c r="B188" t="s">
        <v>10</v>
      </c>
      <c r="C188" t="s">
        <v>1050</v>
      </c>
      <c r="D188" t="s">
        <v>1036</v>
      </c>
      <c r="E188" t="s">
        <v>656</v>
      </c>
      <c r="F188" t="s">
        <v>511</v>
      </c>
      <c r="G188" t="s">
        <v>0</v>
      </c>
      <c r="H188">
        <v>1.976</v>
      </c>
      <c r="I188">
        <v>2.7149999999999999</v>
      </c>
      <c r="J188" t="s">
        <v>6</v>
      </c>
      <c r="K188" t="str">
        <f>IFERROR(IFERROR(IF(K$5='Conceptos Desglosados'!$H$4,VLOOKUP($A188,dormitorios,2,0),IF(K$5='Conceptos Desglosados'!$H$5,VLOOKUP($A188,comedor,2,0),IF(K$5='Conceptos Desglosados'!$H$6,VLOOKUP($A188,alojamiento,2,0),IF(K$5='Conceptos Desglosados'!$H$7,VLOOKUP($A188,sanidad,2,0),IF(K$5='Conceptos Desglosados'!$H$8,VLOOKUP($A188,servicios,2,0),IF(K$5='Conceptos Desglosados'!$H$9,VLOOKUP($A188,comyaloj,2,0),IF(K$5='Conceptos Desglosados'!$H$10,VLOOKUP($A188,comandancia,2,0),IF(K$5='Conceptos Desglosados'!$H$11,VLOOKUP($A188,mantenimiento,2,0),IF(K$5='Conceptos Desglosados'!$H$12,VLOOKUP($A188,serestatal,2,0),IF(K$5='Conceptos Desglosados'!$H$13,VLOOKUP($A188,conferencias,2,0),"")))))))))),"")*K$3,"")</f>
        <v/>
      </c>
      <c r="L188">
        <f>IFERROR(IFERROR(IF(L$5='Conceptos Desglosados'!$H$4,VLOOKUP($A188,dormitorios,2,0),IF(L$5='Conceptos Desglosados'!$H$5,VLOOKUP($A188,comedor,2,0),IF(L$5='Conceptos Desglosados'!$H$6,VLOOKUP($A188,alojamiento,2,0),IF(L$5='Conceptos Desglosados'!$H$7,VLOOKUP($A188,sanidad,2,0),IF(L$5='Conceptos Desglosados'!$H$8,VLOOKUP($A188,servicios,2,0),IF(L$5='Conceptos Desglosados'!$H$9,VLOOKUP($A188,comyaloj,2,0),IF(L$5='Conceptos Desglosados'!$H$10,VLOOKUP($A188,comandancia,2,0),IF(L$5='Conceptos Desglosados'!$H$11,VLOOKUP($A188,mantenimiento,2,0),IF(L$5='Conceptos Desglosados'!$H$12,VLOOKUP($A188,serestatal,2,0),IF(L$5='Conceptos Desglosados'!$H$13,VLOOKUP($A188,conferencias,2,0),"")))))))))),"")*L$3,"")</f>
        <v>3</v>
      </c>
      <c r="M188" t="str">
        <f>IFERROR(IFERROR(IF(M$5='Conceptos Desglosados'!$H$4,VLOOKUP($A188,dormitorios,2,0),IF(M$5='Conceptos Desglosados'!$H$5,VLOOKUP($A188,comedor,2,0),IF(M$5='Conceptos Desglosados'!$H$6,VLOOKUP($A188,alojamiento,2,0),IF(M$5='Conceptos Desglosados'!$H$7,VLOOKUP($A188,sanidad,2,0),IF(M$5='Conceptos Desglosados'!$H$8,VLOOKUP($A188,servicios,2,0),IF(M$5='Conceptos Desglosados'!$H$9,VLOOKUP($A188,comyaloj,2,0),IF(M$5='Conceptos Desglosados'!$H$10,VLOOKUP($A188,comandancia,2,0),IF(M$5='Conceptos Desglosados'!$H$11,VLOOKUP($A188,mantenimiento,2,0),IF(M$5='Conceptos Desglosados'!$H$12,VLOOKUP($A188,serestatal,2,0),IF(M$5='Conceptos Desglosados'!$H$13,VLOOKUP($A188,conferencias,2,0),"")))))))))),"")*M$3,"")</f>
        <v/>
      </c>
      <c r="O188">
        <f>SUM(K188:M188)</f>
        <v>3</v>
      </c>
    </row>
    <row r="189" spans="1:15" x14ac:dyDescent="0.35">
      <c r="A189">
        <v>184</v>
      </c>
      <c r="B189" t="s">
        <v>10</v>
      </c>
      <c r="C189" t="s">
        <v>1051</v>
      </c>
      <c r="D189" t="s">
        <v>1041</v>
      </c>
      <c r="E189" t="s">
        <v>656</v>
      </c>
      <c r="F189" t="s">
        <v>667</v>
      </c>
      <c r="G189" t="s">
        <v>0</v>
      </c>
      <c r="H189">
        <v>1.0129999999999999</v>
      </c>
      <c r="I189">
        <v>2.7149999999999999</v>
      </c>
      <c r="J189" t="s">
        <v>6</v>
      </c>
      <c r="K189" t="str">
        <f>IFERROR(IFERROR(IF(K$5='Conceptos Desglosados'!$H$4,VLOOKUP($A189,dormitorios,2,0),IF(K$5='Conceptos Desglosados'!$H$5,VLOOKUP($A189,comedor,2,0),IF(K$5='Conceptos Desglosados'!$H$6,VLOOKUP($A189,alojamiento,2,0),IF(K$5='Conceptos Desglosados'!$H$7,VLOOKUP($A189,sanidad,2,0),IF(K$5='Conceptos Desglosados'!$H$8,VLOOKUP($A189,servicios,2,0),IF(K$5='Conceptos Desglosados'!$H$9,VLOOKUP($A189,comyaloj,2,0),IF(K$5='Conceptos Desglosados'!$H$10,VLOOKUP($A189,comandancia,2,0),IF(K$5='Conceptos Desglosados'!$H$11,VLOOKUP($A189,mantenimiento,2,0),IF(K$5='Conceptos Desglosados'!$H$12,VLOOKUP($A189,serestatal,2,0),IF(K$5='Conceptos Desglosados'!$H$13,VLOOKUP($A189,conferencias,2,0),"")))))))))),"")*K$3,"")</f>
        <v/>
      </c>
      <c r="L189" t="str">
        <f>IFERROR(IFERROR(IF(L$5='Conceptos Desglosados'!$H$4,VLOOKUP($A189,dormitorios,2,0),IF(L$5='Conceptos Desglosados'!$H$5,VLOOKUP($A189,comedor,2,0),IF(L$5='Conceptos Desglosados'!$H$6,VLOOKUP($A189,alojamiento,2,0),IF(L$5='Conceptos Desglosados'!$H$7,VLOOKUP($A189,sanidad,2,0),IF(L$5='Conceptos Desglosados'!$H$8,VLOOKUP($A189,servicios,2,0),IF(L$5='Conceptos Desglosados'!$H$9,VLOOKUP($A189,comyaloj,2,0),IF(L$5='Conceptos Desglosados'!$H$10,VLOOKUP($A189,comandancia,2,0),IF(L$5='Conceptos Desglosados'!$H$11,VLOOKUP($A189,mantenimiento,2,0),IF(L$5='Conceptos Desglosados'!$H$12,VLOOKUP($A189,serestatal,2,0),IF(L$5='Conceptos Desglosados'!$H$13,VLOOKUP($A189,conferencias,2,0),"")))))))))),"")*L$3,"")</f>
        <v/>
      </c>
      <c r="M189" t="str">
        <f>IFERROR(IFERROR(IF(M$5='Conceptos Desglosados'!$H$4,VLOOKUP($A189,dormitorios,2,0),IF(M$5='Conceptos Desglosados'!$H$5,VLOOKUP($A189,comedor,2,0),IF(M$5='Conceptos Desglosados'!$H$6,VLOOKUP($A189,alojamiento,2,0),IF(M$5='Conceptos Desglosados'!$H$7,VLOOKUP($A189,sanidad,2,0),IF(M$5='Conceptos Desglosados'!$H$8,VLOOKUP($A189,servicios,2,0),IF(M$5='Conceptos Desglosados'!$H$9,VLOOKUP($A189,comyaloj,2,0),IF(M$5='Conceptos Desglosados'!$H$10,VLOOKUP($A189,comandancia,2,0),IF(M$5='Conceptos Desglosados'!$H$11,VLOOKUP($A189,mantenimiento,2,0),IF(M$5='Conceptos Desglosados'!$H$12,VLOOKUP($A189,serestatal,2,0),IF(M$5='Conceptos Desglosados'!$H$13,VLOOKUP($A189,conferencias,2,0),"")))))))))),"")*M$3,"")</f>
        <v/>
      </c>
      <c r="O189">
        <f>SUM(K189:M189)</f>
        <v>0</v>
      </c>
    </row>
    <row r="190" spans="1:15" x14ac:dyDescent="0.35">
      <c r="A190">
        <v>185</v>
      </c>
      <c r="B190" t="s">
        <v>10</v>
      </c>
      <c r="C190" t="s">
        <v>1094</v>
      </c>
      <c r="D190" t="s">
        <v>1093</v>
      </c>
      <c r="E190" t="s">
        <v>656</v>
      </c>
      <c r="F190" t="s">
        <v>511</v>
      </c>
      <c r="G190" t="s">
        <v>2</v>
      </c>
      <c r="H190">
        <v>1.038</v>
      </c>
      <c r="I190">
        <v>2.7149999999999999</v>
      </c>
      <c r="J190" t="s">
        <v>6</v>
      </c>
      <c r="K190" t="str">
        <f>IFERROR(IFERROR(IF(K$5='Conceptos Desglosados'!$H$4,VLOOKUP($A190,dormitorios,2,0),IF(K$5='Conceptos Desglosados'!$H$5,VLOOKUP($A190,comedor,2,0),IF(K$5='Conceptos Desglosados'!$H$6,VLOOKUP($A190,alojamiento,2,0),IF(K$5='Conceptos Desglosados'!$H$7,VLOOKUP($A190,sanidad,2,0),IF(K$5='Conceptos Desglosados'!$H$8,VLOOKUP($A190,servicios,2,0),IF(K$5='Conceptos Desglosados'!$H$9,VLOOKUP($A190,comyaloj,2,0),IF(K$5='Conceptos Desglosados'!$H$10,VLOOKUP($A190,comandancia,2,0),IF(K$5='Conceptos Desglosados'!$H$11,VLOOKUP($A190,mantenimiento,2,0),IF(K$5='Conceptos Desglosados'!$H$12,VLOOKUP($A190,serestatal,2,0),IF(K$5='Conceptos Desglosados'!$H$13,VLOOKUP($A190,conferencias,2,0),"")))))))))),"")*K$3,"")</f>
        <v/>
      </c>
      <c r="L190" t="str">
        <f>IFERROR(IFERROR(IF(L$5='Conceptos Desglosados'!$H$4,VLOOKUP($A190,dormitorios,2,0),IF(L$5='Conceptos Desglosados'!$H$5,VLOOKUP($A190,comedor,2,0),IF(L$5='Conceptos Desglosados'!$H$6,VLOOKUP($A190,alojamiento,2,0),IF(L$5='Conceptos Desglosados'!$H$7,VLOOKUP($A190,sanidad,2,0),IF(L$5='Conceptos Desglosados'!$H$8,VLOOKUP($A190,servicios,2,0),IF(L$5='Conceptos Desglosados'!$H$9,VLOOKUP($A190,comyaloj,2,0),IF(L$5='Conceptos Desglosados'!$H$10,VLOOKUP($A190,comandancia,2,0),IF(L$5='Conceptos Desglosados'!$H$11,VLOOKUP($A190,mantenimiento,2,0),IF(L$5='Conceptos Desglosados'!$H$12,VLOOKUP($A190,serestatal,2,0),IF(L$5='Conceptos Desglosados'!$H$13,VLOOKUP($A190,conferencias,2,0),"")))))))))),"")*L$3,"")</f>
        <v/>
      </c>
      <c r="M190" t="str">
        <f>IFERROR(IFERROR(IF(M$5='Conceptos Desglosados'!$H$4,VLOOKUP($A190,dormitorios,2,0),IF(M$5='Conceptos Desglosados'!$H$5,VLOOKUP($A190,comedor,2,0),IF(M$5='Conceptos Desglosados'!$H$6,VLOOKUP($A190,alojamiento,2,0),IF(M$5='Conceptos Desglosados'!$H$7,VLOOKUP($A190,sanidad,2,0),IF(M$5='Conceptos Desglosados'!$H$8,VLOOKUP($A190,servicios,2,0),IF(M$5='Conceptos Desglosados'!$H$9,VLOOKUP($A190,comyaloj,2,0),IF(M$5='Conceptos Desglosados'!$H$10,VLOOKUP($A190,comandancia,2,0),IF(M$5='Conceptos Desglosados'!$H$11,VLOOKUP($A190,mantenimiento,2,0),IF(M$5='Conceptos Desglosados'!$H$12,VLOOKUP($A190,serestatal,2,0),IF(M$5='Conceptos Desglosados'!$H$13,VLOOKUP($A190,conferencias,2,0),"")))))))))),"")*M$3,"")</f>
        <v/>
      </c>
      <c r="O190">
        <f>SUM(K190:M190)</f>
        <v>0</v>
      </c>
    </row>
    <row r="191" spans="1:15" x14ac:dyDescent="0.35">
      <c r="A191">
        <v>186</v>
      </c>
      <c r="B191" t="s">
        <v>10</v>
      </c>
      <c r="C191" t="s">
        <v>1106</v>
      </c>
      <c r="D191" t="s">
        <v>1107</v>
      </c>
      <c r="E191" t="s">
        <v>656</v>
      </c>
      <c r="F191" t="s">
        <v>667</v>
      </c>
      <c r="G191" t="s">
        <v>0</v>
      </c>
      <c r="H191">
        <v>1.367</v>
      </c>
      <c r="I191">
        <v>2.7149999999999999</v>
      </c>
      <c r="J191" t="s">
        <v>6</v>
      </c>
      <c r="K191" t="str">
        <f>IFERROR(IFERROR(IF(K$5='Conceptos Desglosados'!$H$4,VLOOKUP($A191,dormitorios,2,0),IF(K$5='Conceptos Desglosados'!$H$5,VLOOKUP($A191,comedor,2,0),IF(K$5='Conceptos Desglosados'!$H$6,VLOOKUP($A191,alojamiento,2,0),IF(K$5='Conceptos Desglosados'!$H$7,VLOOKUP($A191,sanidad,2,0),IF(K$5='Conceptos Desglosados'!$H$8,VLOOKUP($A191,servicios,2,0),IF(K$5='Conceptos Desglosados'!$H$9,VLOOKUP($A191,comyaloj,2,0),IF(K$5='Conceptos Desglosados'!$H$10,VLOOKUP($A191,comandancia,2,0),IF(K$5='Conceptos Desglosados'!$H$11,VLOOKUP($A191,mantenimiento,2,0),IF(K$5='Conceptos Desglosados'!$H$12,VLOOKUP($A191,serestatal,2,0),IF(K$5='Conceptos Desglosados'!$H$13,VLOOKUP($A191,conferencias,2,0),"")))))))))),"")*K$3,"")</f>
        <v/>
      </c>
      <c r="L191" t="str">
        <f>IFERROR(IFERROR(IF(L$5='Conceptos Desglosados'!$H$4,VLOOKUP($A191,dormitorios,2,0),IF(L$5='Conceptos Desglosados'!$H$5,VLOOKUP($A191,comedor,2,0),IF(L$5='Conceptos Desglosados'!$H$6,VLOOKUP($A191,alojamiento,2,0),IF(L$5='Conceptos Desglosados'!$H$7,VLOOKUP($A191,sanidad,2,0),IF(L$5='Conceptos Desglosados'!$H$8,VLOOKUP($A191,servicios,2,0),IF(L$5='Conceptos Desglosados'!$H$9,VLOOKUP($A191,comyaloj,2,0),IF(L$5='Conceptos Desglosados'!$H$10,VLOOKUP($A191,comandancia,2,0),IF(L$5='Conceptos Desglosados'!$H$11,VLOOKUP($A191,mantenimiento,2,0),IF(L$5='Conceptos Desglosados'!$H$12,VLOOKUP($A191,serestatal,2,0),IF(L$5='Conceptos Desglosados'!$H$13,VLOOKUP($A191,conferencias,2,0),"")))))))))),"")*L$3,"")</f>
        <v/>
      </c>
      <c r="M191" t="str">
        <f>IFERROR(IFERROR(IF(M$5='Conceptos Desglosados'!$H$4,VLOOKUP($A191,dormitorios,2,0),IF(M$5='Conceptos Desglosados'!$H$5,VLOOKUP($A191,comedor,2,0),IF(M$5='Conceptos Desglosados'!$H$6,VLOOKUP($A191,alojamiento,2,0),IF(M$5='Conceptos Desglosados'!$H$7,VLOOKUP($A191,sanidad,2,0),IF(M$5='Conceptos Desglosados'!$H$8,VLOOKUP($A191,servicios,2,0),IF(M$5='Conceptos Desglosados'!$H$9,VLOOKUP($A191,comyaloj,2,0),IF(M$5='Conceptos Desglosados'!$H$10,VLOOKUP($A191,comandancia,2,0),IF(M$5='Conceptos Desglosados'!$H$11,VLOOKUP($A191,mantenimiento,2,0),IF(M$5='Conceptos Desglosados'!$H$12,VLOOKUP($A191,serestatal,2,0),IF(M$5='Conceptos Desglosados'!$H$13,VLOOKUP($A191,conferencias,2,0),"")))))))))),"")*M$3,"")</f>
        <v/>
      </c>
      <c r="O191">
        <f>SUM(K191:M191)</f>
        <v>0</v>
      </c>
    </row>
    <row r="192" spans="1:15" x14ac:dyDescent="0.35">
      <c r="A192">
        <v>187</v>
      </c>
      <c r="B192" t="s">
        <v>10</v>
      </c>
      <c r="C192" t="s">
        <v>1111</v>
      </c>
      <c r="D192" t="s">
        <v>1114</v>
      </c>
      <c r="E192" t="s">
        <v>1</v>
      </c>
      <c r="F192" t="s">
        <v>883</v>
      </c>
      <c r="G192" t="s">
        <v>0</v>
      </c>
      <c r="H192">
        <v>0.997</v>
      </c>
      <c r="I192">
        <v>2.7149999999999999</v>
      </c>
      <c r="J192" t="s">
        <v>6</v>
      </c>
      <c r="K192" t="str">
        <f>IFERROR(IFERROR(IF(K$5='Conceptos Desglosados'!$H$4,VLOOKUP($A192,dormitorios,2,0),IF(K$5='Conceptos Desglosados'!$H$5,VLOOKUP($A192,comedor,2,0),IF(K$5='Conceptos Desglosados'!$H$6,VLOOKUP($A192,alojamiento,2,0),IF(K$5='Conceptos Desglosados'!$H$7,VLOOKUP($A192,sanidad,2,0),IF(K$5='Conceptos Desglosados'!$H$8,VLOOKUP($A192,servicios,2,0),IF(K$5='Conceptos Desglosados'!$H$9,VLOOKUP($A192,comyaloj,2,0),IF(K$5='Conceptos Desglosados'!$H$10,VLOOKUP($A192,comandancia,2,0),IF(K$5='Conceptos Desglosados'!$H$11,VLOOKUP($A192,mantenimiento,2,0),IF(K$5='Conceptos Desglosados'!$H$12,VLOOKUP($A192,serestatal,2,0),IF(K$5='Conceptos Desglosados'!$H$13,VLOOKUP($A192,conferencias,2,0),"")))))))))),"")*K$3,"")</f>
        <v/>
      </c>
      <c r="L192" t="str">
        <f>IFERROR(IFERROR(IF(L$5='Conceptos Desglosados'!$H$4,VLOOKUP($A192,dormitorios,2,0),IF(L$5='Conceptos Desglosados'!$H$5,VLOOKUP($A192,comedor,2,0),IF(L$5='Conceptos Desglosados'!$H$6,VLOOKUP($A192,alojamiento,2,0),IF(L$5='Conceptos Desglosados'!$H$7,VLOOKUP($A192,sanidad,2,0),IF(L$5='Conceptos Desglosados'!$H$8,VLOOKUP($A192,servicios,2,0),IF(L$5='Conceptos Desglosados'!$H$9,VLOOKUP($A192,comyaloj,2,0),IF(L$5='Conceptos Desglosados'!$H$10,VLOOKUP($A192,comandancia,2,0),IF(L$5='Conceptos Desglosados'!$H$11,VLOOKUP($A192,mantenimiento,2,0),IF(L$5='Conceptos Desglosados'!$H$12,VLOOKUP($A192,serestatal,2,0),IF(L$5='Conceptos Desglosados'!$H$13,VLOOKUP($A192,conferencias,2,0),"")))))))))),"")*L$3,"")</f>
        <v/>
      </c>
      <c r="M192" t="str">
        <f>IFERROR(IFERROR(IF(M$5='Conceptos Desglosados'!$H$4,VLOOKUP($A192,dormitorios,2,0),IF(M$5='Conceptos Desglosados'!$H$5,VLOOKUP($A192,comedor,2,0),IF(M$5='Conceptos Desglosados'!$H$6,VLOOKUP($A192,alojamiento,2,0),IF(M$5='Conceptos Desglosados'!$H$7,VLOOKUP($A192,sanidad,2,0),IF(M$5='Conceptos Desglosados'!$H$8,VLOOKUP($A192,servicios,2,0),IF(M$5='Conceptos Desglosados'!$H$9,VLOOKUP($A192,comyaloj,2,0),IF(M$5='Conceptos Desglosados'!$H$10,VLOOKUP($A192,comandancia,2,0),IF(M$5='Conceptos Desglosados'!$H$11,VLOOKUP($A192,mantenimiento,2,0),IF(M$5='Conceptos Desglosados'!$H$12,VLOOKUP($A192,serestatal,2,0),IF(M$5='Conceptos Desglosados'!$H$13,VLOOKUP($A192,conferencias,2,0),"")))))))))),"")*M$3,"")</f>
        <v/>
      </c>
      <c r="O192">
        <f>SUM(K192:M192)</f>
        <v>0</v>
      </c>
    </row>
    <row r="193" spans="1:15" x14ac:dyDescent="0.35">
      <c r="A193">
        <v>188</v>
      </c>
      <c r="B193" t="s">
        <v>10</v>
      </c>
      <c r="C193" t="s">
        <v>1112</v>
      </c>
      <c r="D193" t="s">
        <v>1115</v>
      </c>
      <c r="E193" t="s">
        <v>656</v>
      </c>
      <c r="F193" t="s">
        <v>667</v>
      </c>
      <c r="G193" t="s">
        <v>2</v>
      </c>
      <c r="H193">
        <v>1.895</v>
      </c>
      <c r="I193">
        <v>2.7149999999999999</v>
      </c>
      <c r="J193" t="s">
        <v>6</v>
      </c>
      <c r="K193" t="str">
        <f>IFERROR(IFERROR(IF(K$5='Conceptos Desglosados'!$H$4,VLOOKUP($A193,dormitorios,2,0),IF(K$5='Conceptos Desglosados'!$H$5,VLOOKUP($A193,comedor,2,0),IF(K$5='Conceptos Desglosados'!$H$6,VLOOKUP($A193,alojamiento,2,0),IF(K$5='Conceptos Desglosados'!$H$7,VLOOKUP($A193,sanidad,2,0),IF(K$5='Conceptos Desglosados'!$H$8,VLOOKUP($A193,servicios,2,0),IF(K$5='Conceptos Desglosados'!$H$9,VLOOKUP($A193,comyaloj,2,0),IF(K$5='Conceptos Desglosados'!$H$10,VLOOKUP($A193,comandancia,2,0),IF(K$5='Conceptos Desglosados'!$H$11,VLOOKUP($A193,mantenimiento,2,0),IF(K$5='Conceptos Desglosados'!$H$12,VLOOKUP($A193,serestatal,2,0),IF(K$5='Conceptos Desglosados'!$H$13,VLOOKUP($A193,conferencias,2,0),"")))))))))),"")*K$3,"")</f>
        <v/>
      </c>
      <c r="L193" t="str">
        <f>IFERROR(IFERROR(IF(L$5='Conceptos Desglosados'!$H$4,VLOOKUP($A193,dormitorios,2,0),IF(L$5='Conceptos Desglosados'!$H$5,VLOOKUP($A193,comedor,2,0),IF(L$5='Conceptos Desglosados'!$H$6,VLOOKUP($A193,alojamiento,2,0),IF(L$5='Conceptos Desglosados'!$H$7,VLOOKUP($A193,sanidad,2,0),IF(L$5='Conceptos Desglosados'!$H$8,VLOOKUP($A193,servicios,2,0),IF(L$5='Conceptos Desglosados'!$H$9,VLOOKUP($A193,comyaloj,2,0),IF(L$5='Conceptos Desglosados'!$H$10,VLOOKUP($A193,comandancia,2,0),IF(L$5='Conceptos Desglosados'!$H$11,VLOOKUP($A193,mantenimiento,2,0),IF(L$5='Conceptos Desglosados'!$H$12,VLOOKUP($A193,serestatal,2,0),IF(L$5='Conceptos Desglosados'!$H$13,VLOOKUP($A193,conferencias,2,0),"")))))))))),"")*L$3,"")</f>
        <v/>
      </c>
      <c r="M193" t="str">
        <f>IFERROR(IFERROR(IF(M$5='Conceptos Desglosados'!$H$4,VLOOKUP($A193,dormitorios,2,0),IF(M$5='Conceptos Desglosados'!$H$5,VLOOKUP($A193,comedor,2,0),IF(M$5='Conceptos Desglosados'!$H$6,VLOOKUP($A193,alojamiento,2,0),IF(M$5='Conceptos Desglosados'!$H$7,VLOOKUP($A193,sanidad,2,0),IF(M$5='Conceptos Desglosados'!$H$8,VLOOKUP($A193,servicios,2,0),IF(M$5='Conceptos Desglosados'!$H$9,VLOOKUP($A193,comyaloj,2,0),IF(M$5='Conceptos Desglosados'!$H$10,VLOOKUP($A193,comandancia,2,0),IF(M$5='Conceptos Desglosados'!$H$11,VLOOKUP($A193,mantenimiento,2,0),IF(M$5='Conceptos Desglosados'!$H$12,VLOOKUP($A193,serestatal,2,0),IF(M$5='Conceptos Desglosados'!$H$13,VLOOKUP($A193,conferencias,2,0),"")))))))))),"")*M$3,"")</f>
        <v/>
      </c>
      <c r="O193">
        <f>SUM(K193:M193)</f>
        <v>0</v>
      </c>
    </row>
    <row r="194" spans="1:15" x14ac:dyDescent="0.35">
      <c r="A194">
        <v>189</v>
      </c>
      <c r="B194" t="s">
        <v>10</v>
      </c>
      <c r="C194" t="s">
        <v>1113</v>
      </c>
      <c r="D194" t="s">
        <v>1116</v>
      </c>
      <c r="E194" t="s">
        <v>1</v>
      </c>
      <c r="F194" t="s">
        <v>1127</v>
      </c>
      <c r="G194" t="s">
        <v>2</v>
      </c>
      <c r="H194">
        <v>1.95</v>
      </c>
      <c r="I194">
        <v>2.7149999999999999</v>
      </c>
      <c r="J194" t="s">
        <v>6</v>
      </c>
      <c r="K194" t="str">
        <f>IFERROR(IFERROR(IF(K$5='Conceptos Desglosados'!$H$4,VLOOKUP($A194,dormitorios,2,0),IF(K$5='Conceptos Desglosados'!$H$5,VLOOKUP($A194,comedor,2,0),IF(K$5='Conceptos Desglosados'!$H$6,VLOOKUP($A194,alojamiento,2,0),IF(K$5='Conceptos Desglosados'!$H$7,VLOOKUP($A194,sanidad,2,0),IF(K$5='Conceptos Desglosados'!$H$8,VLOOKUP($A194,servicios,2,0),IF(K$5='Conceptos Desglosados'!$H$9,VLOOKUP($A194,comyaloj,2,0),IF(K$5='Conceptos Desglosados'!$H$10,VLOOKUP($A194,comandancia,2,0),IF(K$5='Conceptos Desglosados'!$H$11,VLOOKUP($A194,mantenimiento,2,0),IF(K$5='Conceptos Desglosados'!$H$12,VLOOKUP($A194,serestatal,2,0),IF(K$5='Conceptos Desglosados'!$H$13,VLOOKUP($A194,conferencias,2,0),"")))))))))),"")*K$3,"")</f>
        <v/>
      </c>
      <c r="L194" t="str">
        <f>IFERROR(IFERROR(IF(L$5='Conceptos Desglosados'!$H$4,VLOOKUP($A194,dormitorios,2,0),IF(L$5='Conceptos Desglosados'!$H$5,VLOOKUP($A194,comedor,2,0),IF(L$5='Conceptos Desglosados'!$H$6,VLOOKUP($A194,alojamiento,2,0),IF(L$5='Conceptos Desglosados'!$H$7,VLOOKUP($A194,sanidad,2,0),IF(L$5='Conceptos Desglosados'!$H$8,VLOOKUP($A194,servicios,2,0),IF(L$5='Conceptos Desglosados'!$H$9,VLOOKUP($A194,comyaloj,2,0),IF(L$5='Conceptos Desglosados'!$H$10,VLOOKUP($A194,comandancia,2,0),IF(L$5='Conceptos Desglosados'!$H$11,VLOOKUP($A194,mantenimiento,2,0),IF(L$5='Conceptos Desglosados'!$H$12,VLOOKUP($A194,serestatal,2,0),IF(L$5='Conceptos Desglosados'!$H$13,VLOOKUP($A194,conferencias,2,0),"")))))))))),"")*L$3,"")</f>
        <v/>
      </c>
      <c r="M194" t="str">
        <f>IFERROR(IFERROR(IF(M$5='Conceptos Desglosados'!$H$4,VLOOKUP($A194,dormitorios,2,0),IF(M$5='Conceptos Desglosados'!$H$5,VLOOKUP($A194,comedor,2,0),IF(M$5='Conceptos Desglosados'!$H$6,VLOOKUP($A194,alojamiento,2,0),IF(M$5='Conceptos Desglosados'!$H$7,VLOOKUP($A194,sanidad,2,0),IF(M$5='Conceptos Desglosados'!$H$8,VLOOKUP($A194,servicios,2,0),IF(M$5='Conceptos Desglosados'!$H$9,VLOOKUP($A194,comyaloj,2,0),IF(M$5='Conceptos Desglosados'!$H$10,VLOOKUP($A194,comandancia,2,0),IF(M$5='Conceptos Desglosados'!$H$11,VLOOKUP($A194,mantenimiento,2,0),IF(M$5='Conceptos Desglosados'!$H$12,VLOOKUP($A194,serestatal,2,0),IF(M$5='Conceptos Desglosados'!$H$13,VLOOKUP($A194,conferencias,2,0),"")))))))))),"")*M$3,"")</f>
        <v/>
      </c>
      <c r="O194">
        <f>SUM(K194:M194)</f>
        <v>0</v>
      </c>
    </row>
    <row r="195" spans="1:15" x14ac:dyDescent="0.35">
      <c r="A195">
        <v>190</v>
      </c>
      <c r="B195" t="s">
        <v>10</v>
      </c>
      <c r="C195" t="s">
        <v>1117</v>
      </c>
      <c r="D195" t="s">
        <v>1118</v>
      </c>
      <c r="E195" t="s">
        <v>1</v>
      </c>
      <c r="F195" t="s">
        <v>1127</v>
      </c>
      <c r="G195" t="s">
        <v>2</v>
      </c>
      <c r="H195">
        <v>1.99</v>
      </c>
      <c r="I195">
        <v>2.7149999999999999</v>
      </c>
      <c r="J195" t="s">
        <v>6</v>
      </c>
      <c r="K195" t="str">
        <f>IFERROR(IFERROR(IF(K$5='Conceptos Desglosados'!$H$4,VLOOKUP($A195,dormitorios,2,0),IF(K$5='Conceptos Desglosados'!$H$5,VLOOKUP($A195,comedor,2,0),IF(K$5='Conceptos Desglosados'!$H$6,VLOOKUP($A195,alojamiento,2,0),IF(K$5='Conceptos Desglosados'!$H$7,VLOOKUP($A195,sanidad,2,0),IF(K$5='Conceptos Desglosados'!$H$8,VLOOKUP($A195,servicios,2,0),IF(K$5='Conceptos Desglosados'!$H$9,VLOOKUP($A195,comyaloj,2,0),IF(K$5='Conceptos Desglosados'!$H$10,VLOOKUP($A195,comandancia,2,0),IF(K$5='Conceptos Desglosados'!$H$11,VLOOKUP($A195,mantenimiento,2,0),IF(K$5='Conceptos Desglosados'!$H$12,VLOOKUP($A195,serestatal,2,0),IF(K$5='Conceptos Desglosados'!$H$13,VLOOKUP($A195,conferencias,2,0),"")))))))))),"")*K$3,"")</f>
        <v/>
      </c>
      <c r="L195" t="str">
        <f>IFERROR(IFERROR(IF(L$5='Conceptos Desglosados'!$H$4,VLOOKUP($A195,dormitorios,2,0),IF(L$5='Conceptos Desglosados'!$H$5,VLOOKUP($A195,comedor,2,0),IF(L$5='Conceptos Desglosados'!$H$6,VLOOKUP($A195,alojamiento,2,0),IF(L$5='Conceptos Desglosados'!$H$7,VLOOKUP($A195,sanidad,2,0),IF(L$5='Conceptos Desglosados'!$H$8,VLOOKUP($A195,servicios,2,0),IF(L$5='Conceptos Desglosados'!$H$9,VLOOKUP($A195,comyaloj,2,0),IF(L$5='Conceptos Desglosados'!$H$10,VLOOKUP($A195,comandancia,2,0),IF(L$5='Conceptos Desglosados'!$H$11,VLOOKUP($A195,mantenimiento,2,0),IF(L$5='Conceptos Desglosados'!$H$12,VLOOKUP($A195,serestatal,2,0),IF(L$5='Conceptos Desglosados'!$H$13,VLOOKUP($A195,conferencias,2,0),"")))))))))),"")*L$3,"")</f>
        <v/>
      </c>
      <c r="M195" t="str">
        <f>IFERROR(IFERROR(IF(M$5='Conceptos Desglosados'!$H$4,VLOOKUP($A195,dormitorios,2,0),IF(M$5='Conceptos Desglosados'!$H$5,VLOOKUP($A195,comedor,2,0),IF(M$5='Conceptos Desglosados'!$H$6,VLOOKUP($A195,alojamiento,2,0),IF(M$5='Conceptos Desglosados'!$H$7,VLOOKUP($A195,sanidad,2,0),IF(M$5='Conceptos Desglosados'!$H$8,VLOOKUP($A195,servicios,2,0),IF(M$5='Conceptos Desglosados'!$H$9,VLOOKUP($A195,comyaloj,2,0),IF(M$5='Conceptos Desglosados'!$H$10,VLOOKUP($A195,comandancia,2,0),IF(M$5='Conceptos Desglosados'!$H$11,VLOOKUP($A195,mantenimiento,2,0),IF(M$5='Conceptos Desglosados'!$H$12,VLOOKUP($A195,serestatal,2,0),IF(M$5='Conceptos Desglosados'!$H$13,VLOOKUP($A195,conferencias,2,0),"")))))))))),"")*M$3,"")</f>
        <v/>
      </c>
      <c r="O195">
        <f>SUM(K195:M195)</f>
        <v>0</v>
      </c>
    </row>
    <row r="196" spans="1:15" x14ac:dyDescent="0.35">
      <c r="A196">
        <v>191</v>
      </c>
      <c r="B196" t="s">
        <v>10</v>
      </c>
      <c r="C196" t="s">
        <v>1119</v>
      </c>
      <c r="D196" t="s">
        <v>1120</v>
      </c>
      <c r="E196" t="s">
        <v>1</v>
      </c>
      <c r="F196" t="s">
        <v>1127</v>
      </c>
      <c r="G196" t="s">
        <v>0</v>
      </c>
      <c r="H196">
        <v>1.0760000000000001</v>
      </c>
      <c r="I196">
        <v>2.7149999999999999</v>
      </c>
      <c r="J196" t="s">
        <v>6</v>
      </c>
      <c r="K196" t="str">
        <f>IFERROR(IFERROR(IF(K$5='Conceptos Desglosados'!$H$4,VLOOKUP($A196,dormitorios,2,0),IF(K$5='Conceptos Desglosados'!$H$5,VLOOKUP($A196,comedor,2,0),IF(K$5='Conceptos Desglosados'!$H$6,VLOOKUP($A196,alojamiento,2,0),IF(K$5='Conceptos Desglosados'!$H$7,VLOOKUP($A196,sanidad,2,0),IF(K$5='Conceptos Desglosados'!$H$8,VLOOKUP($A196,servicios,2,0),IF(K$5='Conceptos Desglosados'!$H$9,VLOOKUP($A196,comyaloj,2,0),IF(K$5='Conceptos Desglosados'!$H$10,VLOOKUP($A196,comandancia,2,0),IF(K$5='Conceptos Desglosados'!$H$11,VLOOKUP($A196,mantenimiento,2,0),IF(K$5='Conceptos Desglosados'!$H$12,VLOOKUP($A196,serestatal,2,0),IF(K$5='Conceptos Desglosados'!$H$13,VLOOKUP($A196,conferencias,2,0),"")))))))))),"")*K$3,"")</f>
        <v/>
      </c>
      <c r="L196" t="str">
        <f>IFERROR(IFERROR(IF(L$5='Conceptos Desglosados'!$H$4,VLOOKUP($A196,dormitorios,2,0),IF(L$5='Conceptos Desglosados'!$H$5,VLOOKUP($A196,comedor,2,0),IF(L$5='Conceptos Desglosados'!$H$6,VLOOKUP($A196,alojamiento,2,0),IF(L$5='Conceptos Desglosados'!$H$7,VLOOKUP($A196,sanidad,2,0),IF(L$5='Conceptos Desglosados'!$H$8,VLOOKUP($A196,servicios,2,0),IF(L$5='Conceptos Desglosados'!$H$9,VLOOKUP($A196,comyaloj,2,0),IF(L$5='Conceptos Desglosados'!$H$10,VLOOKUP($A196,comandancia,2,0),IF(L$5='Conceptos Desglosados'!$H$11,VLOOKUP($A196,mantenimiento,2,0),IF(L$5='Conceptos Desglosados'!$H$12,VLOOKUP($A196,serestatal,2,0),IF(L$5='Conceptos Desglosados'!$H$13,VLOOKUP($A196,conferencias,2,0),"")))))))))),"")*L$3,"")</f>
        <v/>
      </c>
      <c r="M196" t="str">
        <f>IFERROR(IFERROR(IF(M$5='Conceptos Desglosados'!$H$4,VLOOKUP($A196,dormitorios,2,0),IF(M$5='Conceptos Desglosados'!$H$5,VLOOKUP($A196,comedor,2,0),IF(M$5='Conceptos Desglosados'!$H$6,VLOOKUP($A196,alojamiento,2,0),IF(M$5='Conceptos Desglosados'!$H$7,VLOOKUP($A196,sanidad,2,0),IF(M$5='Conceptos Desglosados'!$H$8,VLOOKUP($A196,servicios,2,0),IF(M$5='Conceptos Desglosados'!$H$9,VLOOKUP($A196,comyaloj,2,0),IF(M$5='Conceptos Desglosados'!$H$10,VLOOKUP($A196,comandancia,2,0),IF(M$5='Conceptos Desglosados'!$H$11,VLOOKUP($A196,mantenimiento,2,0),IF(M$5='Conceptos Desglosados'!$H$12,VLOOKUP($A196,serestatal,2,0),IF(M$5='Conceptos Desglosados'!$H$13,VLOOKUP($A196,conferencias,2,0),"")))))))))),"")*M$3,"")</f>
        <v/>
      </c>
      <c r="O196">
        <f>SUM(K196:M196)</f>
        <v>0</v>
      </c>
    </row>
    <row r="197" spans="1:15" x14ac:dyDescent="0.35">
      <c r="A197">
        <v>192</v>
      </c>
      <c r="B197" t="s">
        <v>10</v>
      </c>
      <c r="C197" t="s">
        <v>1121</v>
      </c>
      <c r="D197" t="s">
        <v>1122</v>
      </c>
      <c r="E197" t="s">
        <v>1</v>
      </c>
      <c r="F197" t="s">
        <v>1127</v>
      </c>
      <c r="G197" t="s">
        <v>0</v>
      </c>
      <c r="H197">
        <v>1.9159999999999999</v>
      </c>
      <c r="I197">
        <v>2.7149999999999999</v>
      </c>
      <c r="J197" t="s">
        <v>6</v>
      </c>
      <c r="K197" t="str">
        <f>IFERROR(IFERROR(IF(K$5='Conceptos Desglosados'!$H$4,VLOOKUP($A197,dormitorios,2,0),IF(K$5='Conceptos Desglosados'!$H$5,VLOOKUP($A197,comedor,2,0),IF(K$5='Conceptos Desglosados'!$H$6,VLOOKUP($A197,alojamiento,2,0),IF(K$5='Conceptos Desglosados'!$H$7,VLOOKUP($A197,sanidad,2,0),IF(K$5='Conceptos Desglosados'!$H$8,VLOOKUP($A197,servicios,2,0),IF(K$5='Conceptos Desglosados'!$H$9,VLOOKUP($A197,comyaloj,2,0),IF(K$5='Conceptos Desglosados'!$H$10,VLOOKUP($A197,comandancia,2,0),IF(K$5='Conceptos Desglosados'!$H$11,VLOOKUP($A197,mantenimiento,2,0),IF(K$5='Conceptos Desglosados'!$H$12,VLOOKUP($A197,serestatal,2,0),IF(K$5='Conceptos Desglosados'!$H$13,VLOOKUP($A197,conferencias,2,0),"")))))))))),"")*K$3,"")</f>
        <v/>
      </c>
      <c r="L197" t="str">
        <f>IFERROR(IFERROR(IF(L$5='Conceptos Desglosados'!$H$4,VLOOKUP($A197,dormitorios,2,0),IF(L$5='Conceptos Desglosados'!$H$5,VLOOKUP($A197,comedor,2,0),IF(L$5='Conceptos Desglosados'!$H$6,VLOOKUP($A197,alojamiento,2,0),IF(L$5='Conceptos Desglosados'!$H$7,VLOOKUP($A197,sanidad,2,0),IF(L$5='Conceptos Desglosados'!$H$8,VLOOKUP($A197,servicios,2,0),IF(L$5='Conceptos Desglosados'!$H$9,VLOOKUP($A197,comyaloj,2,0),IF(L$5='Conceptos Desglosados'!$H$10,VLOOKUP($A197,comandancia,2,0),IF(L$5='Conceptos Desglosados'!$H$11,VLOOKUP($A197,mantenimiento,2,0),IF(L$5='Conceptos Desglosados'!$H$12,VLOOKUP($A197,serestatal,2,0),IF(L$5='Conceptos Desglosados'!$H$13,VLOOKUP($A197,conferencias,2,0),"")))))))))),"")*L$3,"")</f>
        <v/>
      </c>
      <c r="M197" t="str">
        <f>IFERROR(IFERROR(IF(M$5='Conceptos Desglosados'!$H$4,VLOOKUP($A197,dormitorios,2,0),IF(M$5='Conceptos Desglosados'!$H$5,VLOOKUP($A197,comedor,2,0),IF(M$5='Conceptos Desglosados'!$H$6,VLOOKUP($A197,alojamiento,2,0),IF(M$5='Conceptos Desglosados'!$H$7,VLOOKUP($A197,sanidad,2,0),IF(M$5='Conceptos Desglosados'!$H$8,VLOOKUP($A197,servicios,2,0),IF(M$5='Conceptos Desglosados'!$H$9,VLOOKUP($A197,comyaloj,2,0),IF(M$5='Conceptos Desglosados'!$H$10,VLOOKUP($A197,comandancia,2,0),IF(M$5='Conceptos Desglosados'!$H$11,VLOOKUP($A197,mantenimiento,2,0),IF(M$5='Conceptos Desglosados'!$H$12,VLOOKUP($A197,serestatal,2,0),IF(M$5='Conceptos Desglosados'!$H$13,VLOOKUP($A197,conferencias,2,0),"")))))))))),"")*M$3,"")</f>
        <v/>
      </c>
      <c r="O197">
        <f>SUM(K197:M197)</f>
        <v>0</v>
      </c>
    </row>
    <row r="198" spans="1:15" x14ac:dyDescent="0.35">
      <c r="A198">
        <v>193</v>
      </c>
      <c r="B198" t="s">
        <v>10</v>
      </c>
      <c r="C198" t="s">
        <v>1123</v>
      </c>
      <c r="D198" t="s">
        <v>1124</v>
      </c>
      <c r="E198" t="s">
        <v>1</v>
      </c>
      <c r="F198" t="s">
        <v>1127</v>
      </c>
      <c r="G198" t="s">
        <v>0</v>
      </c>
      <c r="H198">
        <v>1.0069999999999999</v>
      </c>
      <c r="I198">
        <v>2.7149999999999999</v>
      </c>
      <c r="J198" t="s">
        <v>6</v>
      </c>
      <c r="K198" t="str">
        <f>IFERROR(IFERROR(IF(K$5='Conceptos Desglosados'!$H$4,VLOOKUP($A198,dormitorios,2,0),IF(K$5='Conceptos Desglosados'!$H$5,VLOOKUP($A198,comedor,2,0),IF(K$5='Conceptos Desglosados'!$H$6,VLOOKUP($A198,alojamiento,2,0),IF(K$5='Conceptos Desglosados'!$H$7,VLOOKUP($A198,sanidad,2,0),IF(K$5='Conceptos Desglosados'!$H$8,VLOOKUP($A198,servicios,2,0),IF(K$5='Conceptos Desglosados'!$H$9,VLOOKUP($A198,comyaloj,2,0),IF(K$5='Conceptos Desglosados'!$H$10,VLOOKUP($A198,comandancia,2,0),IF(K$5='Conceptos Desglosados'!$H$11,VLOOKUP($A198,mantenimiento,2,0),IF(K$5='Conceptos Desglosados'!$H$12,VLOOKUP($A198,serestatal,2,0),IF(K$5='Conceptos Desglosados'!$H$13,VLOOKUP($A198,conferencias,2,0),"")))))))))),"")*K$3,"")</f>
        <v/>
      </c>
      <c r="L198" t="str">
        <f>IFERROR(IFERROR(IF(L$5='Conceptos Desglosados'!$H$4,VLOOKUP($A198,dormitorios,2,0),IF(L$5='Conceptos Desglosados'!$H$5,VLOOKUP($A198,comedor,2,0),IF(L$5='Conceptos Desglosados'!$H$6,VLOOKUP($A198,alojamiento,2,0),IF(L$5='Conceptos Desglosados'!$H$7,VLOOKUP($A198,sanidad,2,0),IF(L$5='Conceptos Desglosados'!$H$8,VLOOKUP($A198,servicios,2,0),IF(L$5='Conceptos Desglosados'!$H$9,VLOOKUP($A198,comyaloj,2,0),IF(L$5='Conceptos Desglosados'!$H$10,VLOOKUP($A198,comandancia,2,0),IF(L$5='Conceptos Desglosados'!$H$11,VLOOKUP($A198,mantenimiento,2,0),IF(L$5='Conceptos Desglosados'!$H$12,VLOOKUP($A198,serestatal,2,0),IF(L$5='Conceptos Desglosados'!$H$13,VLOOKUP($A198,conferencias,2,0),"")))))))))),"")*L$3,"")</f>
        <v/>
      </c>
      <c r="M198" t="str">
        <f>IFERROR(IFERROR(IF(M$5='Conceptos Desglosados'!$H$4,VLOOKUP($A198,dormitorios,2,0),IF(M$5='Conceptos Desglosados'!$H$5,VLOOKUP($A198,comedor,2,0),IF(M$5='Conceptos Desglosados'!$H$6,VLOOKUP($A198,alojamiento,2,0),IF(M$5='Conceptos Desglosados'!$H$7,VLOOKUP($A198,sanidad,2,0),IF(M$5='Conceptos Desglosados'!$H$8,VLOOKUP($A198,servicios,2,0),IF(M$5='Conceptos Desglosados'!$H$9,VLOOKUP($A198,comyaloj,2,0),IF(M$5='Conceptos Desglosados'!$H$10,VLOOKUP($A198,comandancia,2,0),IF(M$5='Conceptos Desglosados'!$H$11,VLOOKUP($A198,mantenimiento,2,0),IF(M$5='Conceptos Desglosados'!$H$12,VLOOKUP($A198,serestatal,2,0),IF(M$5='Conceptos Desglosados'!$H$13,VLOOKUP($A198,conferencias,2,0),"")))))))))),"")*M$3,"")</f>
        <v/>
      </c>
      <c r="O198">
        <f>SUM(K198:M198)</f>
        <v>0</v>
      </c>
    </row>
    <row r="199" spans="1:15" x14ac:dyDescent="0.35">
      <c r="A199">
        <v>194</v>
      </c>
      <c r="B199" t="s">
        <v>10</v>
      </c>
      <c r="C199" t="s">
        <v>1125</v>
      </c>
      <c r="D199" t="s">
        <v>1126</v>
      </c>
      <c r="E199" t="s">
        <v>1</v>
      </c>
      <c r="F199" t="s">
        <v>1127</v>
      </c>
      <c r="G199" t="s">
        <v>2</v>
      </c>
      <c r="H199">
        <v>1.99</v>
      </c>
      <c r="I199">
        <v>2.7149999999999999</v>
      </c>
      <c r="J199" t="s">
        <v>6</v>
      </c>
      <c r="K199" t="str">
        <f>IFERROR(IFERROR(IF(K$5='Conceptos Desglosados'!$H$4,VLOOKUP($A199,dormitorios,2,0),IF(K$5='Conceptos Desglosados'!$H$5,VLOOKUP($A199,comedor,2,0),IF(K$5='Conceptos Desglosados'!$H$6,VLOOKUP($A199,alojamiento,2,0),IF(K$5='Conceptos Desglosados'!$H$7,VLOOKUP($A199,sanidad,2,0),IF(K$5='Conceptos Desglosados'!$H$8,VLOOKUP($A199,servicios,2,0),IF(K$5='Conceptos Desglosados'!$H$9,VLOOKUP($A199,comyaloj,2,0),IF(K$5='Conceptos Desglosados'!$H$10,VLOOKUP($A199,comandancia,2,0),IF(K$5='Conceptos Desglosados'!$H$11,VLOOKUP($A199,mantenimiento,2,0),IF(K$5='Conceptos Desglosados'!$H$12,VLOOKUP($A199,serestatal,2,0),IF(K$5='Conceptos Desglosados'!$H$13,VLOOKUP($A199,conferencias,2,0),"")))))))))),"")*K$3,"")</f>
        <v/>
      </c>
      <c r="L199" t="str">
        <f>IFERROR(IFERROR(IF(L$5='Conceptos Desglosados'!$H$4,VLOOKUP($A199,dormitorios,2,0),IF(L$5='Conceptos Desglosados'!$H$5,VLOOKUP($A199,comedor,2,0),IF(L$5='Conceptos Desglosados'!$H$6,VLOOKUP($A199,alojamiento,2,0),IF(L$5='Conceptos Desglosados'!$H$7,VLOOKUP($A199,sanidad,2,0),IF(L$5='Conceptos Desglosados'!$H$8,VLOOKUP($A199,servicios,2,0),IF(L$5='Conceptos Desglosados'!$H$9,VLOOKUP($A199,comyaloj,2,0),IF(L$5='Conceptos Desglosados'!$H$10,VLOOKUP($A199,comandancia,2,0),IF(L$5='Conceptos Desglosados'!$H$11,VLOOKUP($A199,mantenimiento,2,0),IF(L$5='Conceptos Desglosados'!$H$12,VLOOKUP($A199,serestatal,2,0),IF(L$5='Conceptos Desglosados'!$H$13,VLOOKUP($A199,conferencias,2,0),"")))))))))),"")*L$3,"")</f>
        <v/>
      </c>
      <c r="M199" t="str">
        <f>IFERROR(IFERROR(IF(M$5='Conceptos Desglosados'!$H$4,VLOOKUP($A199,dormitorios,2,0),IF(M$5='Conceptos Desglosados'!$H$5,VLOOKUP($A199,comedor,2,0),IF(M$5='Conceptos Desglosados'!$H$6,VLOOKUP($A199,alojamiento,2,0),IF(M$5='Conceptos Desglosados'!$H$7,VLOOKUP($A199,sanidad,2,0),IF(M$5='Conceptos Desglosados'!$H$8,VLOOKUP($A199,servicios,2,0),IF(M$5='Conceptos Desglosados'!$H$9,VLOOKUP($A199,comyaloj,2,0),IF(M$5='Conceptos Desglosados'!$H$10,VLOOKUP($A199,comandancia,2,0),IF(M$5='Conceptos Desglosados'!$H$11,VLOOKUP($A199,mantenimiento,2,0),IF(M$5='Conceptos Desglosados'!$H$12,VLOOKUP($A199,serestatal,2,0),IF(M$5='Conceptos Desglosados'!$H$13,VLOOKUP($A199,conferencias,2,0),"")))))))))),"")*M$3,"")</f>
        <v/>
      </c>
      <c r="O199">
        <f>SUM(K199:M199)</f>
        <v>0</v>
      </c>
    </row>
    <row r="200" spans="1:15" x14ac:dyDescent="0.35">
      <c r="A200">
        <v>195</v>
      </c>
      <c r="B200" t="s">
        <v>10</v>
      </c>
      <c r="C200" t="s">
        <v>1141</v>
      </c>
      <c r="D200" t="s">
        <v>1142</v>
      </c>
      <c r="E200" t="s">
        <v>656</v>
      </c>
      <c r="F200" t="s">
        <v>667</v>
      </c>
      <c r="G200" t="s">
        <v>2</v>
      </c>
      <c r="H200">
        <v>1.56</v>
      </c>
      <c r="I200">
        <v>2.7149999999999999</v>
      </c>
      <c r="J200" t="s">
        <v>6</v>
      </c>
      <c r="K200" t="str">
        <f>IFERROR(IFERROR(IF(K$5='Conceptos Desglosados'!$H$4,VLOOKUP($A200,dormitorios,2,0),IF(K$5='Conceptos Desglosados'!$H$5,VLOOKUP($A200,comedor,2,0),IF(K$5='Conceptos Desglosados'!$H$6,VLOOKUP($A200,alojamiento,2,0),IF(K$5='Conceptos Desglosados'!$H$7,VLOOKUP($A200,sanidad,2,0),IF(K$5='Conceptos Desglosados'!$H$8,VLOOKUP($A200,servicios,2,0),IF(K$5='Conceptos Desglosados'!$H$9,VLOOKUP($A200,comyaloj,2,0),IF(K$5='Conceptos Desglosados'!$H$10,VLOOKUP($A200,comandancia,2,0),IF(K$5='Conceptos Desglosados'!$H$11,VLOOKUP($A200,mantenimiento,2,0),IF(K$5='Conceptos Desglosados'!$H$12,VLOOKUP($A200,serestatal,2,0),IF(K$5='Conceptos Desglosados'!$H$13,VLOOKUP($A200,conferencias,2,0),"")))))))))),"")*K$3,"")</f>
        <v/>
      </c>
      <c r="L200" t="str">
        <f>IFERROR(IFERROR(IF(L$5='Conceptos Desglosados'!$H$4,VLOOKUP($A200,dormitorios,2,0),IF(L$5='Conceptos Desglosados'!$H$5,VLOOKUP($A200,comedor,2,0),IF(L$5='Conceptos Desglosados'!$H$6,VLOOKUP($A200,alojamiento,2,0),IF(L$5='Conceptos Desglosados'!$H$7,VLOOKUP($A200,sanidad,2,0),IF(L$5='Conceptos Desglosados'!$H$8,VLOOKUP($A200,servicios,2,0),IF(L$5='Conceptos Desglosados'!$H$9,VLOOKUP($A200,comyaloj,2,0),IF(L$5='Conceptos Desglosados'!$H$10,VLOOKUP($A200,comandancia,2,0),IF(L$5='Conceptos Desglosados'!$H$11,VLOOKUP($A200,mantenimiento,2,0),IF(L$5='Conceptos Desglosados'!$H$12,VLOOKUP($A200,serestatal,2,0),IF(L$5='Conceptos Desglosados'!$H$13,VLOOKUP($A200,conferencias,2,0),"")))))))))),"")*L$3,"")</f>
        <v/>
      </c>
      <c r="M200" t="str">
        <f>IFERROR(IFERROR(IF(M$5='Conceptos Desglosados'!$H$4,VLOOKUP($A200,dormitorios,2,0),IF(M$5='Conceptos Desglosados'!$H$5,VLOOKUP($A200,comedor,2,0),IF(M$5='Conceptos Desglosados'!$H$6,VLOOKUP($A200,alojamiento,2,0),IF(M$5='Conceptos Desglosados'!$H$7,VLOOKUP($A200,sanidad,2,0),IF(M$5='Conceptos Desglosados'!$H$8,VLOOKUP($A200,servicios,2,0),IF(M$5='Conceptos Desglosados'!$H$9,VLOOKUP($A200,comyaloj,2,0),IF(M$5='Conceptos Desglosados'!$H$10,VLOOKUP($A200,comandancia,2,0),IF(M$5='Conceptos Desglosados'!$H$11,VLOOKUP($A200,mantenimiento,2,0),IF(M$5='Conceptos Desglosados'!$H$12,VLOOKUP($A200,serestatal,2,0),IF(M$5='Conceptos Desglosados'!$H$13,VLOOKUP($A200,conferencias,2,0),"")))))))))),"")*M$3,"")</f>
        <v/>
      </c>
      <c r="O200">
        <f>SUM(K200:M200)</f>
        <v>0</v>
      </c>
    </row>
    <row r="201" spans="1:15" x14ac:dyDescent="0.35">
      <c r="A201">
        <v>196</v>
      </c>
      <c r="B201" t="s">
        <v>10</v>
      </c>
      <c r="C201" t="s">
        <v>1148</v>
      </c>
      <c r="D201" t="s">
        <v>1149</v>
      </c>
      <c r="E201" t="s">
        <v>1169</v>
      </c>
      <c r="F201" t="s">
        <v>1127</v>
      </c>
      <c r="G201" t="s">
        <v>0</v>
      </c>
      <c r="H201">
        <v>1.99</v>
      </c>
      <c r="I201">
        <v>3</v>
      </c>
      <c r="J201" t="s">
        <v>6</v>
      </c>
      <c r="K201" t="str">
        <f>IFERROR(IFERROR(IF(K$5='Conceptos Desglosados'!$H$4,VLOOKUP($A201,dormitorios,2,0),IF(K$5='Conceptos Desglosados'!$H$5,VLOOKUP($A201,comedor,2,0),IF(K$5='Conceptos Desglosados'!$H$6,VLOOKUP($A201,alojamiento,2,0),IF(K$5='Conceptos Desglosados'!$H$7,VLOOKUP($A201,sanidad,2,0),IF(K$5='Conceptos Desglosados'!$H$8,VLOOKUP($A201,servicios,2,0),IF(K$5='Conceptos Desglosados'!$H$9,VLOOKUP($A201,comyaloj,2,0),IF(K$5='Conceptos Desglosados'!$H$10,VLOOKUP($A201,comandancia,2,0),IF(K$5='Conceptos Desglosados'!$H$11,VLOOKUP($A201,mantenimiento,2,0),IF(K$5='Conceptos Desglosados'!$H$12,VLOOKUP($A201,serestatal,2,0),IF(K$5='Conceptos Desglosados'!$H$13,VLOOKUP($A201,conferencias,2,0),"")))))))))),"")*K$3,"")</f>
        <v/>
      </c>
      <c r="L201" t="str">
        <f>IFERROR(IFERROR(IF(L$5='Conceptos Desglosados'!$H$4,VLOOKUP($A201,dormitorios,2,0),IF(L$5='Conceptos Desglosados'!$H$5,VLOOKUP($A201,comedor,2,0),IF(L$5='Conceptos Desglosados'!$H$6,VLOOKUP($A201,alojamiento,2,0),IF(L$5='Conceptos Desglosados'!$H$7,VLOOKUP($A201,sanidad,2,0),IF(L$5='Conceptos Desglosados'!$H$8,VLOOKUP($A201,servicios,2,0),IF(L$5='Conceptos Desglosados'!$H$9,VLOOKUP($A201,comyaloj,2,0),IF(L$5='Conceptos Desglosados'!$H$10,VLOOKUP($A201,comandancia,2,0),IF(L$5='Conceptos Desglosados'!$H$11,VLOOKUP($A201,mantenimiento,2,0),IF(L$5='Conceptos Desglosados'!$H$12,VLOOKUP($A201,serestatal,2,0),IF(L$5='Conceptos Desglosados'!$H$13,VLOOKUP($A201,conferencias,2,0),"")))))))))),"")*L$3,"")</f>
        <v/>
      </c>
      <c r="M201" t="str">
        <f>IFERROR(IFERROR(IF(M$5='Conceptos Desglosados'!$H$4,VLOOKUP($A201,dormitorios,2,0),IF(M$5='Conceptos Desglosados'!$H$5,VLOOKUP($A201,comedor,2,0),IF(M$5='Conceptos Desglosados'!$H$6,VLOOKUP($A201,alojamiento,2,0),IF(M$5='Conceptos Desglosados'!$H$7,VLOOKUP($A201,sanidad,2,0),IF(M$5='Conceptos Desglosados'!$H$8,VLOOKUP($A201,servicios,2,0),IF(M$5='Conceptos Desglosados'!$H$9,VLOOKUP($A201,comyaloj,2,0),IF(M$5='Conceptos Desglosados'!$H$10,VLOOKUP($A201,comandancia,2,0),IF(M$5='Conceptos Desglosados'!$H$11,VLOOKUP($A201,mantenimiento,2,0),IF(M$5='Conceptos Desglosados'!$H$12,VLOOKUP($A201,serestatal,2,0),IF(M$5='Conceptos Desglosados'!$H$13,VLOOKUP($A201,conferencias,2,0),"")))))))))),"")*M$3,"")</f>
        <v/>
      </c>
      <c r="O201">
        <f>SUM(K201:M201)</f>
        <v>0</v>
      </c>
    </row>
    <row r="202" spans="1:15" x14ac:dyDescent="0.35">
      <c r="A202">
        <v>197</v>
      </c>
      <c r="B202" t="s">
        <v>10</v>
      </c>
      <c r="C202" t="s">
        <v>1160</v>
      </c>
      <c r="D202" t="s">
        <v>1161</v>
      </c>
      <c r="E202" t="s">
        <v>1</v>
      </c>
      <c r="F202" t="s">
        <v>1127</v>
      </c>
      <c r="G202" t="s">
        <v>0</v>
      </c>
      <c r="H202">
        <v>1.9159999999999999</v>
      </c>
      <c r="I202">
        <v>3</v>
      </c>
      <c r="J202" t="s">
        <v>6</v>
      </c>
      <c r="K202" t="str">
        <f>IFERROR(IFERROR(IF(K$5='Conceptos Desglosados'!$H$4,VLOOKUP($A202,dormitorios,2,0),IF(K$5='Conceptos Desglosados'!$H$5,VLOOKUP($A202,comedor,2,0),IF(K$5='Conceptos Desglosados'!$H$6,VLOOKUP($A202,alojamiento,2,0),IF(K$5='Conceptos Desglosados'!$H$7,VLOOKUP($A202,sanidad,2,0),IF(K$5='Conceptos Desglosados'!$H$8,VLOOKUP($A202,servicios,2,0),IF(K$5='Conceptos Desglosados'!$H$9,VLOOKUP($A202,comyaloj,2,0),IF(K$5='Conceptos Desglosados'!$H$10,VLOOKUP($A202,comandancia,2,0),IF(K$5='Conceptos Desglosados'!$H$11,VLOOKUP($A202,mantenimiento,2,0),IF(K$5='Conceptos Desglosados'!$H$12,VLOOKUP($A202,serestatal,2,0),IF(K$5='Conceptos Desglosados'!$H$13,VLOOKUP($A202,conferencias,2,0),"")))))))))),"")*K$3,"")</f>
        <v/>
      </c>
      <c r="L202" t="str">
        <f>IFERROR(IFERROR(IF(L$5='Conceptos Desglosados'!$H$4,VLOOKUP($A202,dormitorios,2,0),IF(L$5='Conceptos Desglosados'!$H$5,VLOOKUP($A202,comedor,2,0),IF(L$5='Conceptos Desglosados'!$H$6,VLOOKUP($A202,alojamiento,2,0),IF(L$5='Conceptos Desglosados'!$H$7,VLOOKUP($A202,sanidad,2,0),IF(L$5='Conceptos Desglosados'!$H$8,VLOOKUP($A202,servicios,2,0),IF(L$5='Conceptos Desglosados'!$H$9,VLOOKUP($A202,comyaloj,2,0),IF(L$5='Conceptos Desglosados'!$H$10,VLOOKUP($A202,comandancia,2,0),IF(L$5='Conceptos Desglosados'!$H$11,VLOOKUP($A202,mantenimiento,2,0),IF(L$5='Conceptos Desglosados'!$H$12,VLOOKUP($A202,serestatal,2,0),IF(L$5='Conceptos Desglosados'!$H$13,VLOOKUP($A202,conferencias,2,0),"")))))))))),"")*L$3,"")</f>
        <v/>
      </c>
      <c r="M202" t="str">
        <f>IFERROR(IFERROR(IF(M$5='Conceptos Desglosados'!$H$4,VLOOKUP($A202,dormitorios,2,0),IF(M$5='Conceptos Desglosados'!$H$5,VLOOKUP($A202,comedor,2,0),IF(M$5='Conceptos Desglosados'!$H$6,VLOOKUP($A202,alojamiento,2,0),IF(M$5='Conceptos Desglosados'!$H$7,VLOOKUP($A202,sanidad,2,0),IF(M$5='Conceptos Desglosados'!$H$8,VLOOKUP($A202,servicios,2,0),IF(M$5='Conceptos Desglosados'!$H$9,VLOOKUP($A202,comyaloj,2,0),IF(M$5='Conceptos Desglosados'!$H$10,VLOOKUP($A202,comandancia,2,0),IF(M$5='Conceptos Desglosados'!$H$11,VLOOKUP($A202,mantenimiento,2,0),IF(M$5='Conceptos Desglosados'!$H$12,VLOOKUP($A202,serestatal,2,0),IF(M$5='Conceptos Desglosados'!$H$13,VLOOKUP($A202,conferencias,2,0),"")))))))))),"")*M$3,"")</f>
        <v/>
      </c>
      <c r="O202">
        <f>SUM(K202:M202)</f>
        <v>0</v>
      </c>
    </row>
    <row r="203" spans="1:15" x14ac:dyDescent="0.35">
      <c r="A203">
        <v>198</v>
      </c>
      <c r="B203" t="s">
        <v>10</v>
      </c>
      <c r="C203" t="s">
        <v>1167</v>
      </c>
      <c r="D203" t="s">
        <v>1168</v>
      </c>
      <c r="E203" t="s">
        <v>1</v>
      </c>
      <c r="F203" t="s">
        <v>1127</v>
      </c>
      <c r="G203" t="s">
        <v>0</v>
      </c>
      <c r="H203">
        <v>2.0299999999999998</v>
      </c>
      <c r="I203">
        <v>3</v>
      </c>
      <c r="J203" t="s">
        <v>6</v>
      </c>
      <c r="K203" t="str">
        <f>IFERROR(IFERROR(IF(K$5='Conceptos Desglosados'!$H$4,VLOOKUP($A203,dormitorios,2,0),IF(K$5='Conceptos Desglosados'!$H$5,VLOOKUP($A203,comedor,2,0),IF(K$5='Conceptos Desglosados'!$H$6,VLOOKUP($A203,alojamiento,2,0),IF(K$5='Conceptos Desglosados'!$H$7,VLOOKUP($A203,sanidad,2,0),IF(K$5='Conceptos Desglosados'!$H$8,VLOOKUP($A203,servicios,2,0),IF(K$5='Conceptos Desglosados'!$H$9,VLOOKUP($A203,comyaloj,2,0),IF(K$5='Conceptos Desglosados'!$H$10,VLOOKUP($A203,comandancia,2,0),IF(K$5='Conceptos Desglosados'!$H$11,VLOOKUP($A203,mantenimiento,2,0),IF(K$5='Conceptos Desglosados'!$H$12,VLOOKUP($A203,serestatal,2,0),IF(K$5='Conceptos Desglosados'!$H$13,VLOOKUP($A203,conferencias,2,0),"")))))))))),"")*K$3,"")</f>
        <v/>
      </c>
      <c r="L203" t="str">
        <f>IFERROR(IFERROR(IF(L$5='Conceptos Desglosados'!$H$4,VLOOKUP($A203,dormitorios,2,0),IF(L$5='Conceptos Desglosados'!$H$5,VLOOKUP($A203,comedor,2,0),IF(L$5='Conceptos Desglosados'!$H$6,VLOOKUP($A203,alojamiento,2,0),IF(L$5='Conceptos Desglosados'!$H$7,VLOOKUP($A203,sanidad,2,0),IF(L$5='Conceptos Desglosados'!$H$8,VLOOKUP($A203,servicios,2,0),IF(L$5='Conceptos Desglosados'!$H$9,VLOOKUP($A203,comyaloj,2,0),IF(L$5='Conceptos Desglosados'!$H$10,VLOOKUP($A203,comandancia,2,0),IF(L$5='Conceptos Desglosados'!$H$11,VLOOKUP($A203,mantenimiento,2,0),IF(L$5='Conceptos Desglosados'!$H$12,VLOOKUP($A203,serestatal,2,0),IF(L$5='Conceptos Desglosados'!$H$13,VLOOKUP($A203,conferencias,2,0),"")))))))))),"")*L$3,"")</f>
        <v/>
      </c>
      <c r="M203" t="str">
        <f>IFERROR(IFERROR(IF(M$5='Conceptos Desglosados'!$H$4,VLOOKUP($A203,dormitorios,2,0),IF(M$5='Conceptos Desglosados'!$H$5,VLOOKUP($A203,comedor,2,0),IF(M$5='Conceptos Desglosados'!$H$6,VLOOKUP($A203,alojamiento,2,0),IF(M$5='Conceptos Desglosados'!$H$7,VLOOKUP($A203,sanidad,2,0),IF(M$5='Conceptos Desglosados'!$H$8,VLOOKUP($A203,servicios,2,0),IF(M$5='Conceptos Desglosados'!$H$9,VLOOKUP($A203,comyaloj,2,0),IF(M$5='Conceptos Desglosados'!$H$10,VLOOKUP($A203,comandancia,2,0),IF(M$5='Conceptos Desglosados'!$H$11,VLOOKUP($A203,mantenimiento,2,0),IF(M$5='Conceptos Desglosados'!$H$12,VLOOKUP($A203,serestatal,2,0),IF(M$5='Conceptos Desglosados'!$H$13,VLOOKUP($A203,conferencias,2,0),"")))))))))),"")*M$3,"")</f>
        <v/>
      </c>
      <c r="O203">
        <f>SUM(K203:M203)</f>
        <v>0</v>
      </c>
    </row>
    <row r="204" spans="1:15" x14ac:dyDescent="0.35">
      <c r="A204">
        <v>199</v>
      </c>
      <c r="B204" t="s">
        <v>10</v>
      </c>
      <c r="C204" t="s">
        <v>1170</v>
      </c>
      <c r="D204" t="s">
        <v>1171</v>
      </c>
      <c r="E204" t="s">
        <v>1</v>
      </c>
      <c r="F204" t="s">
        <v>1127</v>
      </c>
      <c r="G204" t="s">
        <v>2</v>
      </c>
      <c r="H204">
        <v>1.05</v>
      </c>
      <c r="I204">
        <v>3</v>
      </c>
      <c r="J204" t="s">
        <v>6</v>
      </c>
      <c r="K204" t="str">
        <f>IFERROR(IFERROR(IF(K$5='Conceptos Desglosados'!$H$4,VLOOKUP($A204,dormitorios,2,0),IF(K$5='Conceptos Desglosados'!$H$5,VLOOKUP($A204,comedor,2,0),IF(K$5='Conceptos Desglosados'!$H$6,VLOOKUP($A204,alojamiento,2,0),IF(K$5='Conceptos Desglosados'!$H$7,VLOOKUP($A204,sanidad,2,0),IF(K$5='Conceptos Desglosados'!$H$8,VLOOKUP($A204,servicios,2,0),IF(K$5='Conceptos Desglosados'!$H$9,VLOOKUP($A204,comyaloj,2,0),IF(K$5='Conceptos Desglosados'!$H$10,VLOOKUP($A204,comandancia,2,0),IF(K$5='Conceptos Desglosados'!$H$11,VLOOKUP($A204,mantenimiento,2,0),IF(K$5='Conceptos Desglosados'!$H$12,VLOOKUP($A204,serestatal,2,0),IF(K$5='Conceptos Desglosados'!$H$13,VLOOKUP($A204,conferencias,2,0),"")))))))))),"")*K$3,"")</f>
        <v/>
      </c>
      <c r="L204" t="str">
        <f>IFERROR(IFERROR(IF(L$5='Conceptos Desglosados'!$H$4,VLOOKUP($A204,dormitorios,2,0),IF(L$5='Conceptos Desglosados'!$H$5,VLOOKUP($A204,comedor,2,0),IF(L$5='Conceptos Desglosados'!$H$6,VLOOKUP($A204,alojamiento,2,0),IF(L$5='Conceptos Desglosados'!$H$7,VLOOKUP($A204,sanidad,2,0),IF(L$5='Conceptos Desglosados'!$H$8,VLOOKUP($A204,servicios,2,0),IF(L$5='Conceptos Desglosados'!$H$9,VLOOKUP($A204,comyaloj,2,0),IF(L$5='Conceptos Desglosados'!$H$10,VLOOKUP($A204,comandancia,2,0),IF(L$5='Conceptos Desglosados'!$H$11,VLOOKUP($A204,mantenimiento,2,0),IF(L$5='Conceptos Desglosados'!$H$12,VLOOKUP($A204,serestatal,2,0),IF(L$5='Conceptos Desglosados'!$H$13,VLOOKUP($A204,conferencias,2,0),"")))))))))),"")*L$3,"")</f>
        <v/>
      </c>
      <c r="M204" t="str">
        <f>IFERROR(IFERROR(IF(M$5='Conceptos Desglosados'!$H$4,VLOOKUP($A204,dormitorios,2,0),IF(M$5='Conceptos Desglosados'!$H$5,VLOOKUP($A204,comedor,2,0),IF(M$5='Conceptos Desglosados'!$H$6,VLOOKUP($A204,alojamiento,2,0),IF(M$5='Conceptos Desglosados'!$H$7,VLOOKUP($A204,sanidad,2,0),IF(M$5='Conceptos Desglosados'!$H$8,VLOOKUP($A204,servicios,2,0),IF(M$5='Conceptos Desglosados'!$H$9,VLOOKUP($A204,comyaloj,2,0),IF(M$5='Conceptos Desglosados'!$H$10,VLOOKUP($A204,comandancia,2,0),IF(M$5='Conceptos Desglosados'!$H$11,VLOOKUP($A204,mantenimiento,2,0),IF(M$5='Conceptos Desglosados'!$H$12,VLOOKUP($A204,serestatal,2,0),IF(M$5='Conceptos Desglosados'!$H$13,VLOOKUP($A204,conferencias,2,0),"")))))))))),"")*M$3,"")</f>
        <v/>
      </c>
      <c r="O204">
        <f>SUM(K204:M204)</f>
        <v>0</v>
      </c>
    </row>
    <row r="205" spans="1:15" x14ac:dyDescent="0.35">
      <c r="A205">
        <v>200</v>
      </c>
      <c r="B205" t="s">
        <v>10</v>
      </c>
      <c r="C205" t="s">
        <v>1178</v>
      </c>
      <c r="D205" t="s">
        <v>1180</v>
      </c>
      <c r="E205" t="s">
        <v>1</v>
      </c>
      <c r="F205" t="s">
        <v>1127</v>
      </c>
      <c r="G205" t="s">
        <v>0</v>
      </c>
      <c r="H205">
        <v>0.94</v>
      </c>
      <c r="I205">
        <v>3</v>
      </c>
      <c r="J205" t="s">
        <v>6</v>
      </c>
      <c r="K205" t="str">
        <f>IFERROR(IFERROR(IF(K$5='Conceptos Desglosados'!$H$4,VLOOKUP($A205,dormitorios,2,0),IF(K$5='Conceptos Desglosados'!$H$5,VLOOKUP($A205,comedor,2,0),IF(K$5='Conceptos Desglosados'!$H$6,VLOOKUP($A205,alojamiento,2,0),IF(K$5='Conceptos Desglosados'!$H$7,VLOOKUP($A205,sanidad,2,0),IF(K$5='Conceptos Desglosados'!$H$8,VLOOKUP($A205,servicios,2,0),IF(K$5='Conceptos Desglosados'!$H$9,VLOOKUP($A205,comyaloj,2,0),IF(K$5='Conceptos Desglosados'!$H$10,VLOOKUP($A205,comandancia,2,0),IF(K$5='Conceptos Desglosados'!$H$11,VLOOKUP($A205,mantenimiento,2,0),IF(K$5='Conceptos Desglosados'!$H$12,VLOOKUP($A205,serestatal,2,0),IF(K$5='Conceptos Desglosados'!$H$13,VLOOKUP($A205,conferencias,2,0),"")))))))))),"")*K$3,"")</f>
        <v/>
      </c>
      <c r="L205" t="str">
        <f>IFERROR(IFERROR(IF(L$5='Conceptos Desglosados'!$H$4,VLOOKUP($A205,dormitorios,2,0),IF(L$5='Conceptos Desglosados'!$H$5,VLOOKUP($A205,comedor,2,0),IF(L$5='Conceptos Desglosados'!$H$6,VLOOKUP($A205,alojamiento,2,0),IF(L$5='Conceptos Desglosados'!$H$7,VLOOKUP($A205,sanidad,2,0),IF(L$5='Conceptos Desglosados'!$H$8,VLOOKUP($A205,servicios,2,0),IF(L$5='Conceptos Desglosados'!$H$9,VLOOKUP($A205,comyaloj,2,0),IF(L$5='Conceptos Desglosados'!$H$10,VLOOKUP($A205,comandancia,2,0),IF(L$5='Conceptos Desglosados'!$H$11,VLOOKUP($A205,mantenimiento,2,0),IF(L$5='Conceptos Desglosados'!$H$12,VLOOKUP($A205,serestatal,2,0),IF(L$5='Conceptos Desglosados'!$H$13,VLOOKUP($A205,conferencias,2,0),"")))))))))),"")*L$3,"")</f>
        <v/>
      </c>
      <c r="M205" t="str">
        <f>IFERROR(IFERROR(IF(M$5='Conceptos Desglosados'!$H$4,VLOOKUP($A205,dormitorios,2,0),IF(M$5='Conceptos Desglosados'!$H$5,VLOOKUP($A205,comedor,2,0),IF(M$5='Conceptos Desglosados'!$H$6,VLOOKUP($A205,alojamiento,2,0),IF(M$5='Conceptos Desglosados'!$H$7,VLOOKUP($A205,sanidad,2,0),IF(M$5='Conceptos Desglosados'!$H$8,VLOOKUP($A205,servicios,2,0),IF(M$5='Conceptos Desglosados'!$H$9,VLOOKUP($A205,comyaloj,2,0),IF(M$5='Conceptos Desglosados'!$H$10,VLOOKUP($A205,comandancia,2,0),IF(M$5='Conceptos Desglosados'!$H$11,VLOOKUP($A205,mantenimiento,2,0),IF(M$5='Conceptos Desglosados'!$H$12,VLOOKUP($A205,serestatal,2,0),IF(M$5='Conceptos Desglosados'!$H$13,VLOOKUP($A205,conferencias,2,0),"")))))))))),"")*M$3,"")</f>
        <v/>
      </c>
      <c r="O205">
        <f>SUM(K205:M205)</f>
        <v>0</v>
      </c>
    </row>
    <row r="206" spans="1:15" x14ac:dyDescent="0.35">
      <c r="A206">
        <v>201</v>
      </c>
      <c r="B206" t="s">
        <v>10</v>
      </c>
      <c r="C206" t="s">
        <v>1179</v>
      </c>
      <c r="D206" t="s">
        <v>1181</v>
      </c>
      <c r="E206" t="s">
        <v>1</v>
      </c>
      <c r="F206" t="s">
        <v>1127</v>
      </c>
      <c r="G206" t="s">
        <v>2</v>
      </c>
      <c r="H206">
        <v>1.968</v>
      </c>
      <c r="I206">
        <v>3</v>
      </c>
      <c r="J206" t="s">
        <v>6</v>
      </c>
      <c r="K206" t="str">
        <f>IFERROR(IFERROR(IF(K$5='Conceptos Desglosados'!$H$4,VLOOKUP($A206,dormitorios,2,0),IF(K$5='Conceptos Desglosados'!$H$5,VLOOKUP($A206,comedor,2,0),IF(K$5='Conceptos Desglosados'!$H$6,VLOOKUP($A206,alojamiento,2,0),IF(K$5='Conceptos Desglosados'!$H$7,VLOOKUP($A206,sanidad,2,0),IF(K$5='Conceptos Desglosados'!$H$8,VLOOKUP($A206,servicios,2,0),IF(K$5='Conceptos Desglosados'!$H$9,VLOOKUP($A206,comyaloj,2,0),IF(K$5='Conceptos Desglosados'!$H$10,VLOOKUP($A206,comandancia,2,0),IF(K$5='Conceptos Desglosados'!$H$11,VLOOKUP($A206,mantenimiento,2,0),IF(K$5='Conceptos Desglosados'!$H$12,VLOOKUP($A206,serestatal,2,0),IF(K$5='Conceptos Desglosados'!$H$13,VLOOKUP($A206,conferencias,2,0),"")))))))))),"")*K$3,"")</f>
        <v/>
      </c>
      <c r="L206" t="str">
        <f>IFERROR(IFERROR(IF(L$5='Conceptos Desglosados'!$H$4,VLOOKUP($A206,dormitorios,2,0),IF(L$5='Conceptos Desglosados'!$H$5,VLOOKUP($A206,comedor,2,0),IF(L$5='Conceptos Desglosados'!$H$6,VLOOKUP($A206,alojamiento,2,0),IF(L$5='Conceptos Desglosados'!$H$7,VLOOKUP($A206,sanidad,2,0),IF(L$5='Conceptos Desglosados'!$H$8,VLOOKUP($A206,servicios,2,0),IF(L$5='Conceptos Desglosados'!$H$9,VLOOKUP($A206,comyaloj,2,0),IF(L$5='Conceptos Desglosados'!$H$10,VLOOKUP($A206,comandancia,2,0),IF(L$5='Conceptos Desglosados'!$H$11,VLOOKUP($A206,mantenimiento,2,0),IF(L$5='Conceptos Desglosados'!$H$12,VLOOKUP($A206,serestatal,2,0),IF(L$5='Conceptos Desglosados'!$H$13,VLOOKUP($A206,conferencias,2,0),"")))))))))),"")*L$3,"")</f>
        <v/>
      </c>
      <c r="M206" t="str">
        <f>IFERROR(IFERROR(IF(M$5='Conceptos Desglosados'!$H$4,VLOOKUP($A206,dormitorios,2,0),IF(M$5='Conceptos Desglosados'!$H$5,VLOOKUP($A206,comedor,2,0),IF(M$5='Conceptos Desglosados'!$H$6,VLOOKUP($A206,alojamiento,2,0),IF(M$5='Conceptos Desglosados'!$H$7,VLOOKUP($A206,sanidad,2,0),IF(M$5='Conceptos Desglosados'!$H$8,VLOOKUP($A206,servicios,2,0),IF(M$5='Conceptos Desglosados'!$H$9,VLOOKUP($A206,comyaloj,2,0),IF(M$5='Conceptos Desglosados'!$H$10,VLOOKUP($A206,comandancia,2,0),IF(M$5='Conceptos Desglosados'!$H$11,VLOOKUP($A206,mantenimiento,2,0),IF(M$5='Conceptos Desglosados'!$H$12,VLOOKUP($A206,serestatal,2,0),IF(M$5='Conceptos Desglosados'!$H$13,VLOOKUP($A206,conferencias,2,0),"")))))))))),"")*M$3,"")</f>
        <v/>
      </c>
      <c r="O206">
        <f>SUM(K206:M206)</f>
        <v>0</v>
      </c>
    </row>
    <row r="207" spans="1:15" x14ac:dyDescent="0.35">
      <c r="A207">
        <v>202</v>
      </c>
      <c r="B207" t="s">
        <v>10</v>
      </c>
      <c r="C207" t="s">
        <v>1219</v>
      </c>
      <c r="D207" t="s">
        <v>1220</v>
      </c>
      <c r="E207" t="s">
        <v>1</v>
      </c>
      <c r="F207" t="s">
        <v>1127</v>
      </c>
      <c r="G207" t="s">
        <v>0</v>
      </c>
      <c r="H207">
        <v>2.08</v>
      </c>
      <c r="I207">
        <v>3</v>
      </c>
      <c r="J207" t="s">
        <v>6</v>
      </c>
      <c r="K207" t="str">
        <f>IFERROR(IFERROR(IF(K$5='Conceptos Desglosados'!$H$4,VLOOKUP($A207,dormitorios,2,0),IF(K$5='Conceptos Desglosados'!$H$5,VLOOKUP($A207,comedor,2,0),IF(K$5='Conceptos Desglosados'!$H$6,VLOOKUP($A207,alojamiento,2,0),IF(K$5='Conceptos Desglosados'!$H$7,VLOOKUP($A207,sanidad,2,0),IF(K$5='Conceptos Desglosados'!$H$8,VLOOKUP($A207,servicios,2,0),IF(K$5='Conceptos Desglosados'!$H$9,VLOOKUP($A207,comyaloj,2,0),IF(K$5='Conceptos Desglosados'!$H$10,VLOOKUP($A207,comandancia,2,0),IF(K$5='Conceptos Desglosados'!$H$11,VLOOKUP($A207,mantenimiento,2,0),IF(K$5='Conceptos Desglosados'!$H$12,VLOOKUP($A207,serestatal,2,0),IF(K$5='Conceptos Desglosados'!$H$13,VLOOKUP($A207,conferencias,2,0),"")))))))))),"")*K$3,"")</f>
        <v/>
      </c>
      <c r="L207" t="str">
        <f>IFERROR(IFERROR(IF(L$5='Conceptos Desglosados'!$H$4,VLOOKUP($A207,dormitorios,2,0),IF(L$5='Conceptos Desglosados'!$H$5,VLOOKUP($A207,comedor,2,0),IF(L$5='Conceptos Desglosados'!$H$6,VLOOKUP($A207,alojamiento,2,0),IF(L$5='Conceptos Desglosados'!$H$7,VLOOKUP($A207,sanidad,2,0),IF(L$5='Conceptos Desglosados'!$H$8,VLOOKUP($A207,servicios,2,0),IF(L$5='Conceptos Desglosados'!$H$9,VLOOKUP($A207,comyaloj,2,0),IF(L$5='Conceptos Desglosados'!$H$10,VLOOKUP($A207,comandancia,2,0),IF(L$5='Conceptos Desglosados'!$H$11,VLOOKUP($A207,mantenimiento,2,0),IF(L$5='Conceptos Desglosados'!$H$12,VLOOKUP($A207,serestatal,2,0),IF(L$5='Conceptos Desglosados'!$H$13,VLOOKUP($A207,conferencias,2,0),"")))))))))),"")*L$3,"")</f>
        <v/>
      </c>
      <c r="M207" t="str">
        <f>IFERROR(IFERROR(IF(M$5='Conceptos Desglosados'!$H$4,VLOOKUP($A207,dormitorios,2,0),IF(M$5='Conceptos Desglosados'!$H$5,VLOOKUP($A207,comedor,2,0),IF(M$5='Conceptos Desglosados'!$H$6,VLOOKUP($A207,alojamiento,2,0),IF(M$5='Conceptos Desglosados'!$H$7,VLOOKUP($A207,sanidad,2,0),IF(M$5='Conceptos Desglosados'!$H$8,VLOOKUP($A207,servicios,2,0),IF(M$5='Conceptos Desglosados'!$H$9,VLOOKUP($A207,comyaloj,2,0),IF(M$5='Conceptos Desglosados'!$H$10,VLOOKUP($A207,comandancia,2,0),IF(M$5='Conceptos Desglosados'!$H$11,VLOOKUP($A207,mantenimiento,2,0),IF(M$5='Conceptos Desglosados'!$H$12,VLOOKUP($A207,serestatal,2,0),IF(M$5='Conceptos Desglosados'!$H$13,VLOOKUP($A207,conferencias,2,0),"")))))))))),"")*M$3,"")</f>
        <v/>
      </c>
      <c r="O207">
        <f>SUM(K207:M207)</f>
        <v>0</v>
      </c>
    </row>
    <row r="208" spans="1:15" x14ac:dyDescent="0.35">
      <c r="A208">
        <v>203</v>
      </c>
      <c r="B208" t="s">
        <v>10</v>
      </c>
      <c r="C208" t="s">
        <v>1141</v>
      </c>
      <c r="D208" t="s">
        <v>1237</v>
      </c>
      <c r="E208" t="s">
        <v>1</v>
      </c>
      <c r="F208" t="s">
        <v>511</v>
      </c>
      <c r="G208" t="s">
        <v>0</v>
      </c>
      <c r="H208">
        <v>1.252</v>
      </c>
      <c r="I208">
        <v>2.7149999999999999</v>
      </c>
      <c r="J208" t="s">
        <v>6</v>
      </c>
      <c r="K208" t="str">
        <f>IFERROR(IFERROR(IF(K$5='Conceptos Desglosados'!$H$4,VLOOKUP($A208,dormitorios,2,0),IF(K$5='Conceptos Desglosados'!$H$5,VLOOKUP($A208,comedor,2,0),IF(K$5='Conceptos Desglosados'!$H$6,VLOOKUP($A208,alojamiento,2,0),IF(K$5='Conceptos Desglosados'!$H$7,VLOOKUP($A208,sanidad,2,0),IF(K$5='Conceptos Desglosados'!$H$8,VLOOKUP($A208,servicios,2,0),IF(K$5='Conceptos Desglosados'!$H$9,VLOOKUP($A208,comyaloj,2,0),IF(K$5='Conceptos Desglosados'!$H$10,VLOOKUP($A208,comandancia,2,0),IF(K$5='Conceptos Desglosados'!$H$11,VLOOKUP($A208,mantenimiento,2,0),IF(K$5='Conceptos Desglosados'!$H$12,VLOOKUP($A208,serestatal,2,0),IF(K$5='Conceptos Desglosados'!$H$13,VLOOKUP($A208,conferencias,2,0),"")))))))))),"")*K$3,"")</f>
        <v/>
      </c>
      <c r="L208" t="str">
        <f>IFERROR(IFERROR(IF(L$5='Conceptos Desglosados'!$H$4,VLOOKUP($A208,dormitorios,2,0),IF(L$5='Conceptos Desglosados'!$H$5,VLOOKUP($A208,comedor,2,0),IF(L$5='Conceptos Desglosados'!$H$6,VLOOKUP($A208,alojamiento,2,0),IF(L$5='Conceptos Desglosados'!$H$7,VLOOKUP($A208,sanidad,2,0),IF(L$5='Conceptos Desglosados'!$H$8,VLOOKUP($A208,servicios,2,0),IF(L$5='Conceptos Desglosados'!$H$9,VLOOKUP($A208,comyaloj,2,0),IF(L$5='Conceptos Desglosados'!$H$10,VLOOKUP($A208,comandancia,2,0),IF(L$5='Conceptos Desglosados'!$H$11,VLOOKUP($A208,mantenimiento,2,0),IF(L$5='Conceptos Desglosados'!$H$12,VLOOKUP($A208,serestatal,2,0),IF(L$5='Conceptos Desglosados'!$H$13,VLOOKUP($A208,conferencias,2,0),"")))))))))),"")*L$3,"")</f>
        <v/>
      </c>
      <c r="M208">
        <f>IFERROR(IFERROR(IF(M$5='Conceptos Desglosados'!$H$4,VLOOKUP($A208,dormitorios,2,0),IF(M$5='Conceptos Desglosados'!$H$5,VLOOKUP($A208,comedor,2,0),IF(M$5='Conceptos Desglosados'!$H$6,VLOOKUP($A208,alojamiento,2,0),IF(M$5='Conceptos Desglosados'!$H$7,VLOOKUP($A208,sanidad,2,0),IF(M$5='Conceptos Desglosados'!$H$8,VLOOKUP($A208,servicios,2,0),IF(M$5='Conceptos Desglosados'!$H$9,VLOOKUP($A208,comyaloj,2,0),IF(M$5='Conceptos Desglosados'!$H$10,VLOOKUP($A208,comandancia,2,0),IF(M$5='Conceptos Desglosados'!$H$11,VLOOKUP($A208,mantenimiento,2,0),IF(M$5='Conceptos Desglosados'!$H$12,VLOOKUP($A208,serestatal,2,0),IF(M$5='Conceptos Desglosados'!$H$13,VLOOKUP($A208,conferencias,2,0),"")))))))))),"")*M$3,"")</f>
        <v>4</v>
      </c>
      <c r="O208">
        <f>SUM(K208:M208)</f>
        <v>4</v>
      </c>
    </row>
    <row r="209" spans="1:15" x14ac:dyDescent="0.35">
      <c r="A209">
        <v>204</v>
      </c>
      <c r="B209" t="s">
        <v>10</v>
      </c>
      <c r="C209" t="s">
        <v>1148</v>
      </c>
      <c r="D209" t="s">
        <v>1238</v>
      </c>
      <c r="E209" t="s">
        <v>1</v>
      </c>
      <c r="F209" t="s">
        <v>883</v>
      </c>
      <c r="G209" t="s">
        <v>0</v>
      </c>
      <c r="H209">
        <v>1.252</v>
      </c>
      <c r="I209">
        <v>2.72</v>
      </c>
      <c r="J209" t="s">
        <v>6</v>
      </c>
      <c r="K209" t="str">
        <f>IFERROR(IFERROR(IF(K$5='Conceptos Desglosados'!$H$4,VLOOKUP($A209,dormitorios,2,0),IF(K$5='Conceptos Desglosados'!$H$5,VLOOKUP($A209,comedor,2,0),IF(K$5='Conceptos Desglosados'!$H$6,VLOOKUP($A209,alojamiento,2,0),IF(K$5='Conceptos Desglosados'!$H$7,VLOOKUP($A209,sanidad,2,0),IF(K$5='Conceptos Desglosados'!$H$8,VLOOKUP($A209,servicios,2,0),IF(K$5='Conceptos Desglosados'!$H$9,VLOOKUP($A209,comyaloj,2,0),IF(K$5='Conceptos Desglosados'!$H$10,VLOOKUP($A209,comandancia,2,0),IF(K$5='Conceptos Desglosados'!$H$11,VLOOKUP($A209,mantenimiento,2,0),IF(K$5='Conceptos Desglosados'!$H$12,VLOOKUP($A209,serestatal,2,0),IF(K$5='Conceptos Desglosados'!$H$13,VLOOKUP($A209,conferencias,2,0),"")))))))))),"")*K$3,"")</f>
        <v/>
      </c>
      <c r="L209" t="str">
        <f>IFERROR(IFERROR(IF(L$5='Conceptos Desglosados'!$H$4,VLOOKUP($A209,dormitorios,2,0),IF(L$5='Conceptos Desglosados'!$H$5,VLOOKUP($A209,comedor,2,0),IF(L$5='Conceptos Desglosados'!$H$6,VLOOKUP($A209,alojamiento,2,0),IF(L$5='Conceptos Desglosados'!$H$7,VLOOKUP($A209,sanidad,2,0),IF(L$5='Conceptos Desglosados'!$H$8,VLOOKUP($A209,servicios,2,0),IF(L$5='Conceptos Desglosados'!$H$9,VLOOKUP($A209,comyaloj,2,0),IF(L$5='Conceptos Desglosados'!$H$10,VLOOKUP($A209,comandancia,2,0),IF(L$5='Conceptos Desglosados'!$H$11,VLOOKUP($A209,mantenimiento,2,0),IF(L$5='Conceptos Desglosados'!$H$12,VLOOKUP($A209,serestatal,2,0),IF(L$5='Conceptos Desglosados'!$H$13,VLOOKUP($A209,conferencias,2,0),"")))))))))),"")*L$3,"")</f>
        <v/>
      </c>
      <c r="M209">
        <f>IFERROR(IFERROR(IF(M$5='Conceptos Desglosados'!$H$4,VLOOKUP($A209,dormitorios,2,0),IF(M$5='Conceptos Desglosados'!$H$5,VLOOKUP($A209,comedor,2,0),IF(M$5='Conceptos Desglosados'!$H$6,VLOOKUP($A209,alojamiento,2,0),IF(M$5='Conceptos Desglosados'!$H$7,VLOOKUP($A209,sanidad,2,0),IF(M$5='Conceptos Desglosados'!$H$8,VLOOKUP($A209,servicios,2,0),IF(M$5='Conceptos Desglosados'!$H$9,VLOOKUP($A209,comyaloj,2,0),IF(M$5='Conceptos Desglosados'!$H$10,VLOOKUP($A209,comandancia,2,0),IF(M$5='Conceptos Desglosados'!$H$11,VLOOKUP($A209,mantenimiento,2,0),IF(M$5='Conceptos Desglosados'!$H$12,VLOOKUP($A209,serestatal,2,0),IF(M$5='Conceptos Desglosados'!$H$13,VLOOKUP($A209,conferencias,2,0),"")))))))))),"")*M$3,"")</f>
        <v>4</v>
      </c>
      <c r="O209">
        <f>SUM(K209:M209)</f>
        <v>4</v>
      </c>
    </row>
    <row r="210" spans="1:15" x14ac:dyDescent="0.35">
      <c r="A210">
        <v>205</v>
      </c>
      <c r="B210" t="s">
        <v>10</v>
      </c>
      <c r="C210" t="s">
        <v>1160</v>
      </c>
      <c r="D210" t="s">
        <v>1239</v>
      </c>
      <c r="E210" t="s">
        <v>914</v>
      </c>
      <c r="F210" t="s">
        <v>511</v>
      </c>
      <c r="G210" t="s">
        <v>0</v>
      </c>
      <c r="H210">
        <v>2.0910000000000002</v>
      </c>
      <c r="I210">
        <v>2.72</v>
      </c>
      <c r="J210" t="s">
        <v>6</v>
      </c>
      <c r="K210" t="str">
        <f>IFERROR(IFERROR(IF(K$5='Conceptos Desglosados'!$H$4,VLOOKUP($A210,dormitorios,2,0),IF(K$5='Conceptos Desglosados'!$H$5,VLOOKUP($A210,comedor,2,0),IF(K$5='Conceptos Desglosados'!$H$6,VLOOKUP($A210,alojamiento,2,0),IF(K$5='Conceptos Desglosados'!$H$7,VLOOKUP($A210,sanidad,2,0),IF(K$5='Conceptos Desglosados'!$H$8,VLOOKUP($A210,servicios,2,0),IF(K$5='Conceptos Desglosados'!$H$9,VLOOKUP($A210,comyaloj,2,0),IF(K$5='Conceptos Desglosados'!$H$10,VLOOKUP($A210,comandancia,2,0),IF(K$5='Conceptos Desglosados'!$H$11,VLOOKUP($A210,mantenimiento,2,0),IF(K$5='Conceptos Desglosados'!$H$12,VLOOKUP($A210,serestatal,2,0),IF(K$5='Conceptos Desglosados'!$H$13,VLOOKUP($A210,conferencias,2,0),"")))))))))),"")*K$3,"")</f>
        <v/>
      </c>
      <c r="L210" t="str">
        <f>IFERROR(IFERROR(IF(L$5='Conceptos Desglosados'!$H$4,VLOOKUP($A210,dormitorios,2,0),IF(L$5='Conceptos Desglosados'!$H$5,VLOOKUP($A210,comedor,2,0),IF(L$5='Conceptos Desglosados'!$H$6,VLOOKUP($A210,alojamiento,2,0),IF(L$5='Conceptos Desglosados'!$H$7,VLOOKUP($A210,sanidad,2,0),IF(L$5='Conceptos Desglosados'!$H$8,VLOOKUP($A210,servicios,2,0),IF(L$5='Conceptos Desglosados'!$H$9,VLOOKUP($A210,comyaloj,2,0),IF(L$5='Conceptos Desglosados'!$H$10,VLOOKUP($A210,comandancia,2,0),IF(L$5='Conceptos Desglosados'!$H$11,VLOOKUP($A210,mantenimiento,2,0),IF(L$5='Conceptos Desglosados'!$H$12,VLOOKUP($A210,serestatal,2,0),IF(L$5='Conceptos Desglosados'!$H$13,VLOOKUP($A210,conferencias,2,0),"")))))))))),"")*L$3,"")</f>
        <v/>
      </c>
      <c r="M210">
        <f>IFERROR(IFERROR(IF(M$5='Conceptos Desglosados'!$H$4,VLOOKUP($A210,dormitorios,2,0),IF(M$5='Conceptos Desglosados'!$H$5,VLOOKUP($A210,comedor,2,0),IF(M$5='Conceptos Desglosados'!$H$6,VLOOKUP($A210,alojamiento,2,0),IF(M$5='Conceptos Desglosados'!$H$7,VLOOKUP($A210,sanidad,2,0),IF(M$5='Conceptos Desglosados'!$H$8,VLOOKUP($A210,servicios,2,0),IF(M$5='Conceptos Desglosados'!$H$9,VLOOKUP($A210,comyaloj,2,0),IF(M$5='Conceptos Desglosados'!$H$10,VLOOKUP($A210,comandancia,2,0),IF(M$5='Conceptos Desglosados'!$H$11,VLOOKUP($A210,mantenimiento,2,0),IF(M$5='Conceptos Desglosados'!$H$12,VLOOKUP($A210,serestatal,2,0),IF(M$5='Conceptos Desglosados'!$H$13,VLOOKUP($A210,conferencias,2,0),"")))))))))),"")*M$3,"")</f>
        <v>4</v>
      </c>
      <c r="O210">
        <f>SUM(K210:M210)</f>
        <v>4</v>
      </c>
    </row>
    <row r="211" spans="1:15" x14ac:dyDescent="0.35">
      <c r="A211">
        <v>206</v>
      </c>
      <c r="B211" t="s">
        <v>10</v>
      </c>
      <c r="C211" t="s">
        <v>1167</v>
      </c>
      <c r="D211" t="s">
        <v>1240</v>
      </c>
      <c r="E211" t="s">
        <v>1169</v>
      </c>
      <c r="F211" t="s">
        <v>511</v>
      </c>
      <c r="G211" t="s">
        <v>0</v>
      </c>
      <c r="H211">
        <v>1.5029999999999999</v>
      </c>
      <c r="I211">
        <v>2.72</v>
      </c>
      <c r="J211" t="s">
        <v>6</v>
      </c>
      <c r="K211" t="str">
        <f>IFERROR(IFERROR(IF(K$5='Conceptos Desglosados'!$H$4,VLOOKUP($A211,dormitorios,2,0),IF(K$5='Conceptos Desglosados'!$H$5,VLOOKUP($A211,comedor,2,0),IF(K$5='Conceptos Desglosados'!$H$6,VLOOKUP($A211,alojamiento,2,0),IF(K$5='Conceptos Desglosados'!$H$7,VLOOKUP($A211,sanidad,2,0),IF(K$5='Conceptos Desglosados'!$H$8,VLOOKUP($A211,servicios,2,0),IF(K$5='Conceptos Desglosados'!$H$9,VLOOKUP($A211,comyaloj,2,0),IF(K$5='Conceptos Desglosados'!$H$10,VLOOKUP($A211,comandancia,2,0),IF(K$5='Conceptos Desglosados'!$H$11,VLOOKUP($A211,mantenimiento,2,0),IF(K$5='Conceptos Desglosados'!$H$12,VLOOKUP($A211,serestatal,2,0),IF(K$5='Conceptos Desglosados'!$H$13,VLOOKUP($A211,conferencias,2,0),"")))))))))),"")*K$3,"")</f>
        <v/>
      </c>
      <c r="L211" t="str">
        <f>IFERROR(IFERROR(IF(L$5='Conceptos Desglosados'!$H$4,VLOOKUP($A211,dormitorios,2,0),IF(L$5='Conceptos Desglosados'!$H$5,VLOOKUP($A211,comedor,2,0),IF(L$5='Conceptos Desglosados'!$H$6,VLOOKUP($A211,alojamiento,2,0),IF(L$5='Conceptos Desglosados'!$H$7,VLOOKUP($A211,sanidad,2,0),IF(L$5='Conceptos Desglosados'!$H$8,VLOOKUP($A211,servicios,2,0),IF(L$5='Conceptos Desglosados'!$H$9,VLOOKUP($A211,comyaloj,2,0),IF(L$5='Conceptos Desglosados'!$H$10,VLOOKUP($A211,comandancia,2,0),IF(L$5='Conceptos Desglosados'!$H$11,VLOOKUP($A211,mantenimiento,2,0),IF(L$5='Conceptos Desglosados'!$H$12,VLOOKUP($A211,serestatal,2,0),IF(L$5='Conceptos Desglosados'!$H$13,VLOOKUP($A211,conferencias,2,0),"")))))))))),"")*L$3,"")</f>
        <v/>
      </c>
      <c r="M211">
        <f>IFERROR(IFERROR(IF(M$5='Conceptos Desglosados'!$H$4,VLOOKUP($A211,dormitorios,2,0),IF(M$5='Conceptos Desglosados'!$H$5,VLOOKUP($A211,comedor,2,0),IF(M$5='Conceptos Desglosados'!$H$6,VLOOKUP($A211,alojamiento,2,0),IF(M$5='Conceptos Desglosados'!$H$7,VLOOKUP($A211,sanidad,2,0),IF(M$5='Conceptos Desglosados'!$H$8,VLOOKUP($A211,servicios,2,0),IF(M$5='Conceptos Desglosados'!$H$9,VLOOKUP($A211,comyaloj,2,0),IF(M$5='Conceptos Desglosados'!$H$10,VLOOKUP($A211,comandancia,2,0),IF(M$5='Conceptos Desglosados'!$H$11,VLOOKUP($A211,mantenimiento,2,0),IF(M$5='Conceptos Desglosados'!$H$12,VLOOKUP($A211,serestatal,2,0),IF(M$5='Conceptos Desglosados'!$H$13,VLOOKUP($A211,conferencias,2,0),"")))))))))),"")*M$3,"")</f>
        <v>4</v>
      </c>
      <c r="O211">
        <f>SUM(K211:M211)</f>
        <v>4</v>
      </c>
    </row>
    <row r="212" spans="1:15" x14ac:dyDescent="0.35">
      <c r="A212">
        <v>207</v>
      </c>
      <c r="B212" t="s">
        <v>10</v>
      </c>
      <c r="C212" t="s">
        <v>1170</v>
      </c>
      <c r="D212" t="s">
        <v>1241</v>
      </c>
      <c r="E212" t="s">
        <v>1172</v>
      </c>
      <c r="F212" t="s">
        <v>511</v>
      </c>
      <c r="G212" t="s">
        <v>0</v>
      </c>
      <c r="H212">
        <v>1.8680000000000001</v>
      </c>
      <c r="I212">
        <v>2.72</v>
      </c>
      <c r="J212" t="s">
        <v>6</v>
      </c>
      <c r="K212" t="str">
        <f>IFERROR(IFERROR(IF(K$5='Conceptos Desglosados'!$H$4,VLOOKUP($A212,dormitorios,2,0),IF(K$5='Conceptos Desglosados'!$H$5,VLOOKUP($A212,comedor,2,0),IF(K$5='Conceptos Desglosados'!$H$6,VLOOKUP($A212,alojamiento,2,0),IF(K$5='Conceptos Desglosados'!$H$7,VLOOKUP($A212,sanidad,2,0),IF(K$5='Conceptos Desglosados'!$H$8,VLOOKUP($A212,servicios,2,0),IF(K$5='Conceptos Desglosados'!$H$9,VLOOKUP($A212,comyaloj,2,0),IF(K$5='Conceptos Desglosados'!$H$10,VLOOKUP($A212,comandancia,2,0),IF(K$5='Conceptos Desglosados'!$H$11,VLOOKUP($A212,mantenimiento,2,0),IF(K$5='Conceptos Desglosados'!$H$12,VLOOKUP($A212,serestatal,2,0),IF(K$5='Conceptos Desglosados'!$H$13,VLOOKUP($A212,conferencias,2,0),"")))))))))),"")*K$3,"")</f>
        <v/>
      </c>
      <c r="L212" t="str">
        <f>IFERROR(IFERROR(IF(L$5='Conceptos Desglosados'!$H$4,VLOOKUP($A212,dormitorios,2,0),IF(L$5='Conceptos Desglosados'!$H$5,VLOOKUP($A212,comedor,2,0),IF(L$5='Conceptos Desglosados'!$H$6,VLOOKUP($A212,alojamiento,2,0),IF(L$5='Conceptos Desglosados'!$H$7,VLOOKUP($A212,sanidad,2,0),IF(L$5='Conceptos Desglosados'!$H$8,VLOOKUP($A212,servicios,2,0),IF(L$5='Conceptos Desglosados'!$H$9,VLOOKUP($A212,comyaloj,2,0),IF(L$5='Conceptos Desglosados'!$H$10,VLOOKUP($A212,comandancia,2,0),IF(L$5='Conceptos Desglosados'!$H$11,VLOOKUP($A212,mantenimiento,2,0),IF(L$5='Conceptos Desglosados'!$H$12,VLOOKUP($A212,serestatal,2,0),IF(L$5='Conceptos Desglosados'!$H$13,VLOOKUP($A212,conferencias,2,0),"")))))))))),"")*L$3,"")</f>
        <v/>
      </c>
      <c r="M212">
        <f>IFERROR(IFERROR(IF(M$5='Conceptos Desglosados'!$H$4,VLOOKUP($A212,dormitorios,2,0),IF(M$5='Conceptos Desglosados'!$H$5,VLOOKUP($A212,comedor,2,0),IF(M$5='Conceptos Desglosados'!$H$6,VLOOKUP($A212,alojamiento,2,0),IF(M$5='Conceptos Desglosados'!$H$7,VLOOKUP($A212,sanidad,2,0),IF(M$5='Conceptos Desglosados'!$H$8,VLOOKUP($A212,servicios,2,0),IF(M$5='Conceptos Desglosados'!$H$9,VLOOKUP($A212,comyaloj,2,0),IF(M$5='Conceptos Desglosados'!$H$10,VLOOKUP($A212,comandancia,2,0),IF(M$5='Conceptos Desglosados'!$H$11,VLOOKUP($A212,mantenimiento,2,0),IF(M$5='Conceptos Desglosados'!$H$12,VLOOKUP($A212,serestatal,2,0),IF(M$5='Conceptos Desglosados'!$H$13,VLOOKUP($A212,conferencias,2,0),"")))))))))),"")*M$3,"")</f>
        <v>4</v>
      </c>
      <c r="O212">
        <f>SUM(K212:M212)</f>
        <v>4</v>
      </c>
    </row>
    <row r="213" spans="1:15" x14ac:dyDescent="0.35">
      <c r="A213">
        <v>208</v>
      </c>
      <c r="B213" t="s">
        <v>10</v>
      </c>
      <c r="C213" t="s">
        <v>1178</v>
      </c>
      <c r="D213" t="s">
        <v>1251</v>
      </c>
      <c r="E213" t="s">
        <v>1</v>
      </c>
      <c r="F213" t="s">
        <v>883</v>
      </c>
      <c r="G213" t="s">
        <v>0</v>
      </c>
      <c r="H213">
        <v>1.038</v>
      </c>
      <c r="I213">
        <v>2.7149999999999999</v>
      </c>
      <c r="J213" t="s">
        <v>6</v>
      </c>
      <c r="K213" t="str">
        <f>IFERROR(IFERROR(IF(K$5='Conceptos Desglosados'!$H$4,VLOOKUP($A213,dormitorios,2,0),IF(K$5='Conceptos Desglosados'!$H$5,VLOOKUP($A213,comedor,2,0),IF(K$5='Conceptos Desglosados'!$H$6,VLOOKUP($A213,alojamiento,2,0),IF(K$5='Conceptos Desglosados'!$H$7,VLOOKUP($A213,sanidad,2,0),IF(K$5='Conceptos Desglosados'!$H$8,VLOOKUP($A213,servicios,2,0),IF(K$5='Conceptos Desglosados'!$H$9,VLOOKUP($A213,comyaloj,2,0),IF(K$5='Conceptos Desglosados'!$H$10,VLOOKUP($A213,comandancia,2,0),IF(K$5='Conceptos Desglosados'!$H$11,VLOOKUP($A213,mantenimiento,2,0),IF(K$5='Conceptos Desglosados'!$H$12,VLOOKUP($A213,serestatal,2,0),IF(K$5='Conceptos Desglosados'!$H$13,VLOOKUP($A213,conferencias,2,0),"")))))))))),"")*K$3,"")</f>
        <v/>
      </c>
      <c r="L213" t="str">
        <f>IFERROR(IFERROR(IF(L$5='Conceptos Desglosados'!$H$4,VLOOKUP($A213,dormitorios,2,0),IF(L$5='Conceptos Desglosados'!$H$5,VLOOKUP($A213,comedor,2,0),IF(L$5='Conceptos Desglosados'!$H$6,VLOOKUP($A213,alojamiento,2,0),IF(L$5='Conceptos Desglosados'!$H$7,VLOOKUP($A213,sanidad,2,0),IF(L$5='Conceptos Desglosados'!$H$8,VLOOKUP($A213,servicios,2,0),IF(L$5='Conceptos Desglosados'!$H$9,VLOOKUP($A213,comyaloj,2,0),IF(L$5='Conceptos Desglosados'!$H$10,VLOOKUP($A213,comandancia,2,0),IF(L$5='Conceptos Desglosados'!$H$11,VLOOKUP($A213,mantenimiento,2,0),IF(L$5='Conceptos Desglosados'!$H$12,VLOOKUP($A213,serestatal,2,0),IF(L$5='Conceptos Desglosados'!$H$13,VLOOKUP($A213,conferencias,2,0),"")))))))))),"")*L$3,"")</f>
        <v/>
      </c>
      <c r="M213" t="str">
        <f>IFERROR(IFERROR(IF(M$5='Conceptos Desglosados'!$H$4,VLOOKUP($A213,dormitorios,2,0),IF(M$5='Conceptos Desglosados'!$H$5,VLOOKUP($A213,comedor,2,0),IF(M$5='Conceptos Desglosados'!$H$6,VLOOKUP($A213,alojamiento,2,0),IF(M$5='Conceptos Desglosados'!$H$7,VLOOKUP($A213,sanidad,2,0),IF(M$5='Conceptos Desglosados'!$H$8,VLOOKUP($A213,servicios,2,0),IF(M$5='Conceptos Desglosados'!$H$9,VLOOKUP($A213,comyaloj,2,0),IF(M$5='Conceptos Desglosados'!$H$10,VLOOKUP($A213,comandancia,2,0),IF(M$5='Conceptos Desglosados'!$H$11,VLOOKUP($A213,mantenimiento,2,0),IF(M$5='Conceptos Desglosados'!$H$12,VLOOKUP($A213,serestatal,2,0),IF(M$5='Conceptos Desglosados'!$H$13,VLOOKUP($A213,conferencias,2,0),"")))))))))),"")*M$3,"")</f>
        <v/>
      </c>
      <c r="O213">
        <f>SUM(K213:M213)</f>
        <v>0</v>
      </c>
    </row>
    <row r="214" spans="1:15" x14ac:dyDescent="0.35">
      <c r="A214">
        <v>209</v>
      </c>
      <c r="B214" t="s">
        <v>10</v>
      </c>
      <c r="C214" t="s">
        <v>1179</v>
      </c>
      <c r="D214" t="s">
        <v>1252</v>
      </c>
      <c r="E214" t="s">
        <v>656</v>
      </c>
      <c r="F214" t="s">
        <v>511</v>
      </c>
      <c r="G214" t="s">
        <v>0</v>
      </c>
      <c r="H214">
        <v>2.0390000000000001</v>
      </c>
      <c r="I214">
        <v>2.7149999999999999</v>
      </c>
      <c r="J214" t="s">
        <v>6</v>
      </c>
      <c r="K214" t="str">
        <f>IFERROR(IFERROR(IF(K$5='Conceptos Desglosados'!$H$4,VLOOKUP($A214,dormitorios,2,0),IF(K$5='Conceptos Desglosados'!$H$5,VLOOKUP($A214,comedor,2,0),IF(K$5='Conceptos Desglosados'!$H$6,VLOOKUP($A214,alojamiento,2,0),IF(K$5='Conceptos Desglosados'!$H$7,VLOOKUP($A214,sanidad,2,0),IF(K$5='Conceptos Desglosados'!$H$8,VLOOKUP($A214,servicios,2,0),IF(K$5='Conceptos Desglosados'!$H$9,VLOOKUP($A214,comyaloj,2,0),IF(K$5='Conceptos Desglosados'!$H$10,VLOOKUP($A214,comandancia,2,0),IF(K$5='Conceptos Desglosados'!$H$11,VLOOKUP($A214,mantenimiento,2,0),IF(K$5='Conceptos Desglosados'!$H$12,VLOOKUP($A214,serestatal,2,0),IF(K$5='Conceptos Desglosados'!$H$13,VLOOKUP($A214,conferencias,2,0),"")))))))))),"")*K$3,"")</f>
        <v/>
      </c>
      <c r="L214" t="str">
        <f>IFERROR(IFERROR(IF(L$5='Conceptos Desglosados'!$H$4,VLOOKUP($A214,dormitorios,2,0),IF(L$5='Conceptos Desglosados'!$H$5,VLOOKUP($A214,comedor,2,0),IF(L$5='Conceptos Desglosados'!$H$6,VLOOKUP($A214,alojamiento,2,0),IF(L$5='Conceptos Desglosados'!$H$7,VLOOKUP($A214,sanidad,2,0),IF(L$5='Conceptos Desglosados'!$H$8,VLOOKUP($A214,servicios,2,0),IF(L$5='Conceptos Desglosados'!$H$9,VLOOKUP($A214,comyaloj,2,0),IF(L$5='Conceptos Desglosados'!$H$10,VLOOKUP($A214,comandancia,2,0),IF(L$5='Conceptos Desglosados'!$H$11,VLOOKUP($A214,mantenimiento,2,0),IF(L$5='Conceptos Desglosados'!$H$12,VLOOKUP($A214,serestatal,2,0),IF(L$5='Conceptos Desglosados'!$H$13,VLOOKUP($A214,conferencias,2,0),"")))))))))),"")*L$3,"")</f>
        <v/>
      </c>
      <c r="M214" t="str">
        <f>IFERROR(IFERROR(IF(M$5='Conceptos Desglosados'!$H$4,VLOOKUP($A214,dormitorios,2,0),IF(M$5='Conceptos Desglosados'!$H$5,VLOOKUP($A214,comedor,2,0),IF(M$5='Conceptos Desglosados'!$H$6,VLOOKUP($A214,alojamiento,2,0),IF(M$5='Conceptos Desglosados'!$H$7,VLOOKUP($A214,sanidad,2,0),IF(M$5='Conceptos Desglosados'!$H$8,VLOOKUP($A214,servicios,2,0),IF(M$5='Conceptos Desglosados'!$H$9,VLOOKUP($A214,comyaloj,2,0),IF(M$5='Conceptos Desglosados'!$H$10,VLOOKUP($A214,comandancia,2,0),IF(M$5='Conceptos Desglosados'!$H$11,VLOOKUP($A214,mantenimiento,2,0),IF(M$5='Conceptos Desglosados'!$H$12,VLOOKUP($A214,serestatal,2,0),IF(M$5='Conceptos Desglosados'!$H$13,VLOOKUP($A214,conferencias,2,0),"")))))))))),"")*M$3,"")</f>
        <v/>
      </c>
      <c r="O214">
        <f>SUM(K214:M214)</f>
        <v>0</v>
      </c>
    </row>
    <row r="215" spans="1:15" x14ac:dyDescent="0.35">
      <c r="A215">
        <v>210</v>
      </c>
      <c r="B215" t="s">
        <v>10</v>
      </c>
      <c r="C215" t="s">
        <v>1219</v>
      </c>
      <c r="D215" t="s">
        <v>1258</v>
      </c>
      <c r="E215" t="s">
        <v>1</v>
      </c>
      <c r="F215" t="s">
        <v>511</v>
      </c>
      <c r="G215" t="s">
        <v>2</v>
      </c>
      <c r="H215">
        <v>1.1120000000000001</v>
      </c>
      <c r="I215">
        <v>2.7149999999999999</v>
      </c>
      <c r="J215" t="s">
        <v>6</v>
      </c>
      <c r="K215" t="str">
        <f>IFERROR(IFERROR(IF(K$5='Conceptos Desglosados'!$H$4,VLOOKUP($A215,dormitorios,2,0),IF(K$5='Conceptos Desglosados'!$H$5,VLOOKUP($A215,comedor,2,0),IF(K$5='Conceptos Desglosados'!$H$6,VLOOKUP($A215,alojamiento,2,0),IF(K$5='Conceptos Desglosados'!$H$7,VLOOKUP($A215,sanidad,2,0),IF(K$5='Conceptos Desglosados'!$H$8,VLOOKUP($A215,servicios,2,0),IF(K$5='Conceptos Desglosados'!$H$9,VLOOKUP($A215,comyaloj,2,0),IF(K$5='Conceptos Desglosados'!$H$10,VLOOKUP($A215,comandancia,2,0),IF(K$5='Conceptos Desglosados'!$H$11,VLOOKUP($A215,mantenimiento,2,0),IF(K$5='Conceptos Desglosados'!$H$12,VLOOKUP($A215,serestatal,2,0),IF(K$5='Conceptos Desglosados'!$H$13,VLOOKUP($A215,conferencias,2,0),"")))))))))),"")*K$3,"")</f>
        <v/>
      </c>
      <c r="L215" t="str">
        <f>IFERROR(IFERROR(IF(L$5='Conceptos Desglosados'!$H$4,VLOOKUP($A215,dormitorios,2,0),IF(L$5='Conceptos Desglosados'!$H$5,VLOOKUP($A215,comedor,2,0),IF(L$5='Conceptos Desglosados'!$H$6,VLOOKUP($A215,alojamiento,2,0),IF(L$5='Conceptos Desglosados'!$H$7,VLOOKUP($A215,sanidad,2,0),IF(L$5='Conceptos Desglosados'!$H$8,VLOOKUP($A215,servicios,2,0),IF(L$5='Conceptos Desglosados'!$H$9,VLOOKUP($A215,comyaloj,2,0),IF(L$5='Conceptos Desglosados'!$H$10,VLOOKUP($A215,comandancia,2,0),IF(L$5='Conceptos Desglosados'!$H$11,VLOOKUP($A215,mantenimiento,2,0),IF(L$5='Conceptos Desglosados'!$H$12,VLOOKUP($A215,serestatal,2,0),IF(L$5='Conceptos Desglosados'!$H$13,VLOOKUP($A215,conferencias,2,0),"")))))))))),"")*L$3,"")</f>
        <v/>
      </c>
      <c r="M215">
        <f>IFERROR(IFERROR(IF(M$5='Conceptos Desglosados'!$H$4,VLOOKUP($A215,dormitorios,2,0),IF(M$5='Conceptos Desglosados'!$H$5,VLOOKUP($A215,comedor,2,0),IF(M$5='Conceptos Desglosados'!$H$6,VLOOKUP($A215,alojamiento,2,0),IF(M$5='Conceptos Desglosados'!$H$7,VLOOKUP($A215,sanidad,2,0),IF(M$5='Conceptos Desglosados'!$H$8,VLOOKUP($A215,servicios,2,0),IF(M$5='Conceptos Desglosados'!$H$9,VLOOKUP($A215,comyaloj,2,0),IF(M$5='Conceptos Desglosados'!$H$10,VLOOKUP($A215,comandancia,2,0),IF(M$5='Conceptos Desglosados'!$H$11,VLOOKUP($A215,mantenimiento,2,0),IF(M$5='Conceptos Desglosados'!$H$12,VLOOKUP($A215,serestatal,2,0),IF(M$5='Conceptos Desglosados'!$H$13,VLOOKUP($A215,conferencias,2,0),"")))))))))),"")*M$3,"")</f>
        <v>4</v>
      </c>
      <c r="O215">
        <f>SUM(K215:M215)</f>
        <v>4</v>
      </c>
    </row>
    <row r="216" spans="1:15" x14ac:dyDescent="0.35">
      <c r="A216">
        <v>211</v>
      </c>
      <c r="B216" t="s">
        <v>10</v>
      </c>
      <c r="C216" t="s">
        <v>1259</v>
      </c>
      <c r="D216" t="s">
        <v>1260</v>
      </c>
      <c r="E216" t="s">
        <v>1</v>
      </c>
      <c r="F216" t="s">
        <v>667</v>
      </c>
      <c r="G216" t="s">
        <v>2</v>
      </c>
      <c r="H216">
        <v>1.9219999999999999</v>
      </c>
      <c r="I216">
        <v>2.7149999999999999</v>
      </c>
      <c r="J216" t="s">
        <v>6</v>
      </c>
      <c r="K216" t="str">
        <f>IFERROR(IFERROR(IF(K$5='Conceptos Desglosados'!$H$4,VLOOKUP($A216,dormitorios,2,0),IF(K$5='Conceptos Desglosados'!$H$5,VLOOKUP($A216,comedor,2,0),IF(K$5='Conceptos Desglosados'!$H$6,VLOOKUP($A216,alojamiento,2,0),IF(K$5='Conceptos Desglosados'!$H$7,VLOOKUP($A216,sanidad,2,0),IF(K$5='Conceptos Desglosados'!$H$8,VLOOKUP($A216,servicios,2,0),IF(K$5='Conceptos Desglosados'!$H$9,VLOOKUP($A216,comyaloj,2,0),IF(K$5='Conceptos Desglosados'!$H$10,VLOOKUP($A216,comandancia,2,0),IF(K$5='Conceptos Desglosados'!$H$11,VLOOKUP($A216,mantenimiento,2,0),IF(K$5='Conceptos Desglosados'!$H$12,VLOOKUP($A216,serestatal,2,0),IF(K$5='Conceptos Desglosados'!$H$13,VLOOKUP($A216,conferencias,2,0),"")))))))))),"")*K$3,"")</f>
        <v/>
      </c>
      <c r="L216" t="str">
        <f>IFERROR(IFERROR(IF(L$5='Conceptos Desglosados'!$H$4,VLOOKUP($A216,dormitorios,2,0),IF(L$5='Conceptos Desglosados'!$H$5,VLOOKUP($A216,comedor,2,0),IF(L$5='Conceptos Desglosados'!$H$6,VLOOKUP($A216,alojamiento,2,0),IF(L$5='Conceptos Desglosados'!$H$7,VLOOKUP($A216,sanidad,2,0),IF(L$5='Conceptos Desglosados'!$H$8,VLOOKUP($A216,servicios,2,0),IF(L$5='Conceptos Desglosados'!$H$9,VLOOKUP($A216,comyaloj,2,0),IF(L$5='Conceptos Desglosados'!$H$10,VLOOKUP($A216,comandancia,2,0),IF(L$5='Conceptos Desglosados'!$H$11,VLOOKUP($A216,mantenimiento,2,0),IF(L$5='Conceptos Desglosados'!$H$12,VLOOKUP($A216,serestatal,2,0),IF(L$5='Conceptos Desglosados'!$H$13,VLOOKUP($A216,conferencias,2,0),"")))))))))),"")*L$3,"")</f>
        <v/>
      </c>
      <c r="M216">
        <f>IFERROR(IFERROR(IF(M$5='Conceptos Desglosados'!$H$4,VLOOKUP($A216,dormitorios,2,0),IF(M$5='Conceptos Desglosados'!$H$5,VLOOKUP($A216,comedor,2,0),IF(M$5='Conceptos Desglosados'!$H$6,VLOOKUP($A216,alojamiento,2,0),IF(M$5='Conceptos Desglosados'!$H$7,VLOOKUP($A216,sanidad,2,0),IF(M$5='Conceptos Desglosados'!$H$8,VLOOKUP($A216,servicios,2,0),IF(M$5='Conceptos Desglosados'!$H$9,VLOOKUP($A216,comyaloj,2,0),IF(M$5='Conceptos Desglosados'!$H$10,VLOOKUP($A216,comandancia,2,0),IF(M$5='Conceptos Desglosados'!$H$11,VLOOKUP($A216,mantenimiento,2,0),IF(M$5='Conceptos Desglosados'!$H$12,VLOOKUP($A216,serestatal,2,0),IF(M$5='Conceptos Desglosados'!$H$13,VLOOKUP($A216,conferencias,2,0),"")))))))))),"")*M$3,"")</f>
        <v>4</v>
      </c>
      <c r="O216">
        <f>SUM(K216:M216)</f>
        <v>4</v>
      </c>
    </row>
    <row r="217" spans="1:15" x14ac:dyDescent="0.35">
      <c r="A217">
        <v>212</v>
      </c>
      <c r="B217" t="s">
        <v>10</v>
      </c>
      <c r="C217" t="s">
        <v>1264</v>
      </c>
      <c r="D217" t="s">
        <v>1265</v>
      </c>
      <c r="E217" t="s">
        <v>1</v>
      </c>
      <c r="F217" t="s">
        <v>667</v>
      </c>
      <c r="G217" t="s">
        <v>2</v>
      </c>
      <c r="H217">
        <v>2.2010000000000001</v>
      </c>
      <c r="I217">
        <v>2.7149999999999999</v>
      </c>
      <c r="J217" t="s">
        <v>6</v>
      </c>
      <c r="K217" t="str">
        <f>IFERROR(IFERROR(IF(K$5='Conceptos Desglosados'!$H$4,VLOOKUP($A217,dormitorios,2,0),IF(K$5='Conceptos Desglosados'!$H$5,VLOOKUP($A217,comedor,2,0),IF(K$5='Conceptos Desglosados'!$H$6,VLOOKUP($A217,alojamiento,2,0),IF(K$5='Conceptos Desglosados'!$H$7,VLOOKUP($A217,sanidad,2,0),IF(K$5='Conceptos Desglosados'!$H$8,VLOOKUP($A217,servicios,2,0),IF(K$5='Conceptos Desglosados'!$H$9,VLOOKUP($A217,comyaloj,2,0),IF(K$5='Conceptos Desglosados'!$H$10,VLOOKUP($A217,comandancia,2,0),IF(K$5='Conceptos Desglosados'!$H$11,VLOOKUP($A217,mantenimiento,2,0),IF(K$5='Conceptos Desglosados'!$H$12,VLOOKUP($A217,serestatal,2,0),IF(K$5='Conceptos Desglosados'!$H$13,VLOOKUP($A217,conferencias,2,0),"")))))))))),"")*K$3,"")</f>
        <v/>
      </c>
      <c r="L217" t="str">
        <f>IFERROR(IFERROR(IF(L$5='Conceptos Desglosados'!$H$4,VLOOKUP($A217,dormitorios,2,0),IF(L$5='Conceptos Desglosados'!$H$5,VLOOKUP($A217,comedor,2,0),IF(L$5='Conceptos Desglosados'!$H$6,VLOOKUP($A217,alojamiento,2,0),IF(L$5='Conceptos Desglosados'!$H$7,VLOOKUP($A217,sanidad,2,0),IF(L$5='Conceptos Desglosados'!$H$8,VLOOKUP($A217,servicios,2,0),IF(L$5='Conceptos Desglosados'!$H$9,VLOOKUP($A217,comyaloj,2,0),IF(L$5='Conceptos Desglosados'!$H$10,VLOOKUP($A217,comandancia,2,0),IF(L$5='Conceptos Desglosados'!$H$11,VLOOKUP($A217,mantenimiento,2,0),IF(L$5='Conceptos Desglosados'!$H$12,VLOOKUP($A217,serestatal,2,0),IF(L$5='Conceptos Desglosados'!$H$13,VLOOKUP($A217,conferencias,2,0),"")))))))))),"")*L$3,"")</f>
        <v/>
      </c>
      <c r="M217">
        <f>IFERROR(IFERROR(IF(M$5='Conceptos Desglosados'!$H$4,VLOOKUP($A217,dormitorios,2,0),IF(M$5='Conceptos Desglosados'!$H$5,VLOOKUP($A217,comedor,2,0),IF(M$5='Conceptos Desglosados'!$H$6,VLOOKUP($A217,alojamiento,2,0),IF(M$5='Conceptos Desglosados'!$H$7,VLOOKUP($A217,sanidad,2,0),IF(M$5='Conceptos Desglosados'!$H$8,VLOOKUP($A217,servicios,2,0),IF(M$5='Conceptos Desglosados'!$H$9,VLOOKUP($A217,comyaloj,2,0),IF(M$5='Conceptos Desglosados'!$H$10,VLOOKUP($A217,comandancia,2,0),IF(M$5='Conceptos Desglosados'!$H$11,VLOOKUP($A217,mantenimiento,2,0),IF(M$5='Conceptos Desglosados'!$H$12,VLOOKUP($A217,serestatal,2,0),IF(M$5='Conceptos Desglosados'!$H$13,VLOOKUP($A217,conferencias,2,0),"")))))))))),"")*M$3,"")</f>
        <v>4</v>
      </c>
      <c r="O217">
        <f>SUM(K217:M217)</f>
        <v>4</v>
      </c>
    </row>
    <row r="218" spans="1:15" x14ac:dyDescent="0.35">
      <c r="A218">
        <v>213</v>
      </c>
      <c r="B218" t="s">
        <v>10</v>
      </c>
      <c r="C218" t="s">
        <v>1273</v>
      </c>
      <c r="D218" t="s">
        <v>1274</v>
      </c>
      <c r="E218" t="s">
        <v>1</v>
      </c>
      <c r="F218" t="s">
        <v>511</v>
      </c>
      <c r="G218" t="s">
        <v>0</v>
      </c>
      <c r="H218">
        <v>1.9159999999999999</v>
      </c>
      <c r="I218">
        <v>2.7149999999999999</v>
      </c>
      <c r="J218" t="s">
        <v>6</v>
      </c>
      <c r="K218" t="str">
        <f>IFERROR(IFERROR(IF(K$5='Conceptos Desglosados'!$H$4,VLOOKUP($A218,dormitorios,2,0),IF(K$5='Conceptos Desglosados'!$H$5,VLOOKUP($A218,comedor,2,0),IF(K$5='Conceptos Desglosados'!$H$6,VLOOKUP($A218,alojamiento,2,0),IF(K$5='Conceptos Desglosados'!$H$7,VLOOKUP($A218,sanidad,2,0),IF(K$5='Conceptos Desglosados'!$H$8,VLOOKUP($A218,servicios,2,0),IF(K$5='Conceptos Desglosados'!$H$9,VLOOKUP($A218,comyaloj,2,0),IF(K$5='Conceptos Desglosados'!$H$10,VLOOKUP($A218,comandancia,2,0),IF(K$5='Conceptos Desglosados'!$H$11,VLOOKUP($A218,mantenimiento,2,0),IF(K$5='Conceptos Desglosados'!$H$12,VLOOKUP($A218,serestatal,2,0),IF(K$5='Conceptos Desglosados'!$H$13,VLOOKUP($A218,conferencias,2,0),"")))))))))),"")*K$3,"")</f>
        <v/>
      </c>
      <c r="L218" t="str">
        <f>IFERROR(IFERROR(IF(L$5='Conceptos Desglosados'!$H$4,VLOOKUP($A218,dormitorios,2,0),IF(L$5='Conceptos Desglosados'!$H$5,VLOOKUP($A218,comedor,2,0),IF(L$5='Conceptos Desglosados'!$H$6,VLOOKUP($A218,alojamiento,2,0),IF(L$5='Conceptos Desglosados'!$H$7,VLOOKUP($A218,sanidad,2,0),IF(L$5='Conceptos Desglosados'!$H$8,VLOOKUP($A218,servicios,2,0),IF(L$5='Conceptos Desglosados'!$H$9,VLOOKUP($A218,comyaloj,2,0),IF(L$5='Conceptos Desglosados'!$H$10,VLOOKUP($A218,comandancia,2,0),IF(L$5='Conceptos Desglosados'!$H$11,VLOOKUP($A218,mantenimiento,2,0),IF(L$5='Conceptos Desglosados'!$H$12,VLOOKUP($A218,serestatal,2,0),IF(L$5='Conceptos Desglosados'!$H$13,VLOOKUP($A218,conferencias,2,0),"")))))))))),"")*L$3,"")</f>
        <v/>
      </c>
      <c r="M218">
        <f>IFERROR(IFERROR(IF(M$5='Conceptos Desglosados'!$H$4,VLOOKUP($A218,dormitorios,2,0),IF(M$5='Conceptos Desglosados'!$H$5,VLOOKUP($A218,comedor,2,0),IF(M$5='Conceptos Desglosados'!$H$6,VLOOKUP($A218,alojamiento,2,0),IF(M$5='Conceptos Desglosados'!$H$7,VLOOKUP($A218,sanidad,2,0),IF(M$5='Conceptos Desglosados'!$H$8,VLOOKUP($A218,servicios,2,0),IF(M$5='Conceptos Desglosados'!$H$9,VLOOKUP($A218,comyaloj,2,0),IF(M$5='Conceptos Desglosados'!$H$10,VLOOKUP($A218,comandancia,2,0),IF(M$5='Conceptos Desglosados'!$H$11,VLOOKUP($A218,mantenimiento,2,0),IF(M$5='Conceptos Desglosados'!$H$12,VLOOKUP($A218,serestatal,2,0),IF(M$5='Conceptos Desglosados'!$H$13,VLOOKUP($A218,conferencias,2,0),"")))))))))),"")*M$3,"")</f>
        <v>4</v>
      </c>
      <c r="O218">
        <f>SUM(K218:M218)</f>
        <v>4</v>
      </c>
    </row>
    <row r="219" spans="1:15" x14ac:dyDescent="0.35">
      <c r="A219">
        <v>214</v>
      </c>
      <c r="B219" t="s">
        <v>10</v>
      </c>
      <c r="C219" t="s">
        <v>1275</v>
      </c>
      <c r="D219" t="s">
        <v>1276</v>
      </c>
      <c r="E219" t="s">
        <v>914</v>
      </c>
      <c r="F219" t="s">
        <v>511</v>
      </c>
      <c r="G219" t="s">
        <v>0</v>
      </c>
      <c r="H219">
        <v>1.968</v>
      </c>
      <c r="I219">
        <v>2.7149999999999999</v>
      </c>
      <c r="J219" t="s">
        <v>6</v>
      </c>
      <c r="K219" t="str">
        <f>IFERROR(IFERROR(IF(K$5='Conceptos Desglosados'!$H$4,VLOOKUP($A219,dormitorios,2,0),IF(K$5='Conceptos Desglosados'!$H$5,VLOOKUP($A219,comedor,2,0),IF(K$5='Conceptos Desglosados'!$H$6,VLOOKUP($A219,alojamiento,2,0),IF(K$5='Conceptos Desglosados'!$H$7,VLOOKUP($A219,sanidad,2,0),IF(K$5='Conceptos Desglosados'!$H$8,VLOOKUP($A219,servicios,2,0),IF(K$5='Conceptos Desglosados'!$H$9,VLOOKUP($A219,comyaloj,2,0),IF(K$5='Conceptos Desglosados'!$H$10,VLOOKUP($A219,comandancia,2,0),IF(K$5='Conceptos Desglosados'!$H$11,VLOOKUP($A219,mantenimiento,2,0),IF(K$5='Conceptos Desglosados'!$H$12,VLOOKUP($A219,serestatal,2,0),IF(K$5='Conceptos Desglosados'!$H$13,VLOOKUP($A219,conferencias,2,0),"")))))))))),"")*K$3,"")</f>
        <v/>
      </c>
      <c r="L219" t="str">
        <f>IFERROR(IFERROR(IF(L$5='Conceptos Desglosados'!$H$4,VLOOKUP($A219,dormitorios,2,0),IF(L$5='Conceptos Desglosados'!$H$5,VLOOKUP($A219,comedor,2,0),IF(L$5='Conceptos Desglosados'!$H$6,VLOOKUP($A219,alojamiento,2,0),IF(L$5='Conceptos Desglosados'!$H$7,VLOOKUP($A219,sanidad,2,0),IF(L$5='Conceptos Desglosados'!$H$8,VLOOKUP($A219,servicios,2,0),IF(L$5='Conceptos Desglosados'!$H$9,VLOOKUP($A219,comyaloj,2,0),IF(L$5='Conceptos Desglosados'!$H$10,VLOOKUP($A219,comandancia,2,0),IF(L$5='Conceptos Desglosados'!$H$11,VLOOKUP($A219,mantenimiento,2,0),IF(L$5='Conceptos Desglosados'!$H$12,VLOOKUP($A219,serestatal,2,0),IF(L$5='Conceptos Desglosados'!$H$13,VLOOKUP($A219,conferencias,2,0),"")))))))))),"")*L$3,"")</f>
        <v/>
      </c>
      <c r="M219">
        <f>IFERROR(IFERROR(IF(M$5='Conceptos Desglosados'!$H$4,VLOOKUP($A219,dormitorios,2,0),IF(M$5='Conceptos Desglosados'!$H$5,VLOOKUP($A219,comedor,2,0),IF(M$5='Conceptos Desglosados'!$H$6,VLOOKUP($A219,alojamiento,2,0),IF(M$5='Conceptos Desglosados'!$H$7,VLOOKUP($A219,sanidad,2,0),IF(M$5='Conceptos Desglosados'!$H$8,VLOOKUP($A219,servicios,2,0),IF(M$5='Conceptos Desglosados'!$H$9,VLOOKUP($A219,comyaloj,2,0),IF(M$5='Conceptos Desglosados'!$H$10,VLOOKUP($A219,comandancia,2,0),IF(M$5='Conceptos Desglosados'!$H$11,VLOOKUP($A219,mantenimiento,2,0),IF(M$5='Conceptos Desglosados'!$H$12,VLOOKUP($A219,serestatal,2,0),IF(M$5='Conceptos Desglosados'!$H$13,VLOOKUP($A219,conferencias,2,0),"")))))))))),"")*M$3,"")</f>
        <v>4</v>
      </c>
      <c r="O219">
        <f>SUM(K219:M219)</f>
        <v>4</v>
      </c>
    </row>
    <row r="220" spans="1:15" x14ac:dyDescent="0.35">
      <c r="A220">
        <v>215</v>
      </c>
      <c r="B220" t="s">
        <v>10</v>
      </c>
      <c r="C220" t="s">
        <v>72</v>
      </c>
      <c r="D220" t="s">
        <v>241</v>
      </c>
      <c r="E220" t="s">
        <v>22</v>
      </c>
      <c r="F220" t="s">
        <v>883</v>
      </c>
      <c r="G220" t="s">
        <v>2</v>
      </c>
      <c r="H220">
        <v>1.87</v>
      </c>
      <c r="I220">
        <v>2.7149999999999999</v>
      </c>
      <c r="J220" t="s">
        <v>6</v>
      </c>
      <c r="K220" t="str">
        <f>IFERROR(IFERROR(IF(K$5='Conceptos Desglosados'!$H$4,VLOOKUP($A220,dormitorios,2,0),IF(K$5='Conceptos Desglosados'!$H$5,VLOOKUP($A220,comedor,2,0),IF(K$5='Conceptos Desglosados'!$H$6,VLOOKUP($A220,alojamiento,2,0),IF(K$5='Conceptos Desglosados'!$H$7,VLOOKUP($A220,sanidad,2,0),IF(K$5='Conceptos Desglosados'!$H$8,VLOOKUP($A220,servicios,2,0),IF(K$5='Conceptos Desglosados'!$H$9,VLOOKUP($A220,comyaloj,2,0),IF(K$5='Conceptos Desglosados'!$H$10,VLOOKUP($A220,comandancia,2,0),IF(K$5='Conceptos Desglosados'!$H$11,VLOOKUP($A220,mantenimiento,2,0),IF(K$5='Conceptos Desglosados'!$H$12,VLOOKUP($A220,serestatal,2,0),IF(K$5='Conceptos Desglosados'!$H$13,VLOOKUP($A220,conferencias,2,0),"")))))))))),"")*K$3,"")</f>
        <v/>
      </c>
      <c r="L220" t="str">
        <f>IFERROR(IFERROR(IF(L$5='Conceptos Desglosados'!$H$4,VLOOKUP($A220,dormitorios,2,0),IF(L$5='Conceptos Desglosados'!$H$5,VLOOKUP($A220,comedor,2,0),IF(L$5='Conceptos Desglosados'!$H$6,VLOOKUP($A220,alojamiento,2,0),IF(L$5='Conceptos Desglosados'!$H$7,VLOOKUP($A220,sanidad,2,0),IF(L$5='Conceptos Desglosados'!$H$8,VLOOKUP($A220,servicios,2,0),IF(L$5='Conceptos Desglosados'!$H$9,VLOOKUP($A220,comyaloj,2,0),IF(L$5='Conceptos Desglosados'!$H$10,VLOOKUP($A220,comandancia,2,0),IF(L$5='Conceptos Desglosados'!$H$11,VLOOKUP($A220,mantenimiento,2,0),IF(L$5='Conceptos Desglosados'!$H$12,VLOOKUP($A220,serestatal,2,0),IF(L$5='Conceptos Desglosados'!$H$13,VLOOKUP($A220,conferencias,2,0),"")))))))))),"")*L$3,"")</f>
        <v/>
      </c>
      <c r="M220" t="str">
        <f>IFERROR(IFERROR(IF(M$5='Conceptos Desglosados'!$H$4,VLOOKUP($A220,dormitorios,2,0),IF(M$5='Conceptos Desglosados'!$H$5,VLOOKUP($A220,comedor,2,0),IF(M$5='Conceptos Desglosados'!$H$6,VLOOKUP($A220,alojamiento,2,0),IF(M$5='Conceptos Desglosados'!$H$7,VLOOKUP($A220,sanidad,2,0),IF(M$5='Conceptos Desglosados'!$H$8,VLOOKUP($A220,servicios,2,0),IF(M$5='Conceptos Desglosados'!$H$9,VLOOKUP($A220,comyaloj,2,0),IF(M$5='Conceptos Desglosados'!$H$10,VLOOKUP($A220,comandancia,2,0),IF(M$5='Conceptos Desglosados'!$H$11,VLOOKUP($A220,mantenimiento,2,0),IF(M$5='Conceptos Desglosados'!$H$12,VLOOKUP($A220,serestatal,2,0),IF(M$5='Conceptos Desglosados'!$H$13,VLOOKUP($A220,conferencias,2,0),"")))))))))),"")*M$3,"")</f>
        <v/>
      </c>
      <c r="O220">
        <f>SUM(K220:M220)</f>
        <v>0</v>
      </c>
    </row>
    <row r="221" spans="1:15" x14ac:dyDescent="0.35">
      <c r="A221">
        <v>216</v>
      </c>
      <c r="B221" t="s">
        <v>10</v>
      </c>
      <c r="C221" t="s">
        <v>73</v>
      </c>
      <c r="D221" t="s">
        <v>242</v>
      </c>
      <c r="E221" t="s">
        <v>22</v>
      </c>
      <c r="F221" t="s">
        <v>883</v>
      </c>
      <c r="G221" t="s">
        <v>2</v>
      </c>
      <c r="H221">
        <v>2.02</v>
      </c>
      <c r="I221">
        <v>2.7149999999999999</v>
      </c>
      <c r="J221" t="s">
        <v>6</v>
      </c>
      <c r="K221" t="str">
        <f>IFERROR(IFERROR(IF(K$5='Conceptos Desglosados'!$H$4,VLOOKUP($A221,dormitorios,2,0),IF(K$5='Conceptos Desglosados'!$H$5,VLOOKUP($A221,comedor,2,0),IF(K$5='Conceptos Desglosados'!$H$6,VLOOKUP($A221,alojamiento,2,0),IF(K$5='Conceptos Desglosados'!$H$7,VLOOKUP($A221,sanidad,2,0),IF(K$5='Conceptos Desglosados'!$H$8,VLOOKUP($A221,servicios,2,0),IF(K$5='Conceptos Desglosados'!$H$9,VLOOKUP($A221,comyaloj,2,0),IF(K$5='Conceptos Desglosados'!$H$10,VLOOKUP($A221,comandancia,2,0),IF(K$5='Conceptos Desglosados'!$H$11,VLOOKUP($A221,mantenimiento,2,0),IF(K$5='Conceptos Desglosados'!$H$12,VLOOKUP($A221,serestatal,2,0),IF(K$5='Conceptos Desglosados'!$H$13,VLOOKUP($A221,conferencias,2,0),"")))))))))),"")*K$3,"")</f>
        <v/>
      </c>
      <c r="L221" t="str">
        <f>IFERROR(IFERROR(IF(L$5='Conceptos Desglosados'!$H$4,VLOOKUP($A221,dormitorios,2,0),IF(L$5='Conceptos Desglosados'!$H$5,VLOOKUP($A221,comedor,2,0),IF(L$5='Conceptos Desglosados'!$H$6,VLOOKUP($A221,alojamiento,2,0),IF(L$5='Conceptos Desglosados'!$H$7,VLOOKUP($A221,sanidad,2,0),IF(L$5='Conceptos Desglosados'!$H$8,VLOOKUP($A221,servicios,2,0),IF(L$5='Conceptos Desglosados'!$H$9,VLOOKUP($A221,comyaloj,2,0),IF(L$5='Conceptos Desglosados'!$H$10,VLOOKUP($A221,comandancia,2,0),IF(L$5='Conceptos Desglosados'!$H$11,VLOOKUP($A221,mantenimiento,2,0),IF(L$5='Conceptos Desglosados'!$H$12,VLOOKUP($A221,serestatal,2,0),IF(L$5='Conceptos Desglosados'!$H$13,VLOOKUP($A221,conferencias,2,0),"")))))))))),"")*L$3,"")</f>
        <v/>
      </c>
      <c r="M221" t="str">
        <f>IFERROR(IFERROR(IF(M$5='Conceptos Desglosados'!$H$4,VLOOKUP($A221,dormitorios,2,0),IF(M$5='Conceptos Desglosados'!$H$5,VLOOKUP($A221,comedor,2,0),IF(M$5='Conceptos Desglosados'!$H$6,VLOOKUP($A221,alojamiento,2,0),IF(M$5='Conceptos Desglosados'!$H$7,VLOOKUP($A221,sanidad,2,0),IF(M$5='Conceptos Desglosados'!$H$8,VLOOKUP($A221,servicios,2,0),IF(M$5='Conceptos Desglosados'!$H$9,VLOOKUP($A221,comyaloj,2,0),IF(M$5='Conceptos Desglosados'!$H$10,VLOOKUP($A221,comandancia,2,0),IF(M$5='Conceptos Desglosados'!$H$11,VLOOKUP($A221,mantenimiento,2,0),IF(M$5='Conceptos Desglosados'!$H$12,VLOOKUP($A221,serestatal,2,0),IF(M$5='Conceptos Desglosados'!$H$13,VLOOKUP($A221,conferencias,2,0),"")))))))))),"")*M$3,"")</f>
        <v/>
      </c>
      <c r="O221">
        <f>SUM(K221:M221)</f>
        <v>0</v>
      </c>
    </row>
    <row r="222" spans="1:15" x14ac:dyDescent="0.35">
      <c r="A222">
        <v>217</v>
      </c>
      <c r="B222" t="s">
        <v>10</v>
      </c>
      <c r="C222" t="s">
        <v>74</v>
      </c>
      <c r="D222" t="s">
        <v>243</v>
      </c>
      <c r="E222" t="s">
        <v>22</v>
      </c>
      <c r="F222" t="s">
        <v>883</v>
      </c>
      <c r="G222" t="s">
        <v>2</v>
      </c>
      <c r="H222">
        <v>1.93</v>
      </c>
      <c r="I222">
        <v>2.7149999999999999</v>
      </c>
      <c r="J222" t="s">
        <v>6</v>
      </c>
      <c r="K222" t="str">
        <f>IFERROR(IFERROR(IF(K$5='Conceptos Desglosados'!$H$4,VLOOKUP($A222,dormitorios,2,0),IF(K$5='Conceptos Desglosados'!$H$5,VLOOKUP($A222,comedor,2,0),IF(K$5='Conceptos Desglosados'!$H$6,VLOOKUP($A222,alojamiento,2,0),IF(K$5='Conceptos Desglosados'!$H$7,VLOOKUP($A222,sanidad,2,0),IF(K$5='Conceptos Desglosados'!$H$8,VLOOKUP($A222,servicios,2,0),IF(K$5='Conceptos Desglosados'!$H$9,VLOOKUP($A222,comyaloj,2,0),IF(K$5='Conceptos Desglosados'!$H$10,VLOOKUP($A222,comandancia,2,0),IF(K$5='Conceptos Desglosados'!$H$11,VLOOKUP($A222,mantenimiento,2,0),IF(K$5='Conceptos Desglosados'!$H$12,VLOOKUP($A222,serestatal,2,0),IF(K$5='Conceptos Desglosados'!$H$13,VLOOKUP($A222,conferencias,2,0),"")))))))))),"")*K$3,"")</f>
        <v/>
      </c>
      <c r="L222" t="str">
        <f>IFERROR(IFERROR(IF(L$5='Conceptos Desglosados'!$H$4,VLOOKUP($A222,dormitorios,2,0),IF(L$5='Conceptos Desglosados'!$H$5,VLOOKUP($A222,comedor,2,0),IF(L$5='Conceptos Desglosados'!$H$6,VLOOKUP($A222,alojamiento,2,0),IF(L$5='Conceptos Desglosados'!$H$7,VLOOKUP($A222,sanidad,2,0),IF(L$5='Conceptos Desglosados'!$H$8,VLOOKUP($A222,servicios,2,0),IF(L$5='Conceptos Desglosados'!$H$9,VLOOKUP($A222,comyaloj,2,0),IF(L$5='Conceptos Desglosados'!$H$10,VLOOKUP($A222,comandancia,2,0),IF(L$5='Conceptos Desglosados'!$H$11,VLOOKUP($A222,mantenimiento,2,0),IF(L$5='Conceptos Desglosados'!$H$12,VLOOKUP($A222,serestatal,2,0),IF(L$5='Conceptos Desglosados'!$H$13,VLOOKUP($A222,conferencias,2,0),"")))))))))),"")*L$3,"")</f>
        <v/>
      </c>
      <c r="M222" t="str">
        <f>IFERROR(IFERROR(IF(M$5='Conceptos Desglosados'!$H$4,VLOOKUP($A222,dormitorios,2,0),IF(M$5='Conceptos Desglosados'!$H$5,VLOOKUP($A222,comedor,2,0),IF(M$5='Conceptos Desglosados'!$H$6,VLOOKUP($A222,alojamiento,2,0),IF(M$5='Conceptos Desglosados'!$H$7,VLOOKUP($A222,sanidad,2,0),IF(M$5='Conceptos Desglosados'!$H$8,VLOOKUP($A222,servicios,2,0),IF(M$5='Conceptos Desglosados'!$H$9,VLOOKUP($A222,comyaloj,2,0),IF(M$5='Conceptos Desglosados'!$H$10,VLOOKUP($A222,comandancia,2,0),IF(M$5='Conceptos Desglosados'!$H$11,VLOOKUP($A222,mantenimiento,2,0),IF(M$5='Conceptos Desglosados'!$H$12,VLOOKUP($A222,serestatal,2,0),IF(M$5='Conceptos Desglosados'!$H$13,VLOOKUP($A222,conferencias,2,0),"")))))))))),"")*M$3,"")</f>
        <v/>
      </c>
      <c r="O222">
        <f>SUM(K222:M222)</f>
        <v>0</v>
      </c>
    </row>
    <row r="223" spans="1:15" x14ac:dyDescent="0.35">
      <c r="A223">
        <v>218</v>
      </c>
      <c r="B223" t="s">
        <v>10</v>
      </c>
      <c r="C223" t="s">
        <v>75</v>
      </c>
      <c r="D223" t="s">
        <v>244</v>
      </c>
      <c r="E223" t="s">
        <v>22</v>
      </c>
      <c r="F223" t="s">
        <v>883</v>
      </c>
      <c r="G223" t="s">
        <v>0</v>
      </c>
      <c r="H223">
        <v>1.69</v>
      </c>
      <c r="I223">
        <v>2.7149999999999999</v>
      </c>
      <c r="J223" t="s">
        <v>6</v>
      </c>
      <c r="K223" t="str">
        <f>IFERROR(IFERROR(IF(K$5='Conceptos Desglosados'!$H$4,VLOOKUP($A223,dormitorios,2,0),IF(K$5='Conceptos Desglosados'!$H$5,VLOOKUP($A223,comedor,2,0),IF(K$5='Conceptos Desglosados'!$H$6,VLOOKUP($A223,alojamiento,2,0),IF(K$5='Conceptos Desglosados'!$H$7,VLOOKUP($A223,sanidad,2,0),IF(K$5='Conceptos Desglosados'!$H$8,VLOOKUP($A223,servicios,2,0),IF(K$5='Conceptos Desglosados'!$H$9,VLOOKUP($A223,comyaloj,2,0),IF(K$5='Conceptos Desglosados'!$H$10,VLOOKUP($A223,comandancia,2,0),IF(K$5='Conceptos Desglosados'!$H$11,VLOOKUP($A223,mantenimiento,2,0),IF(K$5='Conceptos Desglosados'!$H$12,VLOOKUP($A223,serestatal,2,0),IF(K$5='Conceptos Desglosados'!$H$13,VLOOKUP($A223,conferencias,2,0),"")))))))))),"")*K$3,"")</f>
        <v/>
      </c>
      <c r="L223" t="str">
        <f>IFERROR(IFERROR(IF(L$5='Conceptos Desglosados'!$H$4,VLOOKUP($A223,dormitorios,2,0),IF(L$5='Conceptos Desglosados'!$H$5,VLOOKUP($A223,comedor,2,0),IF(L$5='Conceptos Desglosados'!$H$6,VLOOKUP($A223,alojamiento,2,0),IF(L$5='Conceptos Desglosados'!$H$7,VLOOKUP($A223,sanidad,2,0),IF(L$5='Conceptos Desglosados'!$H$8,VLOOKUP($A223,servicios,2,0),IF(L$5='Conceptos Desglosados'!$H$9,VLOOKUP($A223,comyaloj,2,0),IF(L$5='Conceptos Desglosados'!$H$10,VLOOKUP($A223,comandancia,2,0),IF(L$5='Conceptos Desglosados'!$H$11,VLOOKUP($A223,mantenimiento,2,0),IF(L$5='Conceptos Desglosados'!$H$12,VLOOKUP($A223,serestatal,2,0),IF(L$5='Conceptos Desglosados'!$H$13,VLOOKUP($A223,conferencias,2,0),"")))))))))),"")*L$3,"")</f>
        <v/>
      </c>
      <c r="M223" t="str">
        <f>IFERROR(IFERROR(IF(M$5='Conceptos Desglosados'!$H$4,VLOOKUP($A223,dormitorios,2,0),IF(M$5='Conceptos Desglosados'!$H$5,VLOOKUP($A223,comedor,2,0),IF(M$5='Conceptos Desglosados'!$H$6,VLOOKUP($A223,alojamiento,2,0),IF(M$5='Conceptos Desglosados'!$H$7,VLOOKUP($A223,sanidad,2,0),IF(M$5='Conceptos Desglosados'!$H$8,VLOOKUP($A223,servicios,2,0),IF(M$5='Conceptos Desglosados'!$H$9,VLOOKUP($A223,comyaloj,2,0),IF(M$5='Conceptos Desglosados'!$H$10,VLOOKUP($A223,comandancia,2,0),IF(M$5='Conceptos Desglosados'!$H$11,VLOOKUP($A223,mantenimiento,2,0),IF(M$5='Conceptos Desglosados'!$H$12,VLOOKUP($A223,serestatal,2,0),IF(M$5='Conceptos Desglosados'!$H$13,VLOOKUP($A223,conferencias,2,0),"")))))))))),"")*M$3,"")</f>
        <v/>
      </c>
      <c r="O223">
        <f>SUM(K223:M223)</f>
        <v>0</v>
      </c>
    </row>
    <row r="224" spans="1:15" x14ac:dyDescent="0.35">
      <c r="A224">
        <v>219</v>
      </c>
      <c r="B224" t="s">
        <v>10</v>
      </c>
      <c r="C224" t="s">
        <v>76</v>
      </c>
      <c r="D224" t="s">
        <v>245</v>
      </c>
      <c r="E224" t="s">
        <v>22</v>
      </c>
      <c r="F224" t="s">
        <v>883</v>
      </c>
      <c r="G224" t="s">
        <v>2</v>
      </c>
      <c r="H224">
        <v>1.9750000000000001</v>
      </c>
      <c r="I224">
        <v>2.7149999999999999</v>
      </c>
      <c r="J224" t="s">
        <v>6</v>
      </c>
      <c r="K224" t="str">
        <f>IFERROR(IFERROR(IF(K$5='Conceptos Desglosados'!$H$4,VLOOKUP($A224,dormitorios,2,0),IF(K$5='Conceptos Desglosados'!$H$5,VLOOKUP($A224,comedor,2,0),IF(K$5='Conceptos Desglosados'!$H$6,VLOOKUP($A224,alojamiento,2,0),IF(K$5='Conceptos Desglosados'!$H$7,VLOOKUP($A224,sanidad,2,0),IF(K$5='Conceptos Desglosados'!$H$8,VLOOKUP($A224,servicios,2,0),IF(K$5='Conceptos Desglosados'!$H$9,VLOOKUP($A224,comyaloj,2,0),IF(K$5='Conceptos Desglosados'!$H$10,VLOOKUP($A224,comandancia,2,0),IF(K$5='Conceptos Desglosados'!$H$11,VLOOKUP($A224,mantenimiento,2,0),IF(K$5='Conceptos Desglosados'!$H$12,VLOOKUP($A224,serestatal,2,0),IF(K$5='Conceptos Desglosados'!$H$13,VLOOKUP($A224,conferencias,2,0),"")))))))))),"")*K$3,"")</f>
        <v/>
      </c>
      <c r="L224" t="str">
        <f>IFERROR(IFERROR(IF(L$5='Conceptos Desglosados'!$H$4,VLOOKUP($A224,dormitorios,2,0),IF(L$5='Conceptos Desglosados'!$H$5,VLOOKUP($A224,comedor,2,0),IF(L$5='Conceptos Desglosados'!$H$6,VLOOKUP($A224,alojamiento,2,0),IF(L$5='Conceptos Desglosados'!$H$7,VLOOKUP($A224,sanidad,2,0),IF(L$5='Conceptos Desglosados'!$H$8,VLOOKUP($A224,servicios,2,0),IF(L$5='Conceptos Desglosados'!$H$9,VLOOKUP($A224,comyaloj,2,0),IF(L$5='Conceptos Desglosados'!$H$10,VLOOKUP($A224,comandancia,2,0),IF(L$5='Conceptos Desglosados'!$H$11,VLOOKUP($A224,mantenimiento,2,0),IF(L$5='Conceptos Desglosados'!$H$12,VLOOKUP($A224,serestatal,2,0),IF(L$5='Conceptos Desglosados'!$H$13,VLOOKUP($A224,conferencias,2,0),"")))))))))),"")*L$3,"")</f>
        <v/>
      </c>
      <c r="M224" t="str">
        <f>IFERROR(IFERROR(IF(M$5='Conceptos Desglosados'!$H$4,VLOOKUP($A224,dormitorios,2,0),IF(M$5='Conceptos Desglosados'!$H$5,VLOOKUP($A224,comedor,2,0),IF(M$5='Conceptos Desglosados'!$H$6,VLOOKUP($A224,alojamiento,2,0),IF(M$5='Conceptos Desglosados'!$H$7,VLOOKUP($A224,sanidad,2,0),IF(M$5='Conceptos Desglosados'!$H$8,VLOOKUP($A224,servicios,2,0),IF(M$5='Conceptos Desglosados'!$H$9,VLOOKUP($A224,comyaloj,2,0),IF(M$5='Conceptos Desglosados'!$H$10,VLOOKUP($A224,comandancia,2,0),IF(M$5='Conceptos Desglosados'!$H$11,VLOOKUP($A224,mantenimiento,2,0),IF(M$5='Conceptos Desglosados'!$H$12,VLOOKUP($A224,serestatal,2,0),IF(M$5='Conceptos Desglosados'!$H$13,VLOOKUP($A224,conferencias,2,0),"")))))))))),"")*M$3,"")</f>
        <v/>
      </c>
      <c r="O224">
        <f>SUM(K224:M224)</f>
        <v>0</v>
      </c>
    </row>
    <row r="225" spans="1:15" x14ac:dyDescent="0.35">
      <c r="A225">
        <v>220</v>
      </c>
      <c r="B225" t="s">
        <v>10</v>
      </c>
      <c r="C225" t="s">
        <v>77</v>
      </c>
      <c r="D225" t="s">
        <v>246</v>
      </c>
      <c r="E225" t="s">
        <v>332</v>
      </c>
      <c r="F225" t="s">
        <v>883</v>
      </c>
      <c r="G225" t="s">
        <v>0</v>
      </c>
      <c r="H225">
        <v>1.86</v>
      </c>
      <c r="I225">
        <v>2.7149999999999999</v>
      </c>
      <c r="J225" t="s">
        <v>6</v>
      </c>
      <c r="K225" t="str">
        <f>IFERROR(IFERROR(IF(K$5='Conceptos Desglosados'!$H$4,VLOOKUP($A225,dormitorios,2,0),IF(K$5='Conceptos Desglosados'!$H$5,VLOOKUP($A225,comedor,2,0),IF(K$5='Conceptos Desglosados'!$H$6,VLOOKUP($A225,alojamiento,2,0),IF(K$5='Conceptos Desglosados'!$H$7,VLOOKUP($A225,sanidad,2,0),IF(K$5='Conceptos Desglosados'!$H$8,VLOOKUP($A225,servicios,2,0),IF(K$5='Conceptos Desglosados'!$H$9,VLOOKUP($A225,comyaloj,2,0),IF(K$5='Conceptos Desglosados'!$H$10,VLOOKUP($A225,comandancia,2,0),IF(K$5='Conceptos Desglosados'!$H$11,VLOOKUP($A225,mantenimiento,2,0),IF(K$5='Conceptos Desglosados'!$H$12,VLOOKUP($A225,serestatal,2,0),IF(K$5='Conceptos Desglosados'!$H$13,VLOOKUP($A225,conferencias,2,0),"")))))))))),"")*K$3,"")</f>
        <v/>
      </c>
      <c r="L225" t="str">
        <f>IFERROR(IFERROR(IF(L$5='Conceptos Desglosados'!$H$4,VLOOKUP($A225,dormitorios,2,0),IF(L$5='Conceptos Desglosados'!$H$5,VLOOKUP($A225,comedor,2,0),IF(L$5='Conceptos Desglosados'!$H$6,VLOOKUP($A225,alojamiento,2,0),IF(L$5='Conceptos Desglosados'!$H$7,VLOOKUP($A225,sanidad,2,0),IF(L$5='Conceptos Desglosados'!$H$8,VLOOKUP($A225,servicios,2,0),IF(L$5='Conceptos Desglosados'!$H$9,VLOOKUP($A225,comyaloj,2,0),IF(L$5='Conceptos Desglosados'!$H$10,VLOOKUP($A225,comandancia,2,0),IF(L$5='Conceptos Desglosados'!$H$11,VLOOKUP($A225,mantenimiento,2,0),IF(L$5='Conceptos Desglosados'!$H$12,VLOOKUP($A225,serestatal,2,0),IF(L$5='Conceptos Desglosados'!$H$13,VLOOKUP($A225,conferencias,2,0),"")))))))))),"")*L$3,"")</f>
        <v/>
      </c>
      <c r="M225" t="str">
        <f>IFERROR(IFERROR(IF(M$5='Conceptos Desglosados'!$H$4,VLOOKUP($A225,dormitorios,2,0),IF(M$5='Conceptos Desglosados'!$H$5,VLOOKUP($A225,comedor,2,0),IF(M$5='Conceptos Desglosados'!$H$6,VLOOKUP($A225,alojamiento,2,0),IF(M$5='Conceptos Desglosados'!$H$7,VLOOKUP($A225,sanidad,2,0),IF(M$5='Conceptos Desglosados'!$H$8,VLOOKUP($A225,servicios,2,0),IF(M$5='Conceptos Desglosados'!$H$9,VLOOKUP($A225,comyaloj,2,0),IF(M$5='Conceptos Desglosados'!$H$10,VLOOKUP($A225,comandancia,2,0),IF(M$5='Conceptos Desglosados'!$H$11,VLOOKUP($A225,mantenimiento,2,0),IF(M$5='Conceptos Desglosados'!$H$12,VLOOKUP($A225,serestatal,2,0),IF(M$5='Conceptos Desglosados'!$H$13,VLOOKUP($A225,conferencias,2,0),"")))))))))),"")*M$3,"")</f>
        <v/>
      </c>
      <c r="O225">
        <f>SUM(K225:M225)</f>
        <v>0</v>
      </c>
    </row>
    <row r="226" spans="1:15" x14ac:dyDescent="0.35">
      <c r="A226">
        <v>221</v>
      </c>
      <c r="B226" t="s">
        <v>10</v>
      </c>
      <c r="C226" t="s">
        <v>78</v>
      </c>
      <c r="D226" t="s">
        <v>247</v>
      </c>
      <c r="E226" t="s">
        <v>22</v>
      </c>
      <c r="F226" t="s">
        <v>883</v>
      </c>
      <c r="G226" t="s">
        <v>9</v>
      </c>
      <c r="H226">
        <v>1.9750000000000001</v>
      </c>
      <c r="I226">
        <v>2.7149999999999999</v>
      </c>
      <c r="J226" t="s">
        <v>6</v>
      </c>
      <c r="K226" t="str">
        <f>IFERROR(IFERROR(IF(K$5='Conceptos Desglosados'!$H$4,VLOOKUP($A226,dormitorios,2,0),IF(K$5='Conceptos Desglosados'!$H$5,VLOOKUP($A226,comedor,2,0),IF(K$5='Conceptos Desglosados'!$H$6,VLOOKUP($A226,alojamiento,2,0),IF(K$5='Conceptos Desglosados'!$H$7,VLOOKUP($A226,sanidad,2,0),IF(K$5='Conceptos Desglosados'!$H$8,VLOOKUP($A226,servicios,2,0),IF(K$5='Conceptos Desglosados'!$H$9,VLOOKUP($A226,comyaloj,2,0),IF(K$5='Conceptos Desglosados'!$H$10,VLOOKUP($A226,comandancia,2,0),IF(K$5='Conceptos Desglosados'!$H$11,VLOOKUP($A226,mantenimiento,2,0),IF(K$5='Conceptos Desglosados'!$H$12,VLOOKUP($A226,serestatal,2,0),IF(K$5='Conceptos Desglosados'!$H$13,VLOOKUP($A226,conferencias,2,0),"")))))))))),"")*K$3,"")</f>
        <v/>
      </c>
      <c r="L226" t="str">
        <f>IFERROR(IFERROR(IF(L$5='Conceptos Desglosados'!$H$4,VLOOKUP($A226,dormitorios,2,0),IF(L$5='Conceptos Desglosados'!$H$5,VLOOKUP($A226,comedor,2,0),IF(L$5='Conceptos Desglosados'!$H$6,VLOOKUP($A226,alojamiento,2,0),IF(L$5='Conceptos Desglosados'!$H$7,VLOOKUP($A226,sanidad,2,0),IF(L$5='Conceptos Desglosados'!$H$8,VLOOKUP($A226,servicios,2,0),IF(L$5='Conceptos Desglosados'!$H$9,VLOOKUP($A226,comyaloj,2,0),IF(L$5='Conceptos Desglosados'!$H$10,VLOOKUP($A226,comandancia,2,0),IF(L$5='Conceptos Desglosados'!$H$11,VLOOKUP($A226,mantenimiento,2,0),IF(L$5='Conceptos Desglosados'!$H$12,VLOOKUP($A226,serestatal,2,0),IF(L$5='Conceptos Desglosados'!$H$13,VLOOKUP($A226,conferencias,2,0),"")))))))))),"")*L$3,"")</f>
        <v/>
      </c>
      <c r="M226" t="str">
        <f>IFERROR(IFERROR(IF(M$5='Conceptos Desglosados'!$H$4,VLOOKUP($A226,dormitorios,2,0),IF(M$5='Conceptos Desglosados'!$H$5,VLOOKUP($A226,comedor,2,0),IF(M$5='Conceptos Desglosados'!$H$6,VLOOKUP($A226,alojamiento,2,0),IF(M$5='Conceptos Desglosados'!$H$7,VLOOKUP($A226,sanidad,2,0),IF(M$5='Conceptos Desglosados'!$H$8,VLOOKUP($A226,servicios,2,0),IF(M$5='Conceptos Desglosados'!$H$9,VLOOKUP($A226,comyaloj,2,0),IF(M$5='Conceptos Desglosados'!$H$10,VLOOKUP($A226,comandancia,2,0),IF(M$5='Conceptos Desglosados'!$H$11,VLOOKUP($A226,mantenimiento,2,0),IF(M$5='Conceptos Desglosados'!$H$12,VLOOKUP($A226,serestatal,2,0),IF(M$5='Conceptos Desglosados'!$H$13,VLOOKUP($A226,conferencias,2,0),"")))))))))),"")*M$3,"")</f>
        <v/>
      </c>
      <c r="O226">
        <f>SUM(K226:M226)</f>
        <v>0</v>
      </c>
    </row>
    <row r="227" spans="1:15" x14ac:dyDescent="0.35">
      <c r="A227">
        <v>222</v>
      </c>
      <c r="B227" t="s">
        <v>10</v>
      </c>
      <c r="C227" t="s">
        <v>79</v>
      </c>
      <c r="D227" t="s">
        <v>248</v>
      </c>
      <c r="E227" t="s">
        <v>59</v>
      </c>
      <c r="F227" t="s">
        <v>883</v>
      </c>
      <c r="G227" t="s">
        <v>0</v>
      </c>
      <c r="H227">
        <v>2.02</v>
      </c>
      <c r="I227">
        <v>2.7149999999999999</v>
      </c>
      <c r="J227" t="s">
        <v>6</v>
      </c>
      <c r="K227" t="str">
        <f>IFERROR(IFERROR(IF(K$5='Conceptos Desglosados'!$H$4,VLOOKUP($A227,dormitorios,2,0),IF(K$5='Conceptos Desglosados'!$H$5,VLOOKUP($A227,comedor,2,0),IF(K$5='Conceptos Desglosados'!$H$6,VLOOKUP($A227,alojamiento,2,0),IF(K$5='Conceptos Desglosados'!$H$7,VLOOKUP($A227,sanidad,2,0),IF(K$5='Conceptos Desglosados'!$H$8,VLOOKUP($A227,servicios,2,0),IF(K$5='Conceptos Desglosados'!$H$9,VLOOKUP($A227,comyaloj,2,0),IF(K$5='Conceptos Desglosados'!$H$10,VLOOKUP($A227,comandancia,2,0),IF(K$5='Conceptos Desglosados'!$H$11,VLOOKUP($A227,mantenimiento,2,0),IF(K$5='Conceptos Desglosados'!$H$12,VLOOKUP($A227,serestatal,2,0),IF(K$5='Conceptos Desglosados'!$H$13,VLOOKUP($A227,conferencias,2,0),"")))))))))),"")*K$3,"")</f>
        <v/>
      </c>
      <c r="L227" t="str">
        <f>IFERROR(IFERROR(IF(L$5='Conceptos Desglosados'!$H$4,VLOOKUP($A227,dormitorios,2,0),IF(L$5='Conceptos Desglosados'!$H$5,VLOOKUP($A227,comedor,2,0),IF(L$5='Conceptos Desglosados'!$H$6,VLOOKUP($A227,alojamiento,2,0),IF(L$5='Conceptos Desglosados'!$H$7,VLOOKUP($A227,sanidad,2,0),IF(L$5='Conceptos Desglosados'!$H$8,VLOOKUP($A227,servicios,2,0),IF(L$5='Conceptos Desglosados'!$H$9,VLOOKUP($A227,comyaloj,2,0),IF(L$5='Conceptos Desglosados'!$H$10,VLOOKUP($A227,comandancia,2,0),IF(L$5='Conceptos Desglosados'!$H$11,VLOOKUP($A227,mantenimiento,2,0),IF(L$5='Conceptos Desglosados'!$H$12,VLOOKUP($A227,serestatal,2,0),IF(L$5='Conceptos Desglosados'!$H$13,VLOOKUP($A227,conferencias,2,0),"")))))))))),"")*L$3,"")</f>
        <v/>
      </c>
      <c r="M227" t="str">
        <f>IFERROR(IFERROR(IF(M$5='Conceptos Desglosados'!$H$4,VLOOKUP($A227,dormitorios,2,0),IF(M$5='Conceptos Desglosados'!$H$5,VLOOKUP($A227,comedor,2,0),IF(M$5='Conceptos Desglosados'!$H$6,VLOOKUP($A227,alojamiento,2,0),IF(M$5='Conceptos Desglosados'!$H$7,VLOOKUP($A227,sanidad,2,0),IF(M$5='Conceptos Desglosados'!$H$8,VLOOKUP($A227,servicios,2,0),IF(M$5='Conceptos Desglosados'!$H$9,VLOOKUP($A227,comyaloj,2,0),IF(M$5='Conceptos Desglosados'!$H$10,VLOOKUP($A227,comandancia,2,0),IF(M$5='Conceptos Desglosados'!$H$11,VLOOKUP($A227,mantenimiento,2,0),IF(M$5='Conceptos Desglosados'!$H$12,VLOOKUP($A227,serestatal,2,0),IF(M$5='Conceptos Desglosados'!$H$13,VLOOKUP($A227,conferencias,2,0),"")))))))))),"")*M$3,"")</f>
        <v/>
      </c>
      <c r="O227">
        <f>SUM(K227:M227)</f>
        <v>0</v>
      </c>
    </row>
    <row r="228" spans="1:15" x14ac:dyDescent="0.35">
      <c r="A228">
        <v>223</v>
      </c>
      <c r="B228" t="s">
        <v>10</v>
      </c>
      <c r="C228" t="s">
        <v>80</v>
      </c>
      <c r="D228" t="s">
        <v>249</v>
      </c>
      <c r="E228" t="s">
        <v>1150</v>
      </c>
      <c r="F228" t="s">
        <v>883</v>
      </c>
      <c r="G228" t="s">
        <v>0</v>
      </c>
      <c r="H228">
        <v>1.9750000000000001</v>
      </c>
      <c r="I228">
        <v>2.7149999999999999</v>
      </c>
      <c r="J228" t="s">
        <v>6</v>
      </c>
      <c r="K228" t="str">
        <f>IFERROR(IFERROR(IF(K$5='Conceptos Desglosados'!$H$4,VLOOKUP($A228,dormitorios,2,0),IF(K$5='Conceptos Desglosados'!$H$5,VLOOKUP($A228,comedor,2,0),IF(K$5='Conceptos Desglosados'!$H$6,VLOOKUP($A228,alojamiento,2,0),IF(K$5='Conceptos Desglosados'!$H$7,VLOOKUP($A228,sanidad,2,0),IF(K$5='Conceptos Desglosados'!$H$8,VLOOKUP($A228,servicios,2,0),IF(K$5='Conceptos Desglosados'!$H$9,VLOOKUP($A228,comyaloj,2,0),IF(K$5='Conceptos Desglosados'!$H$10,VLOOKUP($A228,comandancia,2,0),IF(K$5='Conceptos Desglosados'!$H$11,VLOOKUP($A228,mantenimiento,2,0),IF(K$5='Conceptos Desglosados'!$H$12,VLOOKUP($A228,serestatal,2,0),IF(K$5='Conceptos Desglosados'!$H$13,VLOOKUP($A228,conferencias,2,0),"")))))))))),"")*K$3,"")</f>
        <v/>
      </c>
      <c r="L228" t="str">
        <f>IFERROR(IFERROR(IF(L$5='Conceptos Desglosados'!$H$4,VLOOKUP($A228,dormitorios,2,0),IF(L$5='Conceptos Desglosados'!$H$5,VLOOKUP($A228,comedor,2,0),IF(L$5='Conceptos Desglosados'!$H$6,VLOOKUP($A228,alojamiento,2,0),IF(L$5='Conceptos Desglosados'!$H$7,VLOOKUP($A228,sanidad,2,0),IF(L$5='Conceptos Desglosados'!$H$8,VLOOKUP($A228,servicios,2,0),IF(L$5='Conceptos Desglosados'!$H$9,VLOOKUP($A228,comyaloj,2,0),IF(L$5='Conceptos Desglosados'!$H$10,VLOOKUP($A228,comandancia,2,0),IF(L$5='Conceptos Desglosados'!$H$11,VLOOKUP($A228,mantenimiento,2,0),IF(L$5='Conceptos Desglosados'!$H$12,VLOOKUP($A228,serestatal,2,0),IF(L$5='Conceptos Desglosados'!$H$13,VLOOKUP($A228,conferencias,2,0),"")))))))))),"")*L$3,"")</f>
        <v/>
      </c>
      <c r="M228">
        <f>IFERROR(IFERROR(IF(M$5='Conceptos Desglosados'!$H$4,VLOOKUP($A228,dormitorios,2,0),IF(M$5='Conceptos Desglosados'!$H$5,VLOOKUP($A228,comedor,2,0),IF(M$5='Conceptos Desglosados'!$H$6,VLOOKUP($A228,alojamiento,2,0),IF(M$5='Conceptos Desglosados'!$H$7,VLOOKUP($A228,sanidad,2,0),IF(M$5='Conceptos Desglosados'!$H$8,VLOOKUP($A228,servicios,2,0),IF(M$5='Conceptos Desglosados'!$H$9,VLOOKUP($A228,comyaloj,2,0),IF(M$5='Conceptos Desglosados'!$H$10,VLOOKUP($A228,comandancia,2,0),IF(M$5='Conceptos Desglosados'!$H$11,VLOOKUP($A228,mantenimiento,2,0),IF(M$5='Conceptos Desglosados'!$H$12,VLOOKUP($A228,serestatal,2,0),IF(M$5='Conceptos Desglosados'!$H$13,VLOOKUP($A228,conferencias,2,0),"")))))))))),"")*M$3,"")</f>
        <v>4</v>
      </c>
      <c r="O228">
        <f>SUM(K228:M228)</f>
        <v>4</v>
      </c>
    </row>
    <row r="229" spans="1:15" x14ac:dyDescent="0.35">
      <c r="A229">
        <v>224</v>
      </c>
      <c r="B229" t="s">
        <v>10</v>
      </c>
      <c r="C229" t="s">
        <v>81</v>
      </c>
      <c r="D229" t="s">
        <v>250</v>
      </c>
      <c r="E229" t="s">
        <v>22</v>
      </c>
      <c r="F229" t="s">
        <v>883</v>
      </c>
      <c r="G229" t="s">
        <v>0</v>
      </c>
      <c r="H229">
        <v>2.02</v>
      </c>
      <c r="I229">
        <v>2.7149999999999999</v>
      </c>
      <c r="J229" t="s">
        <v>6</v>
      </c>
      <c r="K229" t="str">
        <f>IFERROR(IFERROR(IF(K$5='Conceptos Desglosados'!$H$4,VLOOKUP($A229,dormitorios,2,0),IF(K$5='Conceptos Desglosados'!$H$5,VLOOKUP($A229,comedor,2,0),IF(K$5='Conceptos Desglosados'!$H$6,VLOOKUP($A229,alojamiento,2,0),IF(K$5='Conceptos Desglosados'!$H$7,VLOOKUP($A229,sanidad,2,0),IF(K$5='Conceptos Desglosados'!$H$8,VLOOKUP($A229,servicios,2,0),IF(K$5='Conceptos Desglosados'!$H$9,VLOOKUP($A229,comyaloj,2,0),IF(K$5='Conceptos Desglosados'!$H$10,VLOOKUP($A229,comandancia,2,0),IF(K$5='Conceptos Desglosados'!$H$11,VLOOKUP($A229,mantenimiento,2,0),IF(K$5='Conceptos Desglosados'!$H$12,VLOOKUP($A229,serestatal,2,0),IF(K$5='Conceptos Desglosados'!$H$13,VLOOKUP($A229,conferencias,2,0),"")))))))))),"")*K$3,"")</f>
        <v/>
      </c>
      <c r="L229" t="str">
        <f>IFERROR(IFERROR(IF(L$5='Conceptos Desglosados'!$H$4,VLOOKUP($A229,dormitorios,2,0),IF(L$5='Conceptos Desglosados'!$H$5,VLOOKUP($A229,comedor,2,0),IF(L$5='Conceptos Desglosados'!$H$6,VLOOKUP($A229,alojamiento,2,0),IF(L$5='Conceptos Desglosados'!$H$7,VLOOKUP($A229,sanidad,2,0),IF(L$5='Conceptos Desglosados'!$H$8,VLOOKUP($A229,servicios,2,0),IF(L$5='Conceptos Desglosados'!$H$9,VLOOKUP($A229,comyaloj,2,0),IF(L$5='Conceptos Desglosados'!$H$10,VLOOKUP($A229,comandancia,2,0),IF(L$5='Conceptos Desglosados'!$H$11,VLOOKUP($A229,mantenimiento,2,0),IF(L$5='Conceptos Desglosados'!$H$12,VLOOKUP($A229,serestatal,2,0),IF(L$5='Conceptos Desglosados'!$H$13,VLOOKUP($A229,conferencias,2,0),"")))))))))),"")*L$3,"")</f>
        <v/>
      </c>
      <c r="M229" t="str">
        <f>IFERROR(IFERROR(IF(M$5='Conceptos Desglosados'!$H$4,VLOOKUP($A229,dormitorios,2,0),IF(M$5='Conceptos Desglosados'!$H$5,VLOOKUP($A229,comedor,2,0),IF(M$5='Conceptos Desglosados'!$H$6,VLOOKUP($A229,alojamiento,2,0),IF(M$5='Conceptos Desglosados'!$H$7,VLOOKUP($A229,sanidad,2,0),IF(M$5='Conceptos Desglosados'!$H$8,VLOOKUP($A229,servicios,2,0),IF(M$5='Conceptos Desglosados'!$H$9,VLOOKUP($A229,comyaloj,2,0),IF(M$5='Conceptos Desglosados'!$H$10,VLOOKUP($A229,comandancia,2,0),IF(M$5='Conceptos Desglosados'!$H$11,VLOOKUP($A229,mantenimiento,2,0),IF(M$5='Conceptos Desglosados'!$H$12,VLOOKUP($A229,serestatal,2,0),IF(M$5='Conceptos Desglosados'!$H$13,VLOOKUP($A229,conferencias,2,0),"")))))))))),"")*M$3,"")</f>
        <v/>
      </c>
      <c r="O229">
        <f>SUM(K229:M229)</f>
        <v>0</v>
      </c>
    </row>
    <row r="230" spans="1:15" x14ac:dyDescent="0.35">
      <c r="A230">
        <v>225</v>
      </c>
      <c r="B230" t="s">
        <v>10</v>
      </c>
      <c r="C230" t="s">
        <v>82</v>
      </c>
      <c r="D230" t="s">
        <v>251</v>
      </c>
      <c r="E230" t="s">
        <v>22</v>
      </c>
      <c r="F230" t="s">
        <v>883</v>
      </c>
      <c r="G230" t="s">
        <v>0</v>
      </c>
      <c r="H230">
        <v>1.95</v>
      </c>
      <c r="I230">
        <v>2.7149999999999999</v>
      </c>
      <c r="J230" t="s">
        <v>6</v>
      </c>
      <c r="K230" t="str">
        <f>IFERROR(IFERROR(IF(K$5='Conceptos Desglosados'!$H$4,VLOOKUP($A230,dormitorios,2,0),IF(K$5='Conceptos Desglosados'!$H$5,VLOOKUP($A230,comedor,2,0),IF(K$5='Conceptos Desglosados'!$H$6,VLOOKUP($A230,alojamiento,2,0),IF(K$5='Conceptos Desglosados'!$H$7,VLOOKUP($A230,sanidad,2,0),IF(K$5='Conceptos Desglosados'!$H$8,VLOOKUP($A230,servicios,2,0),IF(K$5='Conceptos Desglosados'!$H$9,VLOOKUP($A230,comyaloj,2,0),IF(K$5='Conceptos Desglosados'!$H$10,VLOOKUP($A230,comandancia,2,0),IF(K$5='Conceptos Desglosados'!$H$11,VLOOKUP($A230,mantenimiento,2,0),IF(K$5='Conceptos Desglosados'!$H$12,VLOOKUP($A230,serestatal,2,0),IF(K$5='Conceptos Desglosados'!$H$13,VLOOKUP($A230,conferencias,2,0),"")))))))))),"")*K$3,"")</f>
        <v/>
      </c>
      <c r="L230" t="str">
        <f>IFERROR(IFERROR(IF(L$5='Conceptos Desglosados'!$H$4,VLOOKUP($A230,dormitorios,2,0),IF(L$5='Conceptos Desglosados'!$H$5,VLOOKUP($A230,comedor,2,0),IF(L$5='Conceptos Desglosados'!$H$6,VLOOKUP($A230,alojamiento,2,0),IF(L$5='Conceptos Desglosados'!$H$7,VLOOKUP($A230,sanidad,2,0),IF(L$5='Conceptos Desglosados'!$H$8,VLOOKUP($A230,servicios,2,0),IF(L$5='Conceptos Desglosados'!$H$9,VLOOKUP($A230,comyaloj,2,0),IF(L$5='Conceptos Desglosados'!$H$10,VLOOKUP($A230,comandancia,2,0),IF(L$5='Conceptos Desglosados'!$H$11,VLOOKUP($A230,mantenimiento,2,0),IF(L$5='Conceptos Desglosados'!$H$12,VLOOKUP($A230,serestatal,2,0),IF(L$5='Conceptos Desglosados'!$H$13,VLOOKUP($A230,conferencias,2,0),"")))))))))),"")*L$3,"")</f>
        <v/>
      </c>
      <c r="M230" t="str">
        <f>IFERROR(IFERROR(IF(M$5='Conceptos Desglosados'!$H$4,VLOOKUP($A230,dormitorios,2,0),IF(M$5='Conceptos Desglosados'!$H$5,VLOOKUP($A230,comedor,2,0),IF(M$5='Conceptos Desglosados'!$H$6,VLOOKUP($A230,alojamiento,2,0),IF(M$5='Conceptos Desglosados'!$H$7,VLOOKUP($A230,sanidad,2,0),IF(M$5='Conceptos Desglosados'!$H$8,VLOOKUP($A230,servicios,2,0),IF(M$5='Conceptos Desglosados'!$H$9,VLOOKUP($A230,comyaloj,2,0),IF(M$5='Conceptos Desglosados'!$H$10,VLOOKUP($A230,comandancia,2,0),IF(M$5='Conceptos Desglosados'!$H$11,VLOOKUP($A230,mantenimiento,2,0),IF(M$5='Conceptos Desglosados'!$H$12,VLOOKUP($A230,serestatal,2,0),IF(M$5='Conceptos Desglosados'!$H$13,VLOOKUP($A230,conferencias,2,0),"")))))))))),"")*M$3,"")</f>
        <v/>
      </c>
      <c r="O230">
        <f>SUM(K230:M230)</f>
        <v>0</v>
      </c>
    </row>
    <row r="231" spans="1:15" x14ac:dyDescent="0.35">
      <c r="A231">
        <v>226</v>
      </c>
      <c r="B231" t="s">
        <v>10</v>
      </c>
      <c r="C231" t="s">
        <v>83</v>
      </c>
      <c r="D231" t="s">
        <v>252</v>
      </c>
      <c r="E231" t="s">
        <v>22</v>
      </c>
      <c r="F231" t="s">
        <v>883</v>
      </c>
      <c r="G231" t="s">
        <v>2</v>
      </c>
      <c r="H231">
        <v>1.95</v>
      </c>
      <c r="I231">
        <v>2.7149999999999999</v>
      </c>
      <c r="J231" t="s">
        <v>6</v>
      </c>
      <c r="K231" t="str">
        <f>IFERROR(IFERROR(IF(K$5='Conceptos Desglosados'!$H$4,VLOOKUP($A231,dormitorios,2,0),IF(K$5='Conceptos Desglosados'!$H$5,VLOOKUP($A231,comedor,2,0),IF(K$5='Conceptos Desglosados'!$H$6,VLOOKUP($A231,alojamiento,2,0),IF(K$5='Conceptos Desglosados'!$H$7,VLOOKUP($A231,sanidad,2,0),IF(K$5='Conceptos Desglosados'!$H$8,VLOOKUP($A231,servicios,2,0),IF(K$5='Conceptos Desglosados'!$H$9,VLOOKUP($A231,comyaloj,2,0),IF(K$5='Conceptos Desglosados'!$H$10,VLOOKUP($A231,comandancia,2,0),IF(K$5='Conceptos Desglosados'!$H$11,VLOOKUP($A231,mantenimiento,2,0),IF(K$5='Conceptos Desglosados'!$H$12,VLOOKUP($A231,serestatal,2,0),IF(K$5='Conceptos Desglosados'!$H$13,VLOOKUP($A231,conferencias,2,0),"")))))))))),"")*K$3,"")</f>
        <v/>
      </c>
      <c r="L231" t="str">
        <f>IFERROR(IFERROR(IF(L$5='Conceptos Desglosados'!$H$4,VLOOKUP($A231,dormitorios,2,0),IF(L$5='Conceptos Desglosados'!$H$5,VLOOKUP($A231,comedor,2,0),IF(L$5='Conceptos Desglosados'!$H$6,VLOOKUP($A231,alojamiento,2,0),IF(L$5='Conceptos Desglosados'!$H$7,VLOOKUP($A231,sanidad,2,0),IF(L$5='Conceptos Desglosados'!$H$8,VLOOKUP($A231,servicios,2,0),IF(L$5='Conceptos Desglosados'!$H$9,VLOOKUP($A231,comyaloj,2,0),IF(L$5='Conceptos Desglosados'!$H$10,VLOOKUP($A231,comandancia,2,0),IF(L$5='Conceptos Desglosados'!$H$11,VLOOKUP($A231,mantenimiento,2,0),IF(L$5='Conceptos Desglosados'!$H$12,VLOOKUP($A231,serestatal,2,0),IF(L$5='Conceptos Desglosados'!$H$13,VLOOKUP($A231,conferencias,2,0),"")))))))))),"")*L$3,"")</f>
        <v/>
      </c>
      <c r="M231" t="str">
        <f>IFERROR(IFERROR(IF(M$5='Conceptos Desglosados'!$H$4,VLOOKUP($A231,dormitorios,2,0),IF(M$5='Conceptos Desglosados'!$H$5,VLOOKUP($A231,comedor,2,0),IF(M$5='Conceptos Desglosados'!$H$6,VLOOKUP($A231,alojamiento,2,0),IF(M$5='Conceptos Desglosados'!$H$7,VLOOKUP($A231,sanidad,2,0),IF(M$5='Conceptos Desglosados'!$H$8,VLOOKUP($A231,servicios,2,0),IF(M$5='Conceptos Desglosados'!$H$9,VLOOKUP($A231,comyaloj,2,0),IF(M$5='Conceptos Desglosados'!$H$10,VLOOKUP($A231,comandancia,2,0),IF(M$5='Conceptos Desglosados'!$H$11,VLOOKUP($A231,mantenimiento,2,0),IF(M$5='Conceptos Desglosados'!$H$12,VLOOKUP($A231,serestatal,2,0),IF(M$5='Conceptos Desglosados'!$H$13,VLOOKUP($A231,conferencias,2,0),"")))))))))),"")*M$3,"")</f>
        <v/>
      </c>
      <c r="O231">
        <f>SUM(K231:M231)</f>
        <v>0</v>
      </c>
    </row>
    <row r="232" spans="1:15" x14ac:dyDescent="0.35">
      <c r="A232">
        <v>227</v>
      </c>
      <c r="B232" t="s">
        <v>10</v>
      </c>
      <c r="C232" t="s">
        <v>84</v>
      </c>
      <c r="D232" t="s">
        <v>253</v>
      </c>
      <c r="E232" t="s">
        <v>22</v>
      </c>
      <c r="F232" t="s">
        <v>883</v>
      </c>
      <c r="G232" t="s">
        <v>0</v>
      </c>
      <c r="H232">
        <v>1.96</v>
      </c>
      <c r="I232">
        <v>2.7149999999999999</v>
      </c>
      <c r="J232" t="s">
        <v>6</v>
      </c>
      <c r="K232" t="str">
        <f>IFERROR(IFERROR(IF(K$5='Conceptos Desglosados'!$H$4,VLOOKUP($A232,dormitorios,2,0),IF(K$5='Conceptos Desglosados'!$H$5,VLOOKUP($A232,comedor,2,0),IF(K$5='Conceptos Desglosados'!$H$6,VLOOKUP($A232,alojamiento,2,0),IF(K$5='Conceptos Desglosados'!$H$7,VLOOKUP($A232,sanidad,2,0),IF(K$5='Conceptos Desglosados'!$H$8,VLOOKUP($A232,servicios,2,0),IF(K$5='Conceptos Desglosados'!$H$9,VLOOKUP($A232,comyaloj,2,0),IF(K$5='Conceptos Desglosados'!$H$10,VLOOKUP($A232,comandancia,2,0),IF(K$5='Conceptos Desglosados'!$H$11,VLOOKUP($A232,mantenimiento,2,0),IF(K$5='Conceptos Desglosados'!$H$12,VLOOKUP($A232,serestatal,2,0),IF(K$5='Conceptos Desglosados'!$H$13,VLOOKUP($A232,conferencias,2,0),"")))))))))),"")*K$3,"")</f>
        <v/>
      </c>
      <c r="L232" t="str">
        <f>IFERROR(IFERROR(IF(L$5='Conceptos Desglosados'!$H$4,VLOOKUP($A232,dormitorios,2,0),IF(L$5='Conceptos Desglosados'!$H$5,VLOOKUP($A232,comedor,2,0),IF(L$5='Conceptos Desglosados'!$H$6,VLOOKUP($A232,alojamiento,2,0),IF(L$5='Conceptos Desglosados'!$H$7,VLOOKUP($A232,sanidad,2,0),IF(L$5='Conceptos Desglosados'!$H$8,VLOOKUP($A232,servicios,2,0),IF(L$5='Conceptos Desglosados'!$H$9,VLOOKUP($A232,comyaloj,2,0),IF(L$5='Conceptos Desglosados'!$H$10,VLOOKUP($A232,comandancia,2,0),IF(L$5='Conceptos Desglosados'!$H$11,VLOOKUP($A232,mantenimiento,2,0),IF(L$5='Conceptos Desglosados'!$H$12,VLOOKUP($A232,serestatal,2,0),IF(L$5='Conceptos Desglosados'!$H$13,VLOOKUP($A232,conferencias,2,0),"")))))))))),"")*L$3,"")</f>
        <v/>
      </c>
      <c r="M232" t="str">
        <f>IFERROR(IFERROR(IF(M$5='Conceptos Desglosados'!$H$4,VLOOKUP($A232,dormitorios,2,0),IF(M$5='Conceptos Desglosados'!$H$5,VLOOKUP($A232,comedor,2,0),IF(M$5='Conceptos Desglosados'!$H$6,VLOOKUP($A232,alojamiento,2,0),IF(M$5='Conceptos Desglosados'!$H$7,VLOOKUP($A232,sanidad,2,0),IF(M$5='Conceptos Desglosados'!$H$8,VLOOKUP($A232,servicios,2,0),IF(M$5='Conceptos Desglosados'!$H$9,VLOOKUP($A232,comyaloj,2,0),IF(M$5='Conceptos Desglosados'!$H$10,VLOOKUP($A232,comandancia,2,0),IF(M$5='Conceptos Desglosados'!$H$11,VLOOKUP($A232,mantenimiento,2,0),IF(M$5='Conceptos Desglosados'!$H$12,VLOOKUP($A232,serestatal,2,0),IF(M$5='Conceptos Desglosados'!$H$13,VLOOKUP($A232,conferencias,2,0),"")))))))))),"")*M$3,"")</f>
        <v/>
      </c>
      <c r="O232">
        <f>SUM(K232:M232)</f>
        <v>0</v>
      </c>
    </row>
    <row r="233" spans="1:15" x14ac:dyDescent="0.35">
      <c r="A233">
        <v>228</v>
      </c>
      <c r="B233" t="s">
        <v>10</v>
      </c>
      <c r="C233" t="s">
        <v>117</v>
      </c>
      <c r="D233" t="s">
        <v>254</v>
      </c>
      <c r="E233" t="s">
        <v>347</v>
      </c>
      <c r="F233" t="s">
        <v>883</v>
      </c>
      <c r="G233" t="s">
        <v>0</v>
      </c>
      <c r="H233">
        <v>1.66</v>
      </c>
      <c r="I233">
        <v>2.7149999999999999</v>
      </c>
      <c r="J233" t="s">
        <v>6</v>
      </c>
      <c r="K233" t="str">
        <f>IFERROR(IFERROR(IF(K$5='Conceptos Desglosados'!$H$4,VLOOKUP($A233,dormitorios,2,0),IF(K$5='Conceptos Desglosados'!$H$5,VLOOKUP($A233,comedor,2,0),IF(K$5='Conceptos Desglosados'!$H$6,VLOOKUP($A233,alojamiento,2,0),IF(K$5='Conceptos Desglosados'!$H$7,VLOOKUP($A233,sanidad,2,0),IF(K$5='Conceptos Desglosados'!$H$8,VLOOKUP($A233,servicios,2,0),IF(K$5='Conceptos Desglosados'!$H$9,VLOOKUP($A233,comyaloj,2,0),IF(K$5='Conceptos Desglosados'!$H$10,VLOOKUP($A233,comandancia,2,0),IF(K$5='Conceptos Desglosados'!$H$11,VLOOKUP($A233,mantenimiento,2,0),IF(K$5='Conceptos Desglosados'!$H$12,VLOOKUP($A233,serestatal,2,0),IF(K$5='Conceptos Desglosados'!$H$13,VLOOKUP($A233,conferencias,2,0),"")))))))))),"")*K$3,"")</f>
        <v/>
      </c>
      <c r="L233" t="str">
        <f>IFERROR(IFERROR(IF(L$5='Conceptos Desglosados'!$H$4,VLOOKUP($A233,dormitorios,2,0),IF(L$5='Conceptos Desglosados'!$H$5,VLOOKUP($A233,comedor,2,0),IF(L$5='Conceptos Desglosados'!$H$6,VLOOKUP($A233,alojamiento,2,0),IF(L$5='Conceptos Desglosados'!$H$7,VLOOKUP($A233,sanidad,2,0),IF(L$5='Conceptos Desglosados'!$H$8,VLOOKUP($A233,servicios,2,0),IF(L$5='Conceptos Desglosados'!$H$9,VLOOKUP($A233,comyaloj,2,0),IF(L$5='Conceptos Desglosados'!$H$10,VLOOKUP($A233,comandancia,2,0),IF(L$5='Conceptos Desglosados'!$H$11,VLOOKUP($A233,mantenimiento,2,0),IF(L$5='Conceptos Desglosados'!$H$12,VLOOKUP($A233,serestatal,2,0),IF(L$5='Conceptos Desglosados'!$H$13,VLOOKUP($A233,conferencias,2,0),"")))))))))),"")*L$3,"")</f>
        <v/>
      </c>
      <c r="M233" t="str">
        <f>IFERROR(IFERROR(IF(M$5='Conceptos Desglosados'!$H$4,VLOOKUP($A233,dormitorios,2,0),IF(M$5='Conceptos Desglosados'!$H$5,VLOOKUP($A233,comedor,2,0),IF(M$5='Conceptos Desglosados'!$H$6,VLOOKUP($A233,alojamiento,2,0),IF(M$5='Conceptos Desglosados'!$H$7,VLOOKUP($A233,sanidad,2,0),IF(M$5='Conceptos Desglosados'!$H$8,VLOOKUP($A233,servicios,2,0),IF(M$5='Conceptos Desglosados'!$H$9,VLOOKUP($A233,comyaloj,2,0),IF(M$5='Conceptos Desglosados'!$H$10,VLOOKUP($A233,comandancia,2,0),IF(M$5='Conceptos Desglosados'!$H$11,VLOOKUP($A233,mantenimiento,2,0),IF(M$5='Conceptos Desglosados'!$H$12,VLOOKUP($A233,serestatal,2,0),IF(M$5='Conceptos Desglosados'!$H$13,VLOOKUP($A233,conferencias,2,0),"")))))))))),"")*M$3,"")</f>
        <v/>
      </c>
      <c r="O233">
        <f>SUM(K233:M233)</f>
        <v>0</v>
      </c>
    </row>
    <row r="234" spans="1:15" x14ac:dyDescent="0.35">
      <c r="A234">
        <v>229</v>
      </c>
      <c r="B234" t="s">
        <v>10</v>
      </c>
      <c r="C234" t="s">
        <v>174</v>
      </c>
      <c r="D234" t="s">
        <v>255</v>
      </c>
      <c r="E234" t="s">
        <v>22</v>
      </c>
      <c r="F234" t="s">
        <v>883</v>
      </c>
      <c r="G234" t="s">
        <v>5</v>
      </c>
      <c r="H234">
        <v>1.93</v>
      </c>
      <c r="I234">
        <v>2.7149999999999999</v>
      </c>
      <c r="J234" t="s">
        <v>6</v>
      </c>
      <c r="K234" t="str">
        <f>IFERROR(IFERROR(IF(K$5='Conceptos Desglosados'!$H$4,VLOOKUP($A234,dormitorios,2,0),IF(K$5='Conceptos Desglosados'!$H$5,VLOOKUP($A234,comedor,2,0),IF(K$5='Conceptos Desglosados'!$H$6,VLOOKUP($A234,alojamiento,2,0),IF(K$5='Conceptos Desglosados'!$H$7,VLOOKUP($A234,sanidad,2,0),IF(K$5='Conceptos Desglosados'!$H$8,VLOOKUP($A234,servicios,2,0),IF(K$5='Conceptos Desglosados'!$H$9,VLOOKUP($A234,comyaloj,2,0),IF(K$5='Conceptos Desglosados'!$H$10,VLOOKUP($A234,comandancia,2,0),IF(K$5='Conceptos Desglosados'!$H$11,VLOOKUP($A234,mantenimiento,2,0),IF(K$5='Conceptos Desglosados'!$H$12,VLOOKUP($A234,serestatal,2,0),IF(K$5='Conceptos Desglosados'!$H$13,VLOOKUP($A234,conferencias,2,0),"")))))))))),"")*K$3,"")</f>
        <v/>
      </c>
      <c r="L234" t="str">
        <f>IFERROR(IFERROR(IF(L$5='Conceptos Desglosados'!$H$4,VLOOKUP($A234,dormitorios,2,0),IF(L$5='Conceptos Desglosados'!$H$5,VLOOKUP($A234,comedor,2,0),IF(L$5='Conceptos Desglosados'!$H$6,VLOOKUP($A234,alojamiento,2,0),IF(L$5='Conceptos Desglosados'!$H$7,VLOOKUP($A234,sanidad,2,0),IF(L$5='Conceptos Desglosados'!$H$8,VLOOKUP($A234,servicios,2,0),IF(L$5='Conceptos Desglosados'!$H$9,VLOOKUP($A234,comyaloj,2,0),IF(L$5='Conceptos Desglosados'!$H$10,VLOOKUP($A234,comandancia,2,0),IF(L$5='Conceptos Desglosados'!$H$11,VLOOKUP($A234,mantenimiento,2,0),IF(L$5='Conceptos Desglosados'!$H$12,VLOOKUP($A234,serestatal,2,0),IF(L$5='Conceptos Desglosados'!$H$13,VLOOKUP($A234,conferencias,2,0),"")))))))))),"")*L$3,"")</f>
        <v/>
      </c>
      <c r="M234" t="str">
        <f>IFERROR(IFERROR(IF(M$5='Conceptos Desglosados'!$H$4,VLOOKUP($A234,dormitorios,2,0),IF(M$5='Conceptos Desglosados'!$H$5,VLOOKUP($A234,comedor,2,0),IF(M$5='Conceptos Desglosados'!$H$6,VLOOKUP($A234,alojamiento,2,0),IF(M$5='Conceptos Desglosados'!$H$7,VLOOKUP($A234,sanidad,2,0),IF(M$5='Conceptos Desglosados'!$H$8,VLOOKUP($A234,servicios,2,0),IF(M$5='Conceptos Desglosados'!$H$9,VLOOKUP($A234,comyaloj,2,0),IF(M$5='Conceptos Desglosados'!$H$10,VLOOKUP($A234,comandancia,2,0),IF(M$5='Conceptos Desglosados'!$H$11,VLOOKUP($A234,mantenimiento,2,0),IF(M$5='Conceptos Desglosados'!$H$12,VLOOKUP($A234,serestatal,2,0),IF(M$5='Conceptos Desglosados'!$H$13,VLOOKUP($A234,conferencias,2,0),"")))))))))),"")*M$3,"")</f>
        <v/>
      </c>
      <c r="O234">
        <f>SUM(K234:M234)</f>
        <v>0</v>
      </c>
    </row>
    <row r="235" spans="1:15" x14ac:dyDescent="0.35">
      <c r="A235">
        <v>230</v>
      </c>
      <c r="B235" t="s">
        <v>10</v>
      </c>
      <c r="C235" t="s">
        <v>175</v>
      </c>
      <c r="D235" t="s">
        <v>256</v>
      </c>
      <c r="E235" t="s">
        <v>22</v>
      </c>
      <c r="F235" t="s">
        <v>883</v>
      </c>
      <c r="G235" t="s">
        <v>5</v>
      </c>
      <c r="H235">
        <v>1.99</v>
      </c>
      <c r="I235">
        <v>2.7149999999999999</v>
      </c>
      <c r="J235" t="s">
        <v>6</v>
      </c>
      <c r="K235" t="str">
        <f>IFERROR(IFERROR(IF(K$5='Conceptos Desglosados'!$H$4,VLOOKUP($A235,dormitorios,2,0),IF(K$5='Conceptos Desglosados'!$H$5,VLOOKUP($A235,comedor,2,0),IF(K$5='Conceptos Desglosados'!$H$6,VLOOKUP($A235,alojamiento,2,0),IF(K$5='Conceptos Desglosados'!$H$7,VLOOKUP($A235,sanidad,2,0),IF(K$5='Conceptos Desglosados'!$H$8,VLOOKUP($A235,servicios,2,0),IF(K$5='Conceptos Desglosados'!$H$9,VLOOKUP($A235,comyaloj,2,0),IF(K$5='Conceptos Desglosados'!$H$10,VLOOKUP($A235,comandancia,2,0),IF(K$5='Conceptos Desglosados'!$H$11,VLOOKUP($A235,mantenimiento,2,0),IF(K$5='Conceptos Desglosados'!$H$12,VLOOKUP($A235,serestatal,2,0),IF(K$5='Conceptos Desglosados'!$H$13,VLOOKUP($A235,conferencias,2,0),"")))))))))),"")*K$3,"")</f>
        <v/>
      </c>
      <c r="L235" t="str">
        <f>IFERROR(IFERROR(IF(L$5='Conceptos Desglosados'!$H$4,VLOOKUP($A235,dormitorios,2,0),IF(L$5='Conceptos Desglosados'!$H$5,VLOOKUP($A235,comedor,2,0),IF(L$5='Conceptos Desglosados'!$H$6,VLOOKUP($A235,alojamiento,2,0),IF(L$5='Conceptos Desglosados'!$H$7,VLOOKUP($A235,sanidad,2,0),IF(L$5='Conceptos Desglosados'!$H$8,VLOOKUP($A235,servicios,2,0),IF(L$5='Conceptos Desglosados'!$H$9,VLOOKUP($A235,comyaloj,2,0),IF(L$5='Conceptos Desglosados'!$H$10,VLOOKUP($A235,comandancia,2,0),IF(L$5='Conceptos Desglosados'!$H$11,VLOOKUP($A235,mantenimiento,2,0),IF(L$5='Conceptos Desglosados'!$H$12,VLOOKUP($A235,serestatal,2,0),IF(L$5='Conceptos Desglosados'!$H$13,VLOOKUP($A235,conferencias,2,0),"")))))))))),"")*L$3,"")</f>
        <v/>
      </c>
      <c r="M235" t="str">
        <f>IFERROR(IFERROR(IF(M$5='Conceptos Desglosados'!$H$4,VLOOKUP($A235,dormitorios,2,0),IF(M$5='Conceptos Desglosados'!$H$5,VLOOKUP($A235,comedor,2,0),IF(M$5='Conceptos Desglosados'!$H$6,VLOOKUP($A235,alojamiento,2,0),IF(M$5='Conceptos Desglosados'!$H$7,VLOOKUP($A235,sanidad,2,0),IF(M$5='Conceptos Desglosados'!$H$8,VLOOKUP($A235,servicios,2,0),IF(M$5='Conceptos Desglosados'!$H$9,VLOOKUP($A235,comyaloj,2,0),IF(M$5='Conceptos Desglosados'!$H$10,VLOOKUP($A235,comandancia,2,0),IF(M$5='Conceptos Desglosados'!$H$11,VLOOKUP($A235,mantenimiento,2,0),IF(M$5='Conceptos Desglosados'!$H$12,VLOOKUP($A235,serestatal,2,0),IF(M$5='Conceptos Desglosados'!$H$13,VLOOKUP($A235,conferencias,2,0),"")))))))))),"")*M$3,"")</f>
        <v/>
      </c>
      <c r="O235">
        <f>SUM(K235:M235)</f>
        <v>0</v>
      </c>
    </row>
    <row r="236" spans="1:15" x14ac:dyDescent="0.35">
      <c r="A236">
        <v>231</v>
      </c>
      <c r="B236" t="s">
        <v>10</v>
      </c>
      <c r="C236" t="s">
        <v>176</v>
      </c>
      <c r="D236" t="s">
        <v>257</v>
      </c>
      <c r="E236" t="s">
        <v>295</v>
      </c>
      <c r="F236" t="s">
        <v>883</v>
      </c>
      <c r="G236" t="s">
        <v>0</v>
      </c>
      <c r="H236">
        <v>1.9903</v>
      </c>
      <c r="I236">
        <v>2.7149999999999999</v>
      </c>
      <c r="J236" t="s">
        <v>6</v>
      </c>
      <c r="K236" t="str">
        <f>IFERROR(IFERROR(IF(K$5='Conceptos Desglosados'!$H$4,VLOOKUP($A236,dormitorios,2,0),IF(K$5='Conceptos Desglosados'!$H$5,VLOOKUP($A236,comedor,2,0),IF(K$5='Conceptos Desglosados'!$H$6,VLOOKUP($A236,alojamiento,2,0),IF(K$5='Conceptos Desglosados'!$H$7,VLOOKUP($A236,sanidad,2,0),IF(K$5='Conceptos Desglosados'!$H$8,VLOOKUP($A236,servicios,2,0),IF(K$5='Conceptos Desglosados'!$H$9,VLOOKUP($A236,comyaloj,2,0),IF(K$5='Conceptos Desglosados'!$H$10,VLOOKUP($A236,comandancia,2,0),IF(K$5='Conceptos Desglosados'!$H$11,VLOOKUP($A236,mantenimiento,2,0),IF(K$5='Conceptos Desglosados'!$H$12,VLOOKUP($A236,serestatal,2,0),IF(K$5='Conceptos Desglosados'!$H$13,VLOOKUP($A236,conferencias,2,0),"")))))))))),"")*K$3,"")</f>
        <v/>
      </c>
      <c r="L236" t="str">
        <f>IFERROR(IFERROR(IF(L$5='Conceptos Desglosados'!$H$4,VLOOKUP($A236,dormitorios,2,0),IF(L$5='Conceptos Desglosados'!$H$5,VLOOKUP($A236,comedor,2,0),IF(L$5='Conceptos Desglosados'!$H$6,VLOOKUP($A236,alojamiento,2,0),IF(L$5='Conceptos Desglosados'!$H$7,VLOOKUP($A236,sanidad,2,0),IF(L$5='Conceptos Desglosados'!$H$8,VLOOKUP($A236,servicios,2,0),IF(L$5='Conceptos Desglosados'!$H$9,VLOOKUP($A236,comyaloj,2,0),IF(L$5='Conceptos Desglosados'!$H$10,VLOOKUP($A236,comandancia,2,0),IF(L$5='Conceptos Desglosados'!$H$11,VLOOKUP($A236,mantenimiento,2,0),IF(L$5='Conceptos Desglosados'!$H$12,VLOOKUP($A236,serestatal,2,0),IF(L$5='Conceptos Desglosados'!$H$13,VLOOKUP($A236,conferencias,2,0),"")))))))))),"")*L$3,"")</f>
        <v/>
      </c>
      <c r="M236" t="str">
        <f>IFERROR(IFERROR(IF(M$5='Conceptos Desglosados'!$H$4,VLOOKUP($A236,dormitorios,2,0),IF(M$5='Conceptos Desglosados'!$H$5,VLOOKUP($A236,comedor,2,0),IF(M$5='Conceptos Desglosados'!$H$6,VLOOKUP($A236,alojamiento,2,0),IF(M$5='Conceptos Desglosados'!$H$7,VLOOKUP($A236,sanidad,2,0),IF(M$5='Conceptos Desglosados'!$H$8,VLOOKUP($A236,servicios,2,0),IF(M$5='Conceptos Desglosados'!$H$9,VLOOKUP($A236,comyaloj,2,0),IF(M$5='Conceptos Desglosados'!$H$10,VLOOKUP($A236,comandancia,2,0),IF(M$5='Conceptos Desglosados'!$H$11,VLOOKUP($A236,mantenimiento,2,0),IF(M$5='Conceptos Desglosados'!$H$12,VLOOKUP($A236,serestatal,2,0),IF(M$5='Conceptos Desglosados'!$H$13,VLOOKUP($A236,conferencias,2,0),"")))))))))),"")*M$3,"")</f>
        <v/>
      </c>
      <c r="O236">
        <f>SUM(K236:M236)</f>
        <v>0</v>
      </c>
    </row>
    <row r="237" spans="1:15" x14ac:dyDescent="0.35">
      <c r="A237">
        <v>232</v>
      </c>
      <c r="B237" t="s">
        <v>10</v>
      </c>
      <c r="C237" t="s">
        <v>177</v>
      </c>
      <c r="D237" t="s">
        <v>258</v>
      </c>
      <c r="E237" t="s">
        <v>296</v>
      </c>
      <c r="F237" t="s">
        <v>883</v>
      </c>
      <c r="G237" t="s">
        <v>0</v>
      </c>
      <c r="H237">
        <v>1.99</v>
      </c>
      <c r="I237">
        <v>2.7149999999999999</v>
      </c>
      <c r="J237" t="s">
        <v>6</v>
      </c>
      <c r="K237" t="str">
        <f>IFERROR(IFERROR(IF(K$5='Conceptos Desglosados'!$H$4,VLOOKUP($A237,dormitorios,2,0),IF(K$5='Conceptos Desglosados'!$H$5,VLOOKUP($A237,comedor,2,0),IF(K$5='Conceptos Desglosados'!$H$6,VLOOKUP($A237,alojamiento,2,0),IF(K$5='Conceptos Desglosados'!$H$7,VLOOKUP($A237,sanidad,2,0),IF(K$5='Conceptos Desglosados'!$H$8,VLOOKUP($A237,servicios,2,0),IF(K$5='Conceptos Desglosados'!$H$9,VLOOKUP($A237,comyaloj,2,0),IF(K$5='Conceptos Desglosados'!$H$10,VLOOKUP($A237,comandancia,2,0),IF(K$5='Conceptos Desglosados'!$H$11,VLOOKUP($A237,mantenimiento,2,0),IF(K$5='Conceptos Desglosados'!$H$12,VLOOKUP($A237,serestatal,2,0),IF(K$5='Conceptos Desglosados'!$H$13,VLOOKUP($A237,conferencias,2,0),"")))))))))),"")*K$3,"")</f>
        <v/>
      </c>
      <c r="L237" t="str">
        <f>IFERROR(IFERROR(IF(L$5='Conceptos Desglosados'!$H$4,VLOOKUP($A237,dormitorios,2,0),IF(L$5='Conceptos Desglosados'!$H$5,VLOOKUP($A237,comedor,2,0),IF(L$5='Conceptos Desglosados'!$H$6,VLOOKUP($A237,alojamiento,2,0),IF(L$5='Conceptos Desglosados'!$H$7,VLOOKUP($A237,sanidad,2,0),IF(L$5='Conceptos Desglosados'!$H$8,VLOOKUP($A237,servicios,2,0),IF(L$5='Conceptos Desglosados'!$H$9,VLOOKUP($A237,comyaloj,2,0),IF(L$5='Conceptos Desglosados'!$H$10,VLOOKUP($A237,comandancia,2,0),IF(L$5='Conceptos Desglosados'!$H$11,VLOOKUP($A237,mantenimiento,2,0),IF(L$5='Conceptos Desglosados'!$H$12,VLOOKUP($A237,serestatal,2,0),IF(L$5='Conceptos Desglosados'!$H$13,VLOOKUP($A237,conferencias,2,0),"")))))))))),"")*L$3,"")</f>
        <v/>
      </c>
      <c r="M237" t="str">
        <f>IFERROR(IFERROR(IF(M$5='Conceptos Desglosados'!$H$4,VLOOKUP($A237,dormitorios,2,0),IF(M$5='Conceptos Desglosados'!$H$5,VLOOKUP($A237,comedor,2,0),IF(M$5='Conceptos Desglosados'!$H$6,VLOOKUP($A237,alojamiento,2,0),IF(M$5='Conceptos Desglosados'!$H$7,VLOOKUP($A237,sanidad,2,0),IF(M$5='Conceptos Desglosados'!$H$8,VLOOKUP($A237,servicios,2,0),IF(M$5='Conceptos Desglosados'!$H$9,VLOOKUP($A237,comyaloj,2,0),IF(M$5='Conceptos Desglosados'!$H$10,VLOOKUP($A237,comandancia,2,0),IF(M$5='Conceptos Desglosados'!$H$11,VLOOKUP($A237,mantenimiento,2,0),IF(M$5='Conceptos Desglosados'!$H$12,VLOOKUP($A237,serestatal,2,0),IF(M$5='Conceptos Desglosados'!$H$13,VLOOKUP($A237,conferencias,2,0),"")))))))))),"")*M$3,"")</f>
        <v/>
      </c>
      <c r="O237">
        <f>SUM(K237:M237)</f>
        <v>0</v>
      </c>
    </row>
    <row r="238" spans="1:15" x14ac:dyDescent="0.35">
      <c r="A238">
        <v>233</v>
      </c>
      <c r="B238" t="s">
        <v>10</v>
      </c>
      <c r="C238" t="s">
        <v>178</v>
      </c>
      <c r="D238" t="s">
        <v>259</v>
      </c>
      <c r="E238" t="s">
        <v>335</v>
      </c>
      <c r="F238" t="s">
        <v>883</v>
      </c>
      <c r="G238" t="s">
        <v>0</v>
      </c>
      <c r="H238">
        <v>1.99</v>
      </c>
      <c r="I238">
        <v>2.7149999999999999</v>
      </c>
      <c r="J238" t="s">
        <v>6</v>
      </c>
      <c r="K238" t="str">
        <f>IFERROR(IFERROR(IF(K$5='Conceptos Desglosados'!$H$4,VLOOKUP($A238,dormitorios,2,0),IF(K$5='Conceptos Desglosados'!$H$5,VLOOKUP($A238,comedor,2,0),IF(K$5='Conceptos Desglosados'!$H$6,VLOOKUP($A238,alojamiento,2,0),IF(K$5='Conceptos Desglosados'!$H$7,VLOOKUP($A238,sanidad,2,0),IF(K$5='Conceptos Desglosados'!$H$8,VLOOKUP($A238,servicios,2,0),IF(K$5='Conceptos Desglosados'!$H$9,VLOOKUP($A238,comyaloj,2,0),IF(K$5='Conceptos Desglosados'!$H$10,VLOOKUP($A238,comandancia,2,0),IF(K$5='Conceptos Desglosados'!$H$11,VLOOKUP($A238,mantenimiento,2,0),IF(K$5='Conceptos Desglosados'!$H$12,VLOOKUP($A238,serestatal,2,0),IF(K$5='Conceptos Desglosados'!$H$13,VLOOKUP($A238,conferencias,2,0),"")))))))))),"")*K$3,"")</f>
        <v/>
      </c>
      <c r="L238" t="str">
        <f>IFERROR(IFERROR(IF(L$5='Conceptos Desglosados'!$H$4,VLOOKUP($A238,dormitorios,2,0),IF(L$5='Conceptos Desglosados'!$H$5,VLOOKUP($A238,comedor,2,0),IF(L$5='Conceptos Desglosados'!$H$6,VLOOKUP($A238,alojamiento,2,0),IF(L$5='Conceptos Desglosados'!$H$7,VLOOKUP($A238,sanidad,2,0),IF(L$5='Conceptos Desglosados'!$H$8,VLOOKUP($A238,servicios,2,0),IF(L$5='Conceptos Desglosados'!$H$9,VLOOKUP($A238,comyaloj,2,0),IF(L$5='Conceptos Desglosados'!$H$10,VLOOKUP($A238,comandancia,2,0),IF(L$5='Conceptos Desglosados'!$H$11,VLOOKUP($A238,mantenimiento,2,0),IF(L$5='Conceptos Desglosados'!$H$12,VLOOKUP($A238,serestatal,2,0),IF(L$5='Conceptos Desglosados'!$H$13,VLOOKUP($A238,conferencias,2,0),"")))))))))),"")*L$3,"")</f>
        <v/>
      </c>
      <c r="M238" t="str">
        <f>IFERROR(IFERROR(IF(M$5='Conceptos Desglosados'!$H$4,VLOOKUP($A238,dormitorios,2,0),IF(M$5='Conceptos Desglosados'!$H$5,VLOOKUP($A238,comedor,2,0),IF(M$5='Conceptos Desglosados'!$H$6,VLOOKUP($A238,alojamiento,2,0),IF(M$5='Conceptos Desglosados'!$H$7,VLOOKUP($A238,sanidad,2,0),IF(M$5='Conceptos Desglosados'!$H$8,VLOOKUP($A238,servicios,2,0),IF(M$5='Conceptos Desglosados'!$H$9,VLOOKUP($A238,comyaloj,2,0),IF(M$5='Conceptos Desglosados'!$H$10,VLOOKUP($A238,comandancia,2,0),IF(M$5='Conceptos Desglosados'!$H$11,VLOOKUP($A238,mantenimiento,2,0),IF(M$5='Conceptos Desglosados'!$H$12,VLOOKUP($A238,serestatal,2,0),IF(M$5='Conceptos Desglosados'!$H$13,VLOOKUP($A238,conferencias,2,0),"")))))))))),"")*M$3,"")</f>
        <v/>
      </c>
      <c r="O238">
        <f>SUM(K238:M238)</f>
        <v>0</v>
      </c>
    </row>
    <row r="239" spans="1:15" x14ac:dyDescent="0.35">
      <c r="A239">
        <v>234</v>
      </c>
      <c r="B239" t="s">
        <v>10</v>
      </c>
      <c r="C239" t="s">
        <v>179</v>
      </c>
      <c r="D239" t="s">
        <v>260</v>
      </c>
      <c r="E239" t="s">
        <v>22</v>
      </c>
      <c r="F239" t="s">
        <v>883</v>
      </c>
      <c r="G239" t="s">
        <v>2</v>
      </c>
      <c r="H239">
        <v>2.0640000000000001</v>
      </c>
      <c r="I239">
        <v>2.7149999999999999</v>
      </c>
      <c r="J239" t="s">
        <v>6</v>
      </c>
      <c r="K239" t="str">
        <f>IFERROR(IFERROR(IF(K$5='Conceptos Desglosados'!$H$4,VLOOKUP($A239,dormitorios,2,0),IF(K$5='Conceptos Desglosados'!$H$5,VLOOKUP($A239,comedor,2,0),IF(K$5='Conceptos Desglosados'!$H$6,VLOOKUP($A239,alojamiento,2,0),IF(K$5='Conceptos Desglosados'!$H$7,VLOOKUP($A239,sanidad,2,0),IF(K$5='Conceptos Desglosados'!$H$8,VLOOKUP($A239,servicios,2,0),IF(K$5='Conceptos Desglosados'!$H$9,VLOOKUP($A239,comyaloj,2,0),IF(K$5='Conceptos Desglosados'!$H$10,VLOOKUP($A239,comandancia,2,0),IF(K$5='Conceptos Desglosados'!$H$11,VLOOKUP($A239,mantenimiento,2,0),IF(K$5='Conceptos Desglosados'!$H$12,VLOOKUP($A239,serestatal,2,0),IF(K$5='Conceptos Desglosados'!$H$13,VLOOKUP($A239,conferencias,2,0),"")))))))))),"")*K$3,"")</f>
        <v/>
      </c>
      <c r="L239" t="str">
        <f>IFERROR(IFERROR(IF(L$5='Conceptos Desglosados'!$H$4,VLOOKUP($A239,dormitorios,2,0),IF(L$5='Conceptos Desglosados'!$H$5,VLOOKUP($A239,comedor,2,0),IF(L$5='Conceptos Desglosados'!$H$6,VLOOKUP($A239,alojamiento,2,0),IF(L$5='Conceptos Desglosados'!$H$7,VLOOKUP($A239,sanidad,2,0),IF(L$5='Conceptos Desglosados'!$H$8,VLOOKUP($A239,servicios,2,0),IF(L$5='Conceptos Desglosados'!$H$9,VLOOKUP($A239,comyaloj,2,0),IF(L$5='Conceptos Desglosados'!$H$10,VLOOKUP($A239,comandancia,2,0),IF(L$5='Conceptos Desglosados'!$H$11,VLOOKUP($A239,mantenimiento,2,0),IF(L$5='Conceptos Desglosados'!$H$12,VLOOKUP($A239,serestatal,2,0),IF(L$5='Conceptos Desglosados'!$H$13,VLOOKUP($A239,conferencias,2,0),"")))))))))),"")*L$3,"")</f>
        <v/>
      </c>
      <c r="M239" t="str">
        <f>IFERROR(IFERROR(IF(M$5='Conceptos Desglosados'!$H$4,VLOOKUP($A239,dormitorios,2,0),IF(M$5='Conceptos Desglosados'!$H$5,VLOOKUP($A239,comedor,2,0),IF(M$5='Conceptos Desglosados'!$H$6,VLOOKUP($A239,alojamiento,2,0),IF(M$5='Conceptos Desglosados'!$H$7,VLOOKUP($A239,sanidad,2,0),IF(M$5='Conceptos Desglosados'!$H$8,VLOOKUP($A239,servicios,2,0),IF(M$5='Conceptos Desglosados'!$H$9,VLOOKUP($A239,comyaloj,2,0),IF(M$5='Conceptos Desglosados'!$H$10,VLOOKUP($A239,comandancia,2,0),IF(M$5='Conceptos Desglosados'!$H$11,VLOOKUP($A239,mantenimiento,2,0),IF(M$5='Conceptos Desglosados'!$H$12,VLOOKUP($A239,serestatal,2,0),IF(M$5='Conceptos Desglosados'!$H$13,VLOOKUP($A239,conferencias,2,0),"")))))))))),"")*M$3,"")</f>
        <v/>
      </c>
      <c r="O239">
        <f>SUM(K239:M239)</f>
        <v>0</v>
      </c>
    </row>
    <row r="240" spans="1:15" x14ac:dyDescent="0.35">
      <c r="A240">
        <v>235</v>
      </c>
      <c r="B240" t="s">
        <v>10</v>
      </c>
      <c r="C240" t="s">
        <v>285</v>
      </c>
      <c r="D240" t="s">
        <v>286</v>
      </c>
      <c r="E240" t="s">
        <v>296</v>
      </c>
      <c r="F240" t="s">
        <v>883</v>
      </c>
      <c r="G240" t="s">
        <v>2</v>
      </c>
      <c r="H240">
        <v>1.99</v>
      </c>
      <c r="I240">
        <v>2.7149999999999999</v>
      </c>
      <c r="J240" t="s">
        <v>6</v>
      </c>
      <c r="K240" t="str">
        <f>IFERROR(IFERROR(IF(K$5='Conceptos Desglosados'!$H$4,VLOOKUP($A240,dormitorios,2,0),IF(K$5='Conceptos Desglosados'!$H$5,VLOOKUP($A240,comedor,2,0),IF(K$5='Conceptos Desglosados'!$H$6,VLOOKUP($A240,alojamiento,2,0),IF(K$5='Conceptos Desglosados'!$H$7,VLOOKUP($A240,sanidad,2,0),IF(K$5='Conceptos Desglosados'!$H$8,VLOOKUP($A240,servicios,2,0),IF(K$5='Conceptos Desglosados'!$H$9,VLOOKUP($A240,comyaloj,2,0),IF(K$5='Conceptos Desglosados'!$H$10,VLOOKUP($A240,comandancia,2,0),IF(K$5='Conceptos Desglosados'!$H$11,VLOOKUP($A240,mantenimiento,2,0),IF(K$5='Conceptos Desglosados'!$H$12,VLOOKUP($A240,serestatal,2,0),IF(K$5='Conceptos Desglosados'!$H$13,VLOOKUP($A240,conferencias,2,0),"")))))))))),"")*K$3,"")</f>
        <v/>
      </c>
      <c r="L240" t="str">
        <f>IFERROR(IFERROR(IF(L$5='Conceptos Desglosados'!$H$4,VLOOKUP($A240,dormitorios,2,0),IF(L$5='Conceptos Desglosados'!$H$5,VLOOKUP($A240,comedor,2,0),IF(L$5='Conceptos Desglosados'!$H$6,VLOOKUP($A240,alojamiento,2,0),IF(L$5='Conceptos Desglosados'!$H$7,VLOOKUP($A240,sanidad,2,0),IF(L$5='Conceptos Desglosados'!$H$8,VLOOKUP($A240,servicios,2,0),IF(L$5='Conceptos Desglosados'!$H$9,VLOOKUP($A240,comyaloj,2,0),IF(L$5='Conceptos Desglosados'!$H$10,VLOOKUP($A240,comandancia,2,0),IF(L$5='Conceptos Desglosados'!$H$11,VLOOKUP($A240,mantenimiento,2,0),IF(L$5='Conceptos Desglosados'!$H$12,VLOOKUP($A240,serestatal,2,0),IF(L$5='Conceptos Desglosados'!$H$13,VLOOKUP($A240,conferencias,2,0),"")))))))))),"")*L$3,"")</f>
        <v/>
      </c>
      <c r="M240" t="str">
        <f>IFERROR(IFERROR(IF(M$5='Conceptos Desglosados'!$H$4,VLOOKUP($A240,dormitorios,2,0),IF(M$5='Conceptos Desglosados'!$H$5,VLOOKUP($A240,comedor,2,0),IF(M$5='Conceptos Desglosados'!$H$6,VLOOKUP($A240,alojamiento,2,0),IF(M$5='Conceptos Desglosados'!$H$7,VLOOKUP($A240,sanidad,2,0),IF(M$5='Conceptos Desglosados'!$H$8,VLOOKUP($A240,servicios,2,0),IF(M$5='Conceptos Desglosados'!$H$9,VLOOKUP($A240,comyaloj,2,0),IF(M$5='Conceptos Desglosados'!$H$10,VLOOKUP($A240,comandancia,2,0),IF(M$5='Conceptos Desglosados'!$H$11,VLOOKUP($A240,mantenimiento,2,0),IF(M$5='Conceptos Desglosados'!$H$12,VLOOKUP($A240,serestatal,2,0),IF(M$5='Conceptos Desglosados'!$H$13,VLOOKUP($A240,conferencias,2,0),"")))))))))),"")*M$3,"")</f>
        <v/>
      </c>
      <c r="O240">
        <f>SUM(K240:M240)</f>
        <v>0</v>
      </c>
    </row>
    <row r="241" spans="1:15" x14ac:dyDescent="0.35">
      <c r="A241">
        <v>236</v>
      </c>
      <c r="B241" t="s">
        <v>10</v>
      </c>
      <c r="C241" t="s">
        <v>287</v>
      </c>
      <c r="D241" t="s">
        <v>288</v>
      </c>
      <c r="E241" t="s">
        <v>297</v>
      </c>
      <c r="F241" t="s">
        <v>883</v>
      </c>
      <c r="G241" t="s">
        <v>0</v>
      </c>
      <c r="H241">
        <v>1.88</v>
      </c>
      <c r="I241">
        <v>2.7149999999999999</v>
      </c>
      <c r="J241" t="s">
        <v>6</v>
      </c>
      <c r="K241" t="str">
        <f>IFERROR(IFERROR(IF(K$5='Conceptos Desglosados'!$H$4,VLOOKUP($A241,dormitorios,2,0),IF(K$5='Conceptos Desglosados'!$H$5,VLOOKUP($A241,comedor,2,0),IF(K$5='Conceptos Desglosados'!$H$6,VLOOKUP($A241,alojamiento,2,0),IF(K$5='Conceptos Desglosados'!$H$7,VLOOKUP($A241,sanidad,2,0),IF(K$5='Conceptos Desglosados'!$H$8,VLOOKUP($A241,servicios,2,0),IF(K$5='Conceptos Desglosados'!$H$9,VLOOKUP($A241,comyaloj,2,0),IF(K$5='Conceptos Desglosados'!$H$10,VLOOKUP($A241,comandancia,2,0),IF(K$5='Conceptos Desglosados'!$H$11,VLOOKUP($A241,mantenimiento,2,0),IF(K$5='Conceptos Desglosados'!$H$12,VLOOKUP($A241,serestatal,2,0),IF(K$5='Conceptos Desglosados'!$H$13,VLOOKUP($A241,conferencias,2,0),"")))))))))),"")*K$3,"")</f>
        <v/>
      </c>
      <c r="L241" t="str">
        <f>IFERROR(IFERROR(IF(L$5='Conceptos Desglosados'!$H$4,VLOOKUP($A241,dormitorios,2,0),IF(L$5='Conceptos Desglosados'!$H$5,VLOOKUP($A241,comedor,2,0),IF(L$5='Conceptos Desglosados'!$H$6,VLOOKUP($A241,alojamiento,2,0),IF(L$5='Conceptos Desglosados'!$H$7,VLOOKUP($A241,sanidad,2,0),IF(L$5='Conceptos Desglosados'!$H$8,VLOOKUP($A241,servicios,2,0),IF(L$5='Conceptos Desglosados'!$H$9,VLOOKUP($A241,comyaloj,2,0),IF(L$5='Conceptos Desglosados'!$H$10,VLOOKUP($A241,comandancia,2,0),IF(L$5='Conceptos Desglosados'!$H$11,VLOOKUP($A241,mantenimiento,2,0),IF(L$5='Conceptos Desglosados'!$H$12,VLOOKUP($A241,serestatal,2,0),IF(L$5='Conceptos Desglosados'!$H$13,VLOOKUP($A241,conferencias,2,0),"")))))))))),"")*L$3,"")</f>
        <v/>
      </c>
      <c r="M241" t="str">
        <f>IFERROR(IFERROR(IF(M$5='Conceptos Desglosados'!$H$4,VLOOKUP($A241,dormitorios,2,0),IF(M$5='Conceptos Desglosados'!$H$5,VLOOKUP($A241,comedor,2,0),IF(M$5='Conceptos Desglosados'!$H$6,VLOOKUP($A241,alojamiento,2,0),IF(M$5='Conceptos Desglosados'!$H$7,VLOOKUP($A241,sanidad,2,0),IF(M$5='Conceptos Desglosados'!$H$8,VLOOKUP($A241,servicios,2,0),IF(M$5='Conceptos Desglosados'!$H$9,VLOOKUP($A241,comyaloj,2,0),IF(M$5='Conceptos Desglosados'!$H$10,VLOOKUP($A241,comandancia,2,0),IF(M$5='Conceptos Desglosados'!$H$11,VLOOKUP($A241,mantenimiento,2,0),IF(M$5='Conceptos Desglosados'!$H$12,VLOOKUP($A241,serestatal,2,0),IF(M$5='Conceptos Desglosados'!$H$13,VLOOKUP($A241,conferencias,2,0),"")))))))))),"")*M$3,"")</f>
        <v/>
      </c>
      <c r="O241">
        <f>SUM(K241:M241)</f>
        <v>0</v>
      </c>
    </row>
    <row r="242" spans="1:15" x14ac:dyDescent="0.35">
      <c r="A242">
        <v>237</v>
      </c>
      <c r="B242" t="s">
        <v>10</v>
      </c>
      <c r="C242" t="s">
        <v>289</v>
      </c>
      <c r="D242" t="s">
        <v>290</v>
      </c>
      <c r="E242" t="s">
        <v>347</v>
      </c>
      <c r="F242" t="s">
        <v>883</v>
      </c>
      <c r="G242" t="s">
        <v>2</v>
      </c>
      <c r="H242">
        <v>1.5</v>
      </c>
      <c r="I242">
        <v>2.7149999999999999</v>
      </c>
      <c r="J242" t="s">
        <v>6</v>
      </c>
      <c r="K242" t="str">
        <f>IFERROR(IFERROR(IF(K$5='Conceptos Desglosados'!$H$4,VLOOKUP($A242,dormitorios,2,0),IF(K$5='Conceptos Desglosados'!$H$5,VLOOKUP($A242,comedor,2,0),IF(K$5='Conceptos Desglosados'!$H$6,VLOOKUP($A242,alojamiento,2,0),IF(K$5='Conceptos Desglosados'!$H$7,VLOOKUP($A242,sanidad,2,0),IF(K$5='Conceptos Desglosados'!$H$8,VLOOKUP($A242,servicios,2,0),IF(K$5='Conceptos Desglosados'!$H$9,VLOOKUP($A242,comyaloj,2,0),IF(K$5='Conceptos Desglosados'!$H$10,VLOOKUP($A242,comandancia,2,0),IF(K$5='Conceptos Desglosados'!$H$11,VLOOKUP($A242,mantenimiento,2,0),IF(K$5='Conceptos Desglosados'!$H$12,VLOOKUP($A242,serestatal,2,0),IF(K$5='Conceptos Desglosados'!$H$13,VLOOKUP($A242,conferencias,2,0),"")))))))))),"")*K$3,"")</f>
        <v/>
      </c>
      <c r="L242" t="str">
        <f>IFERROR(IFERROR(IF(L$5='Conceptos Desglosados'!$H$4,VLOOKUP($A242,dormitorios,2,0),IF(L$5='Conceptos Desglosados'!$H$5,VLOOKUP($A242,comedor,2,0),IF(L$5='Conceptos Desglosados'!$H$6,VLOOKUP($A242,alojamiento,2,0),IF(L$5='Conceptos Desglosados'!$H$7,VLOOKUP($A242,sanidad,2,0),IF(L$5='Conceptos Desglosados'!$H$8,VLOOKUP($A242,servicios,2,0),IF(L$5='Conceptos Desglosados'!$H$9,VLOOKUP($A242,comyaloj,2,0),IF(L$5='Conceptos Desglosados'!$H$10,VLOOKUP($A242,comandancia,2,0),IF(L$5='Conceptos Desglosados'!$H$11,VLOOKUP($A242,mantenimiento,2,0),IF(L$5='Conceptos Desglosados'!$H$12,VLOOKUP($A242,serestatal,2,0),IF(L$5='Conceptos Desglosados'!$H$13,VLOOKUP($A242,conferencias,2,0),"")))))))))),"")*L$3,"")</f>
        <v/>
      </c>
      <c r="M242" t="str">
        <f>IFERROR(IFERROR(IF(M$5='Conceptos Desglosados'!$H$4,VLOOKUP($A242,dormitorios,2,0),IF(M$5='Conceptos Desglosados'!$H$5,VLOOKUP($A242,comedor,2,0),IF(M$5='Conceptos Desglosados'!$H$6,VLOOKUP($A242,alojamiento,2,0),IF(M$5='Conceptos Desglosados'!$H$7,VLOOKUP($A242,sanidad,2,0),IF(M$5='Conceptos Desglosados'!$H$8,VLOOKUP($A242,servicios,2,0),IF(M$5='Conceptos Desglosados'!$H$9,VLOOKUP($A242,comyaloj,2,0),IF(M$5='Conceptos Desglosados'!$H$10,VLOOKUP($A242,comandancia,2,0),IF(M$5='Conceptos Desglosados'!$H$11,VLOOKUP($A242,mantenimiento,2,0),IF(M$5='Conceptos Desglosados'!$H$12,VLOOKUP($A242,serestatal,2,0),IF(M$5='Conceptos Desglosados'!$H$13,VLOOKUP($A242,conferencias,2,0),"")))))))))),"")*M$3,"")</f>
        <v/>
      </c>
      <c r="O242">
        <f>SUM(K242:M242)</f>
        <v>0</v>
      </c>
    </row>
    <row r="243" spans="1:15" x14ac:dyDescent="0.35">
      <c r="A243">
        <v>238</v>
      </c>
      <c r="B243" t="s">
        <v>10</v>
      </c>
      <c r="C243" t="s">
        <v>291</v>
      </c>
      <c r="D243" t="s">
        <v>292</v>
      </c>
      <c r="E243" t="s">
        <v>347</v>
      </c>
      <c r="F243" t="s">
        <v>883</v>
      </c>
      <c r="G243" t="s">
        <v>0</v>
      </c>
      <c r="H243">
        <v>1.5</v>
      </c>
      <c r="I243">
        <v>2.7149999999999999</v>
      </c>
      <c r="J243" t="s">
        <v>6</v>
      </c>
      <c r="K243" t="str">
        <f>IFERROR(IFERROR(IF(K$5='Conceptos Desglosados'!$H$4,VLOOKUP($A243,dormitorios,2,0),IF(K$5='Conceptos Desglosados'!$H$5,VLOOKUP($A243,comedor,2,0),IF(K$5='Conceptos Desglosados'!$H$6,VLOOKUP($A243,alojamiento,2,0),IF(K$5='Conceptos Desglosados'!$H$7,VLOOKUP($A243,sanidad,2,0),IF(K$5='Conceptos Desglosados'!$H$8,VLOOKUP($A243,servicios,2,0),IF(K$5='Conceptos Desglosados'!$H$9,VLOOKUP($A243,comyaloj,2,0),IF(K$5='Conceptos Desglosados'!$H$10,VLOOKUP($A243,comandancia,2,0),IF(K$5='Conceptos Desglosados'!$H$11,VLOOKUP($A243,mantenimiento,2,0),IF(K$5='Conceptos Desglosados'!$H$12,VLOOKUP($A243,serestatal,2,0),IF(K$5='Conceptos Desglosados'!$H$13,VLOOKUP($A243,conferencias,2,0),"")))))))))),"")*K$3,"")</f>
        <v/>
      </c>
      <c r="L243" t="str">
        <f>IFERROR(IFERROR(IF(L$5='Conceptos Desglosados'!$H$4,VLOOKUP($A243,dormitorios,2,0),IF(L$5='Conceptos Desglosados'!$H$5,VLOOKUP($A243,comedor,2,0),IF(L$5='Conceptos Desglosados'!$H$6,VLOOKUP($A243,alojamiento,2,0),IF(L$5='Conceptos Desglosados'!$H$7,VLOOKUP($A243,sanidad,2,0),IF(L$5='Conceptos Desglosados'!$H$8,VLOOKUP($A243,servicios,2,0),IF(L$5='Conceptos Desglosados'!$H$9,VLOOKUP($A243,comyaloj,2,0),IF(L$5='Conceptos Desglosados'!$H$10,VLOOKUP($A243,comandancia,2,0),IF(L$5='Conceptos Desglosados'!$H$11,VLOOKUP($A243,mantenimiento,2,0),IF(L$5='Conceptos Desglosados'!$H$12,VLOOKUP($A243,serestatal,2,0),IF(L$5='Conceptos Desglosados'!$H$13,VLOOKUP($A243,conferencias,2,0),"")))))))))),"")*L$3,"")</f>
        <v/>
      </c>
      <c r="M243" t="str">
        <f>IFERROR(IFERROR(IF(M$5='Conceptos Desglosados'!$H$4,VLOOKUP($A243,dormitorios,2,0),IF(M$5='Conceptos Desglosados'!$H$5,VLOOKUP($A243,comedor,2,0),IF(M$5='Conceptos Desglosados'!$H$6,VLOOKUP($A243,alojamiento,2,0),IF(M$5='Conceptos Desglosados'!$H$7,VLOOKUP($A243,sanidad,2,0),IF(M$5='Conceptos Desglosados'!$H$8,VLOOKUP($A243,servicios,2,0),IF(M$5='Conceptos Desglosados'!$H$9,VLOOKUP($A243,comyaloj,2,0),IF(M$5='Conceptos Desglosados'!$H$10,VLOOKUP($A243,comandancia,2,0),IF(M$5='Conceptos Desglosados'!$H$11,VLOOKUP($A243,mantenimiento,2,0),IF(M$5='Conceptos Desglosados'!$H$12,VLOOKUP($A243,serestatal,2,0),IF(M$5='Conceptos Desglosados'!$H$13,VLOOKUP($A243,conferencias,2,0),"")))))))))),"")*M$3,"")</f>
        <v/>
      </c>
      <c r="O243">
        <f>SUM(K243:M243)</f>
        <v>0</v>
      </c>
    </row>
    <row r="244" spans="1:15" x14ac:dyDescent="0.35">
      <c r="A244">
        <v>239</v>
      </c>
      <c r="B244" t="s">
        <v>10</v>
      </c>
      <c r="C244" t="s">
        <v>293</v>
      </c>
      <c r="D244" t="s">
        <v>294</v>
      </c>
      <c r="E244" t="s">
        <v>348</v>
      </c>
      <c r="F244" t="s">
        <v>883</v>
      </c>
      <c r="G244" t="s">
        <v>0</v>
      </c>
      <c r="H244">
        <v>1.9750000000000001</v>
      </c>
      <c r="I244">
        <v>2.7149999999999999</v>
      </c>
      <c r="J244" t="s">
        <v>6</v>
      </c>
      <c r="K244" t="str">
        <f>IFERROR(IFERROR(IF(K$5='Conceptos Desglosados'!$H$4,VLOOKUP($A244,dormitorios,2,0),IF(K$5='Conceptos Desglosados'!$H$5,VLOOKUP($A244,comedor,2,0),IF(K$5='Conceptos Desglosados'!$H$6,VLOOKUP($A244,alojamiento,2,0),IF(K$5='Conceptos Desglosados'!$H$7,VLOOKUP($A244,sanidad,2,0),IF(K$5='Conceptos Desglosados'!$H$8,VLOOKUP($A244,servicios,2,0),IF(K$5='Conceptos Desglosados'!$H$9,VLOOKUP($A244,comyaloj,2,0),IF(K$5='Conceptos Desglosados'!$H$10,VLOOKUP($A244,comandancia,2,0),IF(K$5='Conceptos Desglosados'!$H$11,VLOOKUP($A244,mantenimiento,2,0),IF(K$5='Conceptos Desglosados'!$H$12,VLOOKUP($A244,serestatal,2,0),IF(K$5='Conceptos Desglosados'!$H$13,VLOOKUP($A244,conferencias,2,0),"")))))))))),"")*K$3,"")</f>
        <v/>
      </c>
      <c r="L244" t="str">
        <f>IFERROR(IFERROR(IF(L$5='Conceptos Desglosados'!$H$4,VLOOKUP($A244,dormitorios,2,0),IF(L$5='Conceptos Desglosados'!$H$5,VLOOKUP($A244,comedor,2,0),IF(L$5='Conceptos Desglosados'!$H$6,VLOOKUP($A244,alojamiento,2,0),IF(L$5='Conceptos Desglosados'!$H$7,VLOOKUP($A244,sanidad,2,0),IF(L$5='Conceptos Desglosados'!$H$8,VLOOKUP($A244,servicios,2,0),IF(L$5='Conceptos Desglosados'!$H$9,VLOOKUP($A244,comyaloj,2,0),IF(L$5='Conceptos Desglosados'!$H$10,VLOOKUP($A244,comandancia,2,0),IF(L$5='Conceptos Desglosados'!$H$11,VLOOKUP($A244,mantenimiento,2,0),IF(L$5='Conceptos Desglosados'!$H$12,VLOOKUP($A244,serestatal,2,0),IF(L$5='Conceptos Desglosados'!$H$13,VLOOKUP($A244,conferencias,2,0),"")))))))))),"")*L$3,"")</f>
        <v/>
      </c>
      <c r="M244" t="str">
        <f>IFERROR(IFERROR(IF(M$5='Conceptos Desglosados'!$H$4,VLOOKUP($A244,dormitorios,2,0),IF(M$5='Conceptos Desglosados'!$H$5,VLOOKUP($A244,comedor,2,0),IF(M$5='Conceptos Desglosados'!$H$6,VLOOKUP($A244,alojamiento,2,0),IF(M$5='Conceptos Desglosados'!$H$7,VLOOKUP($A244,sanidad,2,0),IF(M$5='Conceptos Desglosados'!$H$8,VLOOKUP($A244,servicios,2,0),IF(M$5='Conceptos Desglosados'!$H$9,VLOOKUP($A244,comyaloj,2,0),IF(M$5='Conceptos Desglosados'!$H$10,VLOOKUP($A244,comandancia,2,0),IF(M$5='Conceptos Desglosados'!$H$11,VLOOKUP($A244,mantenimiento,2,0),IF(M$5='Conceptos Desglosados'!$H$12,VLOOKUP($A244,serestatal,2,0),IF(M$5='Conceptos Desglosados'!$H$13,VLOOKUP($A244,conferencias,2,0),"")))))))))),"")*M$3,"")</f>
        <v/>
      </c>
      <c r="O244">
        <f>SUM(K244:M244)</f>
        <v>0</v>
      </c>
    </row>
    <row r="245" spans="1:15" x14ac:dyDescent="0.35">
      <c r="A245">
        <v>240</v>
      </c>
      <c r="B245" t="s">
        <v>10</v>
      </c>
      <c r="C245" t="s">
        <v>304</v>
      </c>
      <c r="D245" t="s">
        <v>305</v>
      </c>
      <c r="E245" t="s">
        <v>22</v>
      </c>
      <c r="F245" t="s">
        <v>883</v>
      </c>
      <c r="G245" t="s">
        <v>0</v>
      </c>
      <c r="H245">
        <v>1.99</v>
      </c>
      <c r="I245">
        <v>2.7149999999999999</v>
      </c>
      <c r="J245" t="s">
        <v>6</v>
      </c>
      <c r="K245" t="str">
        <f>IFERROR(IFERROR(IF(K$5='Conceptos Desglosados'!$H$4,VLOOKUP($A245,dormitorios,2,0),IF(K$5='Conceptos Desglosados'!$H$5,VLOOKUP($A245,comedor,2,0),IF(K$5='Conceptos Desglosados'!$H$6,VLOOKUP($A245,alojamiento,2,0),IF(K$5='Conceptos Desglosados'!$H$7,VLOOKUP($A245,sanidad,2,0),IF(K$5='Conceptos Desglosados'!$H$8,VLOOKUP($A245,servicios,2,0),IF(K$5='Conceptos Desglosados'!$H$9,VLOOKUP($A245,comyaloj,2,0),IF(K$5='Conceptos Desglosados'!$H$10,VLOOKUP($A245,comandancia,2,0),IF(K$5='Conceptos Desglosados'!$H$11,VLOOKUP($A245,mantenimiento,2,0),IF(K$5='Conceptos Desglosados'!$H$12,VLOOKUP($A245,serestatal,2,0),IF(K$5='Conceptos Desglosados'!$H$13,VLOOKUP($A245,conferencias,2,0),"")))))))))),"")*K$3,"")</f>
        <v/>
      </c>
      <c r="L245" t="str">
        <f>IFERROR(IFERROR(IF(L$5='Conceptos Desglosados'!$H$4,VLOOKUP($A245,dormitorios,2,0),IF(L$5='Conceptos Desglosados'!$H$5,VLOOKUP($A245,comedor,2,0),IF(L$5='Conceptos Desglosados'!$H$6,VLOOKUP($A245,alojamiento,2,0),IF(L$5='Conceptos Desglosados'!$H$7,VLOOKUP($A245,sanidad,2,0),IF(L$5='Conceptos Desglosados'!$H$8,VLOOKUP($A245,servicios,2,0),IF(L$5='Conceptos Desglosados'!$H$9,VLOOKUP($A245,comyaloj,2,0),IF(L$5='Conceptos Desglosados'!$H$10,VLOOKUP($A245,comandancia,2,0),IF(L$5='Conceptos Desglosados'!$H$11,VLOOKUP($A245,mantenimiento,2,0),IF(L$5='Conceptos Desglosados'!$H$12,VLOOKUP($A245,serestatal,2,0),IF(L$5='Conceptos Desglosados'!$H$13,VLOOKUP($A245,conferencias,2,0),"")))))))))),"")*L$3,"")</f>
        <v/>
      </c>
      <c r="M245" t="str">
        <f>IFERROR(IFERROR(IF(M$5='Conceptos Desglosados'!$H$4,VLOOKUP($A245,dormitorios,2,0),IF(M$5='Conceptos Desglosados'!$H$5,VLOOKUP($A245,comedor,2,0),IF(M$5='Conceptos Desglosados'!$H$6,VLOOKUP($A245,alojamiento,2,0),IF(M$5='Conceptos Desglosados'!$H$7,VLOOKUP($A245,sanidad,2,0),IF(M$5='Conceptos Desglosados'!$H$8,VLOOKUP($A245,servicios,2,0),IF(M$5='Conceptos Desglosados'!$H$9,VLOOKUP($A245,comyaloj,2,0),IF(M$5='Conceptos Desglosados'!$H$10,VLOOKUP($A245,comandancia,2,0),IF(M$5='Conceptos Desglosados'!$H$11,VLOOKUP($A245,mantenimiento,2,0),IF(M$5='Conceptos Desglosados'!$H$12,VLOOKUP($A245,serestatal,2,0),IF(M$5='Conceptos Desglosados'!$H$13,VLOOKUP($A245,conferencias,2,0),"")))))))))),"")*M$3,"")</f>
        <v/>
      </c>
      <c r="O245">
        <f>SUM(K245:M245)</f>
        <v>0</v>
      </c>
    </row>
    <row r="246" spans="1:15" x14ac:dyDescent="0.35">
      <c r="A246">
        <v>241</v>
      </c>
      <c r="B246" t="s">
        <v>10</v>
      </c>
      <c r="C246" t="s">
        <v>306</v>
      </c>
      <c r="D246" t="s">
        <v>307</v>
      </c>
      <c r="E246" t="s">
        <v>22</v>
      </c>
      <c r="F246" t="s">
        <v>883</v>
      </c>
      <c r="G246" t="s">
        <v>0</v>
      </c>
      <c r="H246">
        <v>1.88</v>
      </c>
      <c r="I246">
        <v>2.7149999999999999</v>
      </c>
      <c r="J246" t="s">
        <v>6</v>
      </c>
      <c r="K246" t="str">
        <f>IFERROR(IFERROR(IF(K$5='Conceptos Desglosados'!$H$4,VLOOKUP($A246,dormitorios,2,0),IF(K$5='Conceptos Desglosados'!$H$5,VLOOKUP($A246,comedor,2,0),IF(K$5='Conceptos Desglosados'!$H$6,VLOOKUP($A246,alojamiento,2,0),IF(K$5='Conceptos Desglosados'!$H$7,VLOOKUP($A246,sanidad,2,0),IF(K$5='Conceptos Desglosados'!$H$8,VLOOKUP($A246,servicios,2,0),IF(K$5='Conceptos Desglosados'!$H$9,VLOOKUP($A246,comyaloj,2,0),IF(K$5='Conceptos Desglosados'!$H$10,VLOOKUP($A246,comandancia,2,0),IF(K$5='Conceptos Desglosados'!$H$11,VLOOKUP($A246,mantenimiento,2,0),IF(K$5='Conceptos Desglosados'!$H$12,VLOOKUP($A246,serestatal,2,0),IF(K$5='Conceptos Desglosados'!$H$13,VLOOKUP($A246,conferencias,2,0),"")))))))))),"")*K$3,"")</f>
        <v/>
      </c>
      <c r="L246" t="str">
        <f>IFERROR(IFERROR(IF(L$5='Conceptos Desglosados'!$H$4,VLOOKUP($A246,dormitorios,2,0),IF(L$5='Conceptos Desglosados'!$H$5,VLOOKUP($A246,comedor,2,0),IF(L$5='Conceptos Desglosados'!$H$6,VLOOKUP($A246,alojamiento,2,0),IF(L$5='Conceptos Desglosados'!$H$7,VLOOKUP($A246,sanidad,2,0),IF(L$5='Conceptos Desglosados'!$H$8,VLOOKUP($A246,servicios,2,0),IF(L$5='Conceptos Desglosados'!$H$9,VLOOKUP($A246,comyaloj,2,0),IF(L$5='Conceptos Desglosados'!$H$10,VLOOKUP($A246,comandancia,2,0),IF(L$5='Conceptos Desglosados'!$H$11,VLOOKUP($A246,mantenimiento,2,0),IF(L$5='Conceptos Desglosados'!$H$12,VLOOKUP($A246,serestatal,2,0),IF(L$5='Conceptos Desglosados'!$H$13,VLOOKUP($A246,conferencias,2,0),"")))))))))),"")*L$3,"")</f>
        <v/>
      </c>
      <c r="M246" t="str">
        <f>IFERROR(IFERROR(IF(M$5='Conceptos Desglosados'!$H$4,VLOOKUP($A246,dormitorios,2,0),IF(M$5='Conceptos Desglosados'!$H$5,VLOOKUP($A246,comedor,2,0),IF(M$5='Conceptos Desglosados'!$H$6,VLOOKUP($A246,alojamiento,2,0),IF(M$5='Conceptos Desglosados'!$H$7,VLOOKUP($A246,sanidad,2,0),IF(M$5='Conceptos Desglosados'!$H$8,VLOOKUP($A246,servicios,2,0),IF(M$5='Conceptos Desglosados'!$H$9,VLOOKUP($A246,comyaloj,2,0),IF(M$5='Conceptos Desglosados'!$H$10,VLOOKUP($A246,comandancia,2,0),IF(M$5='Conceptos Desglosados'!$H$11,VLOOKUP($A246,mantenimiento,2,0),IF(M$5='Conceptos Desglosados'!$H$12,VLOOKUP($A246,serestatal,2,0),IF(M$5='Conceptos Desglosados'!$H$13,VLOOKUP($A246,conferencias,2,0),"")))))))))),"")*M$3,"")</f>
        <v/>
      </c>
      <c r="O246">
        <f>SUM(K246:M246)</f>
        <v>0</v>
      </c>
    </row>
    <row r="247" spans="1:15" x14ac:dyDescent="0.35">
      <c r="A247">
        <v>242</v>
      </c>
      <c r="B247" t="s">
        <v>10</v>
      </c>
      <c r="C247" t="s">
        <v>373</v>
      </c>
      <c r="D247" t="s">
        <v>374</v>
      </c>
      <c r="E247" t="s">
        <v>375</v>
      </c>
      <c r="F247" t="s">
        <v>883</v>
      </c>
      <c r="G247" t="s">
        <v>2</v>
      </c>
      <c r="H247">
        <v>2.0074999999999998</v>
      </c>
      <c r="I247">
        <v>2.5</v>
      </c>
      <c r="J247" t="s">
        <v>6</v>
      </c>
      <c r="K247" t="str">
        <f>IFERROR(IFERROR(IF(K$5='Conceptos Desglosados'!$H$4,VLOOKUP($A247,dormitorios,2,0),IF(K$5='Conceptos Desglosados'!$H$5,VLOOKUP($A247,comedor,2,0),IF(K$5='Conceptos Desglosados'!$H$6,VLOOKUP($A247,alojamiento,2,0),IF(K$5='Conceptos Desglosados'!$H$7,VLOOKUP($A247,sanidad,2,0),IF(K$5='Conceptos Desglosados'!$H$8,VLOOKUP($A247,servicios,2,0),IF(K$5='Conceptos Desglosados'!$H$9,VLOOKUP($A247,comyaloj,2,0),IF(K$5='Conceptos Desglosados'!$H$10,VLOOKUP($A247,comandancia,2,0),IF(K$5='Conceptos Desglosados'!$H$11,VLOOKUP($A247,mantenimiento,2,0),IF(K$5='Conceptos Desglosados'!$H$12,VLOOKUP($A247,serestatal,2,0),IF(K$5='Conceptos Desglosados'!$H$13,VLOOKUP($A247,conferencias,2,0),"")))))))))),"")*K$3,"")</f>
        <v/>
      </c>
      <c r="L247" t="str">
        <f>IFERROR(IFERROR(IF(L$5='Conceptos Desglosados'!$H$4,VLOOKUP($A247,dormitorios,2,0),IF(L$5='Conceptos Desglosados'!$H$5,VLOOKUP($A247,comedor,2,0),IF(L$5='Conceptos Desglosados'!$H$6,VLOOKUP($A247,alojamiento,2,0),IF(L$5='Conceptos Desglosados'!$H$7,VLOOKUP($A247,sanidad,2,0),IF(L$5='Conceptos Desglosados'!$H$8,VLOOKUP($A247,servicios,2,0),IF(L$5='Conceptos Desglosados'!$H$9,VLOOKUP($A247,comyaloj,2,0),IF(L$5='Conceptos Desglosados'!$H$10,VLOOKUP($A247,comandancia,2,0),IF(L$5='Conceptos Desglosados'!$H$11,VLOOKUP($A247,mantenimiento,2,0),IF(L$5='Conceptos Desglosados'!$H$12,VLOOKUP($A247,serestatal,2,0),IF(L$5='Conceptos Desglosados'!$H$13,VLOOKUP($A247,conferencias,2,0),"")))))))))),"")*L$3,"")</f>
        <v/>
      </c>
      <c r="M247" t="str">
        <f>IFERROR(IFERROR(IF(M$5='Conceptos Desglosados'!$H$4,VLOOKUP($A247,dormitorios,2,0),IF(M$5='Conceptos Desglosados'!$H$5,VLOOKUP($A247,comedor,2,0),IF(M$5='Conceptos Desglosados'!$H$6,VLOOKUP($A247,alojamiento,2,0),IF(M$5='Conceptos Desglosados'!$H$7,VLOOKUP($A247,sanidad,2,0),IF(M$5='Conceptos Desglosados'!$H$8,VLOOKUP($A247,servicios,2,0),IF(M$5='Conceptos Desglosados'!$H$9,VLOOKUP($A247,comyaloj,2,0),IF(M$5='Conceptos Desglosados'!$H$10,VLOOKUP($A247,comandancia,2,0),IF(M$5='Conceptos Desglosados'!$H$11,VLOOKUP($A247,mantenimiento,2,0),IF(M$5='Conceptos Desglosados'!$H$12,VLOOKUP($A247,serestatal,2,0),IF(M$5='Conceptos Desglosados'!$H$13,VLOOKUP($A247,conferencias,2,0),"")))))))))),"")*M$3,"")</f>
        <v/>
      </c>
      <c r="O247">
        <f>SUM(K247:M247)</f>
        <v>0</v>
      </c>
    </row>
    <row r="248" spans="1:15" x14ac:dyDescent="0.35">
      <c r="A248">
        <v>243</v>
      </c>
      <c r="B248" t="s">
        <v>10</v>
      </c>
      <c r="C248" t="s">
        <v>376</v>
      </c>
      <c r="D248" t="s">
        <v>377</v>
      </c>
      <c r="E248" t="s">
        <v>378</v>
      </c>
      <c r="F248" t="s">
        <v>883</v>
      </c>
      <c r="G248" t="s">
        <v>2</v>
      </c>
      <c r="H248">
        <v>1.8965000000000001</v>
      </c>
      <c r="I248">
        <v>2.5</v>
      </c>
      <c r="J248" t="s">
        <v>6</v>
      </c>
      <c r="K248" t="str">
        <f>IFERROR(IFERROR(IF(K$5='Conceptos Desglosados'!$H$4,VLOOKUP($A248,dormitorios,2,0),IF(K$5='Conceptos Desglosados'!$H$5,VLOOKUP($A248,comedor,2,0),IF(K$5='Conceptos Desglosados'!$H$6,VLOOKUP($A248,alojamiento,2,0),IF(K$5='Conceptos Desglosados'!$H$7,VLOOKUP($A248,sanidad,2,0),IF(K$5='Conceptos Desglosados'!$H$8,VLOOKUP($A248,servicios,2,0),IF(K$5='Conceptos Desglosados'!$H$9,VLOOKUP($A248,comyaloj,2,0),IF(K$5='Conceptos Desglosados'!$H$10,VLOOKUP($A248,comandancia,2,0),IF(K$5='Conceptos Desglosados'!$H$11,VLOOKUP($A248,mantenimiento,2,0),IF(K$5='Conceptos Desglosados'!$H$12,VLOOKUP($A248,serestatal,2,0),IF(K$5='Conceptos Desglosados'!$H$13,VLOOKUP($A248,conferencias,2,0),"")))))))))),"")*K$3,"")</f>
        <v/>
      </c>
      <c r="L248" t="str">
        <f>IFERROR(IFERROR(IF(L$5='Conceptos Desglosados'!$H$4,VLOOKUP($A248,dormitorios,2,0),IF(L$5='Conceptos Desglosados'!$H$5,VLOOKUP($A248,comedor,2,0),IF(L$5='Conceptos Desglosados'!$H$6,VLOOKUP($A248,alojamiento,2,0),IF(L$5='Conceptos Desglosados'!$H$7,VLOOKUP($A248,sanidad,2,0),IF(L$5='Conceptos Desglosados'!$H$8,VLOOKUP($A248,servicios,2,0),IF(L$5='Conceptos Desglosados'!$H$9,VLOOKUP($A248,comyaloj,2,0),IF(L$5='Conceptos Desglosados'!$H$10,VLOOKUP($A248,comandancia,2,0),IF(L$5='Conceptos Desglosados'!$H$11,VLOOKUP($A248,mantenimiento,2,0),IF(L$5='Conceptos Desglosados'!$H$12,VLOOKUP($A248,serestatal,2,0),IF(L$5='Conceptos Desglosados'!$H$13,VLOOKUP($A248,conferencias,2,0),"")))))))))),"")*L$3,"")</f>
        <v/>
      </c>
      <c r="M248" t="str">
        <f>IFERROR(IFERROR(IF(M$5='Conceptos Desglosados'!$H$4,VLOOKUP($A248,dormitorios,2,0),IF(M$5='Conceptos Desglosados'!$H$5,VLOOKUP($A248,comedor,2,0),IF(M$5='Conceptos Desglosados'!$H$6,VLOOKUP($A248,alojamiento,2,0),IF(M$5='Conceptos Desglosados'!$H$7,VLOOKUP($A248,sanidad,2,0),IF(M$5='Conceptos Desglosados'!$H$8,VLOOKUP($A248,servicios,2,0),IF(M$5='Conceptos Desglosados'!$H$9,VLOOKUP($A248,comyaloj,2,0),IF(M$5='Conceptos Desglosados'!$H$10,VLOOKUP($A248,comandancia,2,0),IF(M$5='Conceptos Desglosados'!$H$11,VLOOKUP($A248,mantenimiento,2,0),IF(M$5='Conceptos Desglosados'!$H$12,VLOOKUP($A248,serestatal,2,0),IF(M$5='Conceptos Desglosados'!$H$13,VLOOKUP($A248,conferencias,2,0),"")))))))))),"")*M$3,"")</f>
        <v/>
      </c>
      <c r="O248">
        <f>SUM(K248:M248)</f>
        <v>0</v>
      </c>
    </row>
    <row r="249" spans="1:15" x14ac:dyDescent="0.35">
      <c r="A249">
        <v>244</v>
      </c>
      <c r="B249" t="s">
        <v>10</v>
      </c>
      <c r="C249" t="s">
        <v>379</v>
      </c>
      <c r="D249" t="s">
        <v>380</v>
      </c>
      <c r="E249" t="s">
        <v>381</v>
      </c>
      <c r="F249" t="s">
        <v>883</v>
      </c>
      <c r="G249" t="s">
        <v>0</v>
      </c>
      <c r="H249">
        <v>1.9750000000000001</v>
      </c>
      <c r="I249">
        <v>2.7149999999999999</v>
      </c>
      <c r="J249" t="s">
        <v>6</v>
      </c>
      <c r="K249" t="str">
        <f>IFERROR(IFERROR(IF(K$5='Conceptos Desglosados'!$H$4,VLOOKUP($A249,dormitorios,2,0),IF(K$5='Conceptos Desglosados'!$H$5,VLOOKUP($A249,comedor,2,0),IF(K$5='Conceptos Desglosados'!$H$6,VLOOKUP($A249,alojamiento,2,0),IF(K$5='Conceptos Desglosados'!$H$7,VLOOKUP($A249,sanidad,2,0),IF(K$5='Conceptos Desglosados'!$H$8,VLOOKUP($A249,servicios,2,0),IF(K$5='Conceptos Desglosados'!$H$9,VLOOKUP($A249,comyaloj,2,0),IF(K$5='Conceptos Desglosados'!$H$10,VLOOKUP($A249,comandancia,2,0),IF(K$5='Conceptos Desglosados'!$H$11,VLOOKUP($A249,mantenimiento,2,0),IF(K$5='Conceptos Desglosados'!$H$12,VLOOKUP($A249,serestatal,2,0),IF(K$5='Conceptos Desglosados'!$H$13,VLOOKUP($A249,conferencias,2,0),"")))))))))),"")*K$3,"")</f>
        <v/>
      </c>
      <c r="L249" t="str">
        <f>IFERROR(IFERROR(IF(L$5='Conceptos Desglosados'!$H$4,VLOOKUP($A249,dormitorios,2,0),IF(L$5='Conceptos Desglosados'!$H$5,VLOOKUP($A249,comedor,2,0),IF(L$5='Conceptos Desglosados'!$H$6,VLOOKUP($A249,alojamiento,2,0),IF(L$5='Conceptos Desglosados'!$H$7,VLOOKUP($A249,sanidad,2,0),IF(L$5='Conceptos Desglosados'!$H$8,VLOOKUP($A249,servicios,2,0),IF(L$5='Conceptos Desglosados'!$H$9,VLOOKUP($A249,comyaloj,2,0),IF(L$5='Conceptos Desglosados'!$H$10,VLOOKUP($A249,comandancia,2,0),IF(L$5='Conceptos Desglosados'!$H$11,VLOOKUP($A249,mantenimiento,2,0),IF(L$5='Conceptos Desglosados'!$H$12,VLOOKUP($A249,serestatal,2,0),IF(L$5='Conceptos Desglosados'!$H$13,VLOOKUP($A249,conferencias,2,0),"")))))))))),"")*L$3,"")</f>
        <v/>
      </c>
      <c r="M249" t="str">
        <f>IFERROR(IFERROR(IF(M$5='Conceptos Desglosados'!$H$4,VLOOKUP($A249,dormitorios,2,0),IF(M$5='Conceptos Desglosados'!$H$5,VLOOKUP($A249,comedor,2,0),IF(M$5='Conceptos Desglosados'!$H$6,VLOOKUP($A249,alojamiento,2,0),IF(M$5='Conceptos Desglosados'!$H$7,VLOOKUP($A249,sanidad,2,0),IF(M$5='Conceptos Desglosados'!$H$8,VLOOKUP($A249,servicios,2,0),IF(M$5='Conceptos Desglosados'!$H$9,VLOOKUP($A249,comyaloj,2,0),IF(M$5='Conceptos Desglosados'!$H$10,VLOOKUP($A249,comandancia,2,0),IF(M$5='Conceptos Desglosados'!$H$11,VLOOKUP($A249,mantenimiento,2,0),IF(M$5='Conceptos Desglosados'!$H$12,VLOOKUP($A249,serestatal,2,0),IF(M$5='Conceptos Desglosados'!$H$13,VLOOKUP($A249,conferencias,2,0),"")))))))))),"")*M$3,"")</f>
        <v/>
      </c>
      <c r="O249">
        <f>SUM(K249:M249)</f>
        <v>0</v>
      </c>
    </row>
    <row r="250" spans="1:15" x14ac:dyDescent="0.35">
      <c r="A250">
        <v>245</v>
      </c>
      <c r="B250" t="s">
        <v>10</v>
      </c>
      <c r="C250" t="s">
        <v>486</v>
      </c>
      <c r="D250" t="s">
        <v>487</v>
      </c>
      <c r="E250" t="s">
        <v>488</v>
      </c>
      <c r="F250" t="s">
        <v>883</v>
      </c>
      <c r="G250" t="s">
        <v>0</v>
      </c>
      <c r="H250">
        <v>2.02</v>
      </c>
      <c r="I250">
        <v>3.5</v>
      </c>
      <c r="J250" t="s">
        <v>6</v>
      </c>
      <c r="K250" t="str">
        <f>IFERROR(IFERROR(IF(K$5='Conceptos Desglosados'!$H$4,VLOOKUP($A250,dormitorios,2,0),IF(K$5='Conceptos Desglosados'!$H$5,VLOOKUP($A250,comedor,2,0),IF(K$5='Conceptos Desglosados'!$H$6,VLOOKUP($A250,alojamiento,2,0),IF(K$5='Conceptos Desglosados'!$H$7,VLOOKUP($A250,sanidad,2,0),IF(K$5='Conceptos Desglosados'!$H$8,VLOOKUP($A250,servicios,2,0),IF(K$5='Conceptos Desglosados'!$H$9,VLOOKUP($A250,comyaloj,2,0),IF(K$5='Conceptos Desglosados'!$H$10,VLOOKUP($A250,comandancia,2,0),IF(K$5='Conceptos Desglosados'!$H$11,VLOOKUP($A250,mantenimiento,2,0),IF(K$5='Conceptos Desglosados'!$H$12,VLOOKUP($A250,serestatal,2,0),IF(K$5='Conceptos Desglosados'!$H$13,VLOOKUP($A250,conferencias,2,0),"")))))))))),"")*K$3,"")</f>
        <v/>
      </c>
      <c r="L250" t="str">
        <f>IFERROR(IFERROR(IF(L$5='Conceptos Desglosados'!$H$4,VLOOKUP($A250,dormitorios,2,0),IF(L$5='Conceptos Desglosados'!$H$5,VLOOKUP($A250,comedor,2,0),IF(L$5='Conceptos Desglosados'!$H$6,VLOOKUP($A250,alojamiento,2,0),IF(L$5='Conceptos Desglosados'!$H$7,VLOOKUP($A250,sanidad,2,0),IF(L$5='Conceptos Desglosados'!$H$8,VLOOKUP($A250,servicios,2,0),IF(L$5='Conceptos Desglosados'!$H$9,VLOOKUP($A250,comyaloj,2,0),IF(L$5='Conceptos Desglosados'!$H$10,VLOOKUP($A250,comandancia,2,0),IF(L$5='Conceptos Desglosados'!$H$11,VLOOKUP($A250,mantenimiento,2,0),IF(L$5='Conceptos Desglosados'!$H$12,VLOOKUP($A250,serestatal,2,0),IF(L$5='Conceptos Desglosados'!$H$13,VLOOKUP($A250,conferencias,2,0),"")))))))))),"")*L$3,"")</f>
        <v/>
      </c>
      <c r="M250" t="str">
        <f>IFERROR(IFERROR(IF(M$5='Conceptos Desglosados'!$H$4,VLOOKUP($A250,dormitorios,2,0),IF(M$5='Conceptos Desglosados'!$H$5,VLOOKUP($A250,comedor,2,0),IF(M$5='Conceptos Desglosados'!$H$6,VLOOKUP($A250,alojamiento,2,0),IF(M$5='Conceptos Desglosados'!$H$7,VLOOKUP($A250,sanidad,2,0),IF(M$5='Conceptos Desglosados'!$H$8,VLOOKUP($A250,servicios,2,0),IF(M$5='Conceptos Desglosados'!$H$9,VLOOKUP($A250,comyaloj,2,0),IF(M$5='Conceptos Desglosados'!$H$10,VLOOKUP($A250,comandancia,2,0),IF(M$5='Conceptos Desglosados'!$H$11,VLOOKUP($A250,mantenimiento,2,0),IF(M$5='Conceptos Desglosados'!$H$12,VLOOKUP($A250,serestatal,2,0),IF(M$5='Conceptos Desglosados'!$H$13,VLOOKUP($A250,conferencias,2,0),"")))))))))),"")*M$3,"")</f>
        <v/>
      </c>
      <c r="O250">
        <f>SUM(K250:M250)</f>
        <v>0</v>
      </c>
    </row>
    <row r="251" spans="1:15" x14ac:dyDescent="0.35">
      <c r="A251">
        <v>246</v>
      </c>
      <c r="B251" t="s">
        <v>10</v>
      </c>
      <c r="C251" t="s">
        <v>489</v>
      </c>
      <c r="D251" t="s">
        <v>490</v>
      </c>
      <c r="E251" t="s">
        <v>491</v>
      </c>
      <c r="F251" t="s">
        <v>883</v>
      </c>
      <c r="G251" t="s">
        <v>0</v>
      </c>
      <c r="H251">
        <v>2.02</v>
      </c>
      <c r="I251">
        <v>3.5</v>
      </c>
      <c r="J251" t="s">
        <v>6</v>
      </c>
      <c r="K251" t="str">
        <f>IFERROR(IFERROR(IF(K$5='Conceptos Desglosados'!$H$4,VLOOKUP($A251,dormitorios,2,0),IF(K$5='Conceptos Desglosados'!$H$5,VLOOKUP($A251,comedor,2,0),IF(K$5='Conceptos Desglosados'!$H$6,VLOOKUP($A251,alojamiento,2,0),IF(K$5='Conceptos Desglosados'!$H$7,VLOOKUP($A251,sanidad,2,0),IF(K$5='Conceptos Desglosados'!$H$8,VLOOKUP($A251,servicios,2,0),IF(K$5='Conceptos Desglosados'!$H$9,VLOOKUP($A251,comyaloj,2,0),IF(K$5='Conceptos Desglosados'!$H$10,VLOOKUP($A251,comandancia,2,0),IF(K$5='Conceptos Desglosados'!$H$11,VLOOKUP($A251,mantenimiento,2,0),IF(K$5='Conceptos Desglosados'!$H$12,VLOOKUP($A251,serestatal,2,0),IF(K$5='Conceptos Desglosados'!$H$13,VLOOKUP($A251,conferencias,2,0),"")))))))))),"")*K$3,"")</f>
        <v/>
      </c>
      <c r="L251" t="str">
        <f>IFERROR(IFERROR(IF(L$5='Conceptos Desglosados'!$H$4,VLOOKUP($A251,dormitorios,2,0),IF(L$5='Conceptos Desglosados'!$H$5,VLOOKUP($A251,comedor,2,0),IF(L$5='Conceptos Desglosados'!$H$6,VLOOKUP($A251,alojamiento,2,0),IF(L$5='Conceptos Desglosados'!$H$7,VLOOKUP($A251,sanidad,2,0),IF(L$5='Conceptos Desglosados'!$H$8,VLOOKUP($A251,servicios,2,0),IF(L$5='Conceptos Desglosados'!$H$9,VLOOKUP($A251,comyaloj,2,0),IF(L$5='Conceptos Desglosados'!$H$10,VLOOKUP($A251,comandancia,2,0),IF(L$5='Conceptos Desglosados'!$H$11,VLOOKUP($A251,mantenimiento,2,0),IF(L$5='Conceptos Desglosados'!$H$12,VLOOKUP($A251,serestatal,2,0),IF(L$5='Conceptos Desglosados'!$H$13,VLOOKUP($A251,conferencias,2,0),"")))))))))),"")*L$3,"")</f>
        <v/>
      </c>
      <c r="M251" t="str">
        <f>IFERROR(IFERROR(IF(M$5='Conceptos Desglosados'!$H$4,VLOOKUP($A251,dormitorios,2,0),IF(M$5='Conceptos Desglosados'!$H$5,VLOOKUP($A251,comedor,2,0),IF(M$5='Conceptos Desglosados'!$H$6,VLOOKUP($A251,alojamiento,2,0),IF(M$5='Conceptos Desglosados'!$H$7,VLOOKUP($A251,sanidad,2,0),IF(M$5='Conceptos Desglosados'!$H$8,VLOOKUP($A251,servicios,2,0),IF(M$5='Conceptos Desglosados'!$H$9,VLOOKUP($A251,comyaloj,2,0),IF(M$5='Conceptos Desglosados'!$H$10,VLOOKUP($A251,comandancia,2,0),IF(M$5='Conceptos Desglosados'!$H$11,VLOOKUP($A251,mantenimiento,2,0),IF(M$5='Conceptos Desglosados'!$H$12,VLOOKUP($A251,serestatal,2,0),IF(M$5='Conceptos Desglosados'!$H$13,VLOOKUP($A251,conferencias,2,0),"")))))))))),"")*M$3,"")</f>
        <v/>
      </c>
      <c r="O251">
        <f>SUM(K251:M251)</f>
        <v>0</v>
      </c>
    </row>
    <row r="252" spans="1:15" x14ac:dyDescent="0.35">
      <c r="A252">
        <v>247</v>
      </c>
      <c r="B252" t="s">
        <v>10</v>
      </c>
      <c r="C252" t="s">
        <v>492</v>
      </c>
      <c r="D252" t="s">
        <v>493</v>
      </c>
      <c r="E252" t="s">
        <v>491</v>
      </c>
      <c r="F252" t="s">
        <v>883</v>
      </c>
      <c r="G252" t="s">
        <v>0</v>
      </c>
      <c r="H252">
        <v>1.95</v>
      </c>
      <c r="I252">
        <v>3.5</v>
      </c>
      <c r="J252" t="s">
        <v>6</v>
      </c>
      <c r="K252" t="str">
        <f>IFERROR(IFERROR(IF(K$5='Conceptos Desglosados'!$H$4,VLOOKUP($A252,dormitorios,2,0),IF(K$5='Conceptos Desglosados'!$H$5,VLOOKUP($A252,comedor,2,0),IF(K$5='Conceptos Desglosados'!$H$6,VLOOKUP($A252,alojamiento,2,0),IF(K$5='Conceptos Desglosados'!$H$7,VLOOKUP($A252,sanidad,2,0),IF(K$5='Conceptos Desglosados'!$H$8,VLOOKUP($A252,servicios,2,0),IF(K$5='Conceptos Desglosados'!$H$9,VLOOKUP($A252,comyaloj,2,0),IF(K$5='Conceptos Desglosados'!$H$10,VLOOKUP($A252,comandancia,2,0),IF(K$5='Conceptos Desglosados'!$H$11,VLOOKUP($A252,mantenimiento,2,0),IF(K$5='Conceptos Desglosados'!$H$12,VLOOKUP($A252,serestatal,2,0),IF(K$5='Conceptos Desglosados'!$H$13,VLOOKUP($A252,conferencias,2,0),"")))))))))),"")*K$3,"")</f>
        <v/>
      </c>
      <c r="L252" t="str">
        <f>IFERROR(IFERROR(IF(L$5='Conceptos Desglosados'!$H$4,VLOOKUP($A252,dormitorios,2,0),IF(L$5='Conceptos Desglosados'!$H$5,VLOOKUP($A252,comedor,2,0),IF(L$5='Conceptos Desglosados'!$H$6,VLOOKUP($A252,alojamiento,2,0),IF(L$5='Conceptos Desglosados'!$H$7,VLOOKUP($A252,sanidad,2,0),IF(L$5='Conceptos Desglosados'!$H$8,VLOOKUP($A252,servicios,2,0),IF(L$5='Conceptos Desglosados'!$H$9,VLOOKUP($A252,comyaloj,2,0),IF(L$5='Conceptos Desglosados'!$H$10,VLOOKUP($A252,comandancia,2,0),IF(L$5='Conceptos Desglosados'!$H$11,VLOOKUP($A252,mantenimiento,2,0),IF(L$5='Conceptos Desglosados'!$H$12,VLOOKUP($A252,serestatal,2,0),IF(L$5='Conceptos Desglosados'!$H$13,VLOOKUP($A252,conferencias,2,0),"")))))))))),"")*L$3,"")</f>
        <v/>
      </c>
      <c r="M252" t="str">
        <f>IFERROR(IFERROR(IF(M$5='Conceptos Desglosados'!$H$4,VLOOKUP($A252,dormitorios,2,0),IF(M$5='Conceptos Desglosados'!$H$5,VLOOKUP($A252,comedor,2,0),IF(M$5='Conceptos Desglosados'!$H$6,VLOOKUP($A252,alojamiento,2,0),IF(M$5='Conceptos Desglosados'!$H$7,VLOOKUP($A252,sanidad,2,0),IF(M$5='Conceptos Desglosados'!$H$8,VLOOKUP($A252,servicios,2,0),IF(M$5='Conceptos Desglosados'!$H$9,VLOOKUP($A252,comyaloj,2,0),IF(M$5='Conceptos Desglosados'!$H$10,VLOOKUP($A252,comandancia,2,0),IF(M$5='Conceptos Desglosados'!$H$11,VLOOKUP($A252,mantenimiento,2,0),IF(M$5='Conceptos Desglosados'!$H$12,VLOOKUP($A252,serestatal,2,0),IF(M$5='Conceptos Desglosados'!$H$13,VLOOKUP($A252,conferencias,2,0),"")))))))))),"")*M$3,"")</f>
        <v/>
      </c>
      <c r="O252">
        <f>SUM(K252:M252)</f>
        <v>0</v>
      </c>
    </row>
    <row r="253" spans="1:15" x14ac:dyDescent="0.35">
      <c r="A253">
        <v>248</v>
      </c>
      <c r="B253" t="s">
        <v>10</v>
      </c>
      <c r="C253" t="s">
        <v>494</v>
      </c>
      <c r="D253" t="s">
        <v>495</v>
      </c>
      <c r="E253" t="s">
        <v>496</v>
      </c>
      <c r="F253" t="s">
        <v>883</v>
      </c>
      <c r="G253" t="s">
        <v>0</v>
      </c>
      <c r="H253">
        <v>1.99</v>
      </c>
      <c r="I253">
        <v>3.5</v>
      </c>
      <c r="J253" t="s">
        <v>6</v>
      </c>
      <c r="K253" t="str">
        <f>IFERROR(IFERROR(IF(K$5='Conceptos Desglosados'!$H$4,VLOOKUP($A253,dormitorios,2,0),IF(K$5='Conceptos Desglosados'!$H$5,VLOOKUP($A253,comedor,2,0),IF(K$5='Conceptos Desglosados'!$H$6,VLOOKUP($A253,alojamiento,2,0),IF(K$5='Conceptos Desglosados'!$H$7,VLOOKUP($A253,sanidad,2,0),IF(K$5='Conceptos Desglosados'!$H$8,VLOOKUP($A253,servicios,2,0),IF(K$5='Conceptos Desglosados'!$H$9,VLOOKUP($A253,comyaloj,2,0),IF(K$5='Conceptos Desglosados'!$H$10,VLOOKUP($A253,comandancia,2,0),IF(K$5='Conceptos Desglosados'!$H$11,VLOOKUP($A253,mantenimiento,2,0),IF(K$5='Conceptos Desglosados'!$H$12,VLOOKUP($A253,serestatal,2,0),IF(K$5='Conceptos Desglosados'!$H$13,VLOOKUP($A253,conferencias,2,0),"")))))))))),"")*K$3,"")</f>
        <v/>
      </c>
      <c r="L253" t="str">
        <f>IFERROR(IFERROR(IF(L$5='Conceptos Desglosados'!$H$4,VLOOKUP($A253,dormitorios,2,0),IF(L$5='Conceptos Desglosados'!$H$5,VLOOKUP($A253,comedor,2,0),IF(L$5='Conceptos Desglosados'!$H$6,VLOOKUP($A253,alojamiento,2,0),IF(L$5='Conceptos Desglosados'!$H$7,VLOOKUP($A253,sanidad,2,0),IF(L$5='Conceptos Desglosados'!$H$8,VLOOKUP($A253,servicios,2,0),IF(L$5='Conceptos Desglosados'!$H$9,VLOOKUP($A253,comyaloj,2,0),IF(L$5='Conceptos Desglosados'!$H$10,VLOOKUP($A253,comandancia,2,0),IF(L$5='Conceptos Desglosados'!$H$11,VLOOKUP($A253,mantenimiento,2,0),IF(L$5='Conceptos Desglosados'!$H$12,VLOOKUP($A253,serestatal,2,0),IF(L$5='Conceptos Desglosados'!$H$13,VLOOKUP($A253,conferencias,2,0),"")))))))))),"")*L$3,"")</f>
        <v/>
      </c>
      <c r="M253" t="str">
        <f>IFERROR(IFERROR(IF(M$5='Conceptos Desglosados'!$H$4,VLOOKUP($A253,dormitorios,2,0),IF(M$5='Conceptos Desglosados'!$H$5,VLOOKUP($A253,comedor,2,0),IF(M$5='Conceptos Desglosados'!$H$6,VLOOKUP($A253,alojamiento,2,0),IF(M$5='Conceptos Desglosados'!$H$7,VLOOKUP($A253,sanidad,2,0),IF(M$5='Conceptos Desglosados'!$H$8,VLOOKUP($A253,servicios,2,0),IF(M$5='Conceptos Desglosados'!$H$9,VLOOKUP($A253,comyaloj,2,0),IF(M$5='Conceptos Desglosados'!$H$10,VLOOKUP($A253,comandancia,2,0),IF(M$5='Conceptos Desglosados'!$H$11,VLOOKUP($A253,mantenimiento,2,0),IF(M$5='Conceptos Desglosados'!$H$12,VLOOKUP($A253,serestatal,2,0),IF(M$5='Conceptos Desglosados'!$H$13,VLOOKUP($A253,conferencias,2,0),"")))))))))),"")*M$3,"")</f>
        <v/>
      </c>
      <c r="O253">
        <f>SUM(K253:M253)</f>
        <v>0</v>
      </c>
    </row>
    <row r="254" spans="1:15" x14ac:dyDescent="0.35">
      <c r="A254">
        <v>249</v>
      </c>
      <c r="B254" t="s">
        <v>10</v>
      </c>
      <c r="C254" t="s">
        <v>507</v>
      </c>
      <c r="D254" t="s">
        <v>508</v>
      </c>
      <c r="E254" t="s">
        <v>347</v>
      </c>
      <c r="F254" t="s">
        <v>883</v>
      </c>
      <c r="G254" t="s">
        <v>0</v>
      </c>
      <c r="H254">
        <v>1.95</v>
      </c>
      <c r="I254">
        <v>2.7149999999999999</v>
      </c>
      <c r="J254" t="s">
        <v>6</v>
      </c>
      <c r="K254" t="str">
        <f>IFERROR(IFERROR(IF(K$5='Conceptos Desglosados'!$H$4,VLOOKUP($A254,dormitorios,2,0),IF(K$5='Conceptos Desglosados'!$H$5,VLOOKUP($A254,comedor,2,0),IF(K$5='Conceptos Desglosados'!$H$6,VLOOKUP($A254,alojamiento,2,0),IF(K$5='Conceptos Desglosados'!$H$7,VLOOKUP($A254,sanidad,2,0),IF(K$5='Conceptos Desglosados'!$H$8,VLOOKUP($A254,servicios,2,0),IF(K$5='Conceptos Desglosados'!$H$9,VLOOKUP($A254,comyaloj,2,0),IF(K$5='Conceptos Desglosados'!$H$10,VLOOKUP($A254,comandancia,2,0),IF(K$5='Conceptos Desglosados'!$H$11,VLOOKUP($A254,mantenimiento,2,0),IF(K$5='Conceptos Desglosados'!$H$12,VLOOKUP($A254,serestatal,2,0),IF(K$5='Conceptos Desglosados'!$H$13,VLOOKUP($A254,conferencias,2,0),"")))))))))),"")*K$3,"")</f>
        <v/>
      </c>
      <c r="L254" t="str">
        <f>IFERROR(IFERROR(IF(L$5='Conceptos Desglosados'!$H$4,VLOOKUP($A254,dormitorios,2,0),IF(L$5='Conceptos Desglosados'!$H$5,VLOOKUP($A254,comedor,2,0),IF(L$5='Conceptos Desglosados'!$H$6,VLOOKUP($A254,alojamiento,2,0),IF(L$5='Conceptos Desglosados'!$H$7,VLOOKUP($A254,sanidad,2,0),IF(L$5='Conceptos Desglosados'!$H$8,VLOOKUP($A254,servicios,2,0),IF(L$5='Conceptos Desglosados'!$H$9,VLOOKUP($A254,comyaloj,2,0),IF(L$5='Conceptos Desglosados'!$H$10,VLOOKUP($A254,comandancia,2,0),IF(L$5='Conceptos Desglosados'!$H$11,VLOOKUP($A254,mantenimiento,2,0),IF(L$5='Conceptos Desglosados'!$H$12,VLOOKUP($A254,serestatal,2,0),IF(L$5='Conceptos Desglosados'!$H$13,VLOOKUP($A254,conferencias,2,0),"")))))))))),"")*L$3,"")</f>
        <v/>
      </c>
      <c r="M254" t="str">
        <f>IFERROR(IFERROR(IF(M$5='Conceptos Desglosados'!$H$4,VLOOKUP($A254,dormitorios,2,0),IF(M$5='Conceptos Desglosados'!$H$5,VLOOKUP($A254,comedor,2,0),IF(M$5='Conceptos Desglosados'!$H$6,VLOOKUP($A254,alojamiento,2,0),IF(M$5='Conceptos Desglosados'!$H$7,VLOOKUP($A254,sanidad,2,0),IF(M$5='Conceptos Desglosados'!$H$8,VLOOKUP($A254,servicios,2,0),IF(M$5='Conceptos Desglosados'!$H$9,VLOOKUP($A254,comyaloj,2,0),IF(M$5='Conceptos Desglosados'!$H$10,VLOOKUP($A254,comandancia,2,0),IF(M$5='Conceptos Desglosados'!$H$11,VLOOKUP($A254,mantenimiento,2,0),IF(M$5='Conceptos Desglosados'!$H$12,VLOOKUP($A254,serestatal,2,0),IF(M$5='Conceptos Desglosados'!$H$13,VLOOKUP($A254,conferencias,2,0),"")))))))))),"")*M$3,"")</f>
        <v/>
      </c>
      <c r="O254">
        <f>SUM(K254:M254)</f>
        <v>0</v>
      </c>
    </row>
    <row r="255" spans="1:15" x14ac:dyDescent="0.35">
      <c r="A255">
        <v>250</v>
      </c>
      <c r="B255" t="s">
        <v>10</v>
      </c>
      <c r="C255" t="s">
        <v>521</v>
      </c>
      <c r="D255" t="s">
        <v>522</v>
      </c>
      <c r="E255" t="s">
        <v>570</v>
      </c>
      <c r="F255" t="s">
        <v>883</v>
      </c>
      <c r="G255" t="s">
        <v>0</v>
      </c>
      <c r="H255">
        <v>2.31</v>
      </c>
      <c r="I255">
        <v>2.7149999999999999</v>
      </c>
      <c r="J255" t="s">
        <v>6</v>
      </c>
      <c r="K255" t="str">
        <f>IFERROR(IFERROR(IF(K$5='Conceptos Desglosados'!$H$4,VLOOKUP($A255,dormitorios,2,0),IF(K$5='Conceptos Desglosados'!$H$5,VLOOKUP($A255,comedor,2,0),IF(K$5='Conceptos Desglosados'!$H$6,VLOOKUP($A255,alojamiento,2,0),IF(K$5='Conceptos Desglosados'!$H$7,VLOOKUP($A255,sanidad,2,0),IF(K$5='Conceptos Desglosados'!$H$8,VLOOKUP($A255,servicios,2,0),IF(K$5='Conceptos Desglosados'!$H$9,VLOOKUP($A255,comyaloj,2,0),IF(K$5='Conceptos Desglosados'!$H$10,VLOOKUP($A255,comandancia,2,0),IF(K$5='Conceptos Desglosados'!$H$11,VLOOKUP($A255,mantenimiento,2,0),IF(K$5='Conceptos Desglosados'!$H$12,VLOOKUP($A255,serestatal,2,0),IF(K$5='Conceptos Desglosados'!$H$13,VLOOKUP($A255,conferencias,2,0),"")))))))))),"")*K$3,"")</f>
        <v/>
      </c>
      <c r="L255" t="str">
        <f>IFERROR(IFERROR(IF(L$5='Conceptos Desglosados'!$H$4,VLOOKUP($A255,dormitorios,2,0),IF(L$5='Conceptos Desglosados'!$H$5,VLOOKUP($A255,comedor,2,0),IF(L$5='Conceptos Desglosados'!$H$6,VLOOKUP($A255,alojamiento,2,0),IF(L$5='Conceptos Desglosados'!$H$7,VLOOKUP($A255,sanidad,2,0),IF(L$5='Conceptos Desglosados'!$H$8,VLOOKUP($A255,servicios,2,0),IF(L$5='Conceptos Desglosados'!$H$9,VLOOKUP($A255,comyaloj,2,0),IF(L$5='Conceptos Desglosados'!$H$10,VLOOKUP($A255,comandancia,2,0),IF(L$5='Conceptos Desglosados'!$H$11,VLOOKUP($A255,mantenimiento,2,0),IF(L$5='Conceptos Desglosados'!$H$12,VLOOKUP($A255,serestatal,2,0),IF(L$5='Conceptos Desglosados'!$H$13,VLOOKUP($A255,conferencias,2,0),"")))))))))),"")*L$3,"")</f>
        <v/>
      </c>
      <c r="M255" t="str">
        <f>IFERROR(IFERROR(IF(M$5='Conceptos Desglosados'!$H$4,VLOOKUP($A255,dormitorios,2,0),IF(M$5='Conceptos Desglosados'!$H$5,VLOOKUP($A255,comedor,2,0),IF(M$5='Conceptos Desglosados'!$H$6,VLOOKUP($A255,alojamiento,2,0),IF(M$5='Conceptos Desglosados'!$H$7,VLOOKUP($A255,sanidad,2,0),IF(M$5='Conceptos Desglosados'!$H$8,VLOOKUP($A255,servicios,2,0),IF(M$5='Conceptos Desglosados'!$H$9,VLOOKUP($A255,comyaloj,2,0),IF(M$5='Conceptos Desglosados'!$H$10,VLOOKUP($A255,comandancia,2,0),IF(M$5='Conceptos Desglosados'!$H$11,VLOOKUP($A255,mantenimiento,2,0),IF(M$5='Conceptos Desglosados'!$H$12,VLOOKUP($A255,serestatal,2,0),IF(M$5='Conceptos Desglosados'!$H$13,VLOOKUP($A255,conferencias,2,0),"")))))))))),"")*M$3,"")</f>
        <v/>
      </c>
      <c r="O255">
        <f>SUM(K255:M255)</f>
        <v>0</v>
      </c>
    </row>
    <row r="256" spans="1:15" x14ac:dyDescent="0.35">
      <c r="A256">
        <v>251</v>
      </c>
      <c r="B256" t="s">
        <v>10</v>
      </c>
      <c r="C256" t="s">
        <v>561</v>
      </c>
      <c r="D256" t="s">
        <v>549</v>
      </c>
      <c r="E256" t="s">
        <v>378</v>
      </c>
      <c r="F256" t="s">
        <v>883</v>
      </c>
      <c r="G256" t="s">
        <v>5</v>
      </c>
      <c r="H256">
        <v>1.99</v>
      </c>
      <c r="I256">
        <v>2.7149999999999999</v>
      </c>
      <c r="J256" t="s">
        <v>6</v>
      </c>
      <c r="K256" t="str">
        <f>IFERROR(IFERROR(IF(K$5='Conceptos Desglosados'!$H$4,VLOOKUP($A256,dormitorios,2,0),IF(K$5='Conceptos Desglosados'!$H$5,VLOOKUP($A256,comedor,2,0),IF(K$5='Conceptos Desglosados'!$H$6,VLOOKUP($A256,alojamiento,2,0),IF(K$5='Conceptos Desglosados'!$H$7,VLOOKUP($A256,sanidad,2,0),IF(K$5='Conceptos Desglosados'!$H$8,VLOOKUP($A256,servicios,2,0),IF(K$5='Conceptos Desglosados'!$H$9,VLOOKUP($A256,comyaloj,2,0),IF(K$5='Conceptos Desglosados'!$H$10,VLOOKUP($A256,comandancia,2,0),IF(K$5='Conceptos Desglosados'!$H$11,VLOOKUP($A256,mantenimiento,2,0),IF(K$5='Conceptos Desglosados'!$H$12,VLOOKUP($A256,serestatal,2,0),IF(K$5='Conceptos Desglosados'!$H$13,VLOOKUP($A256,conferencias,2,0),"")))))))))),"")*K$3,"")</f>
        <v/>
      </c>
      <c r="L256" t="str">
        <f>IFERROR(IFERROR(IF(L$5='Conceptos Desglosados'!$H$4,VLOOKUP($A256,dormitorios,2,0),IF(L$5='Conceptos Desglosados'!$H$5,VLOOKUP($A256,comedor,2,0),IF(L$5='Conceptos Desglosados'!$H$6,VLOOKUP($A256,alojamiento,2,0),IF(L$5='Conceptos Desglosados'!$H$7,VLOOKUP($A256,sanidad,2,0),IF(L$5='Conceptos Desglosados'!$H$8,VLOOKUP($A256,servicios,2,0),IF(L$5='Conceptos Desglosados'!$H$9,VLOOKUP($A256,comyaloj,2,0),IF(L$5='Conceptos Desglosados'!$H$10,VLOOKUP($A256,comandancia,2,0),IF(L$5='Conceptos Desglosados'!$H$11,VLOOKUP($A256,mantenimiento,2,0),IF(L$5='Conceptos Desglosados'!$H$12,VLOOKUP($A256,serestatal,2,0),IF(L$5='Conceptos Desglosados'!$H$13,VLOOKUP($A256,conferencias,2,0),"")))))))))),"")*L$3,"")</f>
        <v/>
      </c>
      <c r="M256" t="str">
        <f>IFERROR(IFERROR(IF(M$5='Conceptos Desglosados'!$H$4,VLOOKUP($A256,dormitorios,2,0),IF(M$5='Conceptos Desglosados'!$H$5,VLOOKUP($A256,comedor,2,0),IF(M$5='Conceptos Desglosados'!$H$6,VLOOKUP($A256,alojamiento,2,0),IF(M$5='Conceptos Desglosados'!$H$7,VLOOKUP($A256,sanidad,2,0),IF(M$5='Conceptos Desglosados'!$H$8,VLOOKUP($A256,servicios,2,0),IF(M$5='Conceptos Desglosados'!$H$9,VLOOKUP($A256,comyaloj,2,0),IF(M$5='Conceptos Desglosados'!$H$10,VLOOKUP($A256,comandancia,2,0),IF(M$5='Conceptos Desglosados'!$H$11,VLOOKUP($A256,mantenimiento,2,0),IF(M$5='Conceptos Desglosados'!$H$12,VLOOKUP($A256,serestatal,2,0),IF(M$5='Conceptos Desglosados'!$H$13,VLOOKUP($A256,conferencias,2,0),"")))))))))),"")*M$3,"")</f>
        <v/>
      </c>
      <c r="O256">
        <f>SUM(K256:M256)</f>
        <v>0</v>
      </c>
    </row>
    <row r="257" spans="1:15" x14ac:dyDescent="0.35">
      <c r="A257">
        <v>252</v>
      </c>
      <c r="B257" t="s">
        <v>10</v>
      </c>
      <c r="C257" t="s">
        <v>562</v>
      </c>
      <c r="D257" t="s">
        <v>550</v>
      </c>
      <c r="E257" t="s">
        <v>347</v>
      </c>
      <c r="F257" t="s">
        <v>883</v>
      </c>
      <c r="G257" t="s">
        <v>0</v>
      </c>
      <c r="H257">
        <v>1.62</v>
      </c>
      <c r="I257">
        <v>2.7149999999999999</v>
      </c>
      <c r="J257" t="s">
        <v>6</v>
      </c>
      <c r="K257" t="str">
        <f>IFERROR(IFERROR(IF(K$5='Conceptos Desglosados'!$H$4,VLOOKUP($A257,dormitorios,2,0),IF(K$5='Conceptos Desglosados'!$H$5,VLOOKUP($A257,comedor,2,0),IF(K$5='Conceptos Desglosados'!$H$6,VLOOKUP($A257,alojamiento,2,0),IF(K$5='Conceptos Desglosados'!$H$7,VLOOKUP($A257,sanidad,2,0),IF(K$5='Conceptos Desglosados'!$H$8,VLOOKUP($A257,servicios,2,0),IF(K$5='Conceptos Desglosados'!$H$9,VLOOKUP($A257,comyaloj,2,0),IF(K$5='Conceptos Desglosados'!$H$10,VLOOKUP($A257,comandancia,2,0),IF(K$5='Conceptos Desglosados'!$H$11,VLOOKUP($A257,mantenimiento,2,0),IF(K$5='Conceptos Desglosados'!$H$12,VLOOKUP($A257,serestatal,2,0),IF(K$5='Conceptos Desglosados'!$H$13,VLOOKUP($A257,conferencias,2,0),"")))))))))),"")*K$3,"")</f>
        <v/>
      </c>
      <c r="L257" t="str">
        <f>IFERROR(IFERROR(IF(L$5='Conceptos Desglosados'!$H$4,VLOOKUP($A257,dormitorios,2,0),IF(L$5='Conceptos Desglosados'!$H$5,VLOOKUP($A257,comedor,2,0),IF(L$5='Conceptos Desglosados'!$H$6,VLOOKUP($A257,alojamiento,2,0),IF(L$5='Conceptos Desglosados'!$H$7,VLOOKUP($A257,sanidad,2,0),IF(L$5='Conceptos Desglosados'!$H$8,VLOOKUP($A257,servicios,2,0),IF(L$5='Conceptos Desglosados'!$H$9,VLOOKUP($A257,comyaloj,2,0),IF(L$5='Conceptos Desglosados'!$H$10,VLOOKUP($A257,comandancia,2,0),IF(L$5='Conceptos Desglosados'!$H$11,VLOOKUP($A257,mantenimiento,2,0),IF(L$5='Conceptos Desglosados'!$H$12,VLOOKUP($A257,serestatal,2,0),IF(L$5='Conceptos Desglosados'!$H$13,VLOOKUP($A257,conferencias,2,0),"")))))))))),"")*L$3,"")</f>
        <v/>
      </c>
      <c r="M257" t="str">
        <f>IFERROR(IFERROR(IF(M$5='Conceptos Desglosados'!$H$4,VLOOKUP($A257,dormitorios,2,0),IF(M$5='Conceptos Desglosados'!$H$5,VLOOKUP($A257,comedor,2,0),IF(M$5='Conceptos Desglosados'!$H$6,VLOOKUP($A257,alojamiento,2,0),IF(M$5='Conceptos Desglosados'!$H$7,VLOOKUP($A257,sanidad,2,0),IF(M$5='Conceptos Desglosados'!$H$8,VLOOKUP($A257,servicios,2,0),IF(M$5='Conceptos Desglosados'!$H$9,VLOOKUP($A257,comyaloj,2,0),IF(M$5='Conceptos Desglosados'!$H$10,VLOOKUP($A257,comandancia,2,0),IF(M$5='Conceptos Desglosados'!$H$11,VLOOKUP($A257,mantenimiento,2,0),IF(M$5='Conceptos Desglosados'!$H$12,VLOOKUP($A257,serestatal,2,0),IF(M$5='Conceptos Desglosados'!$H$13,VLOOKUP($A257,conferencias,2,0),"")))))))))),"")*M$3,"")</f>
        <v/>
      </c>
      <c r="O257">
        <f>SUM(K257:M257)</f>
        <v>0</v>
      </c>
    </row>
    <row r="258" spans="1:15" x14ac:dyDescent="0.35">
      <c r="A258">
        <v>253</v>
      </c>
      <c r="B258" t="s">
        <v>10</v>
      </c>
      <c r="C258" t="s">
        <v>563</v>
      </c>
      <c r="D258" t="s">
        <v>551</v>
      </c>
      <c r="E258" t="s">
        <v>347</v>
      </c>
      <c r="F258" t="s">
        <v>883</v>
      </c>
      <c r="G258" t="s">
        <v>2</v>
      </c>
      <c r="H258">
        <v>1.34</v>
      </c>
      <c r="I258">
        <v>2.7149999999999999</v>
      </c>
      <c r="J258" t="s">
        <v>6</v>
      </c>
      <c r="K258" t="str">
        <f>IFERROR(IFERROR(IF(K$5='Conceptos Desglosados'!$H$4,VLOOKUP($A258,dormitorios,2,0),IF(K$5='Conceptos Desglosados'!$H$5,VLOOKUP($A258,comedor,2,0),IF(K$5='Conceptos Desglosados'!$H$6,VLOOKUP($A258,alojamiento,2,0),IF(K$5='Conceptos Desglosados'!$H$7,VLOOKUP($A258,sanidad,2,0),IF(K$5='Conceptos Desglosados'!$H$8,VLOOKUP($A258,servicios,2,0),IF(K$5='Conceptos Desglosados'!$H$9,VLOOKUP($A258,comyaloj,2,0),IF(K$5='Conceptos Desglosados'!$H$10,VLOOKUP($A258,comandancia,2,0),IF(K$5='Conceptos Desglosados'!$H$11,VLOOKUP($A258,mantenimiento,2,0),IF(K$5='Conceptos Desglosados'!$H$12,VLOOKUP($A258,serestatal,2,0),IF(K$5='Conceptos Desglosados'!$H$13,VLOOKUP($A258,conferencias,2,0),"")))))))))),"")*K$3,"")</f>
        <v/>
      </c>
      <c r="L258" t="str">
        <f>IFERROR(IFERROR(IF(L$5='Conceptos Desglosados'!$H$4,VLOOKUP($A258,dormitorios,2,0),IF(L$5='Conceptos Desglosados'!$H$5,VLOOKUP($A258,comedor,2,0),IF(L$5='Conceptos Desglosados'!$H$6,VLOOKUP($A258,alojamiento,2,0),IF(L$5='Conceptos Desglosados'!$H$7,VLOOKUP($A258,sanidad,2,0),IF(L$5='Conceptos Desglosados'!$H$8,VLOOKUP($A258,servicios,2,0),IF(L$5='Conceptos Desglosados'!$H$9,VLOOKUP($A258,comyaloj,2,0),IF(L$5='Conceptos Desglosados'!$H$10,VLOOKUP($A258,comandancia,2,0),IF(L$5='Conceptos Desglosados'!$H$11,VLOOKUP($A258,mantenimiento,2,0),IF(L$5='Conceptos Desglosados'!$H$12,VLOOKUP($A258,serestatal,2,0),IF(L$5='Conceptos Desglosados'!$H$13,VLOOKUP($A258,conferencias,2,0),"")))))))))),"")*L$3,"")</f>
        <v/>
      </c>
      <c r="M258" t="str">
        <f>IFERROR(IFERROR(IF(M$5='Conceptos Desglosados'!$H$4,VLOOKUP($A258,dormitorios,2,0),IF(M$5='Conceptos Desglosados'!$H$5,VLOOKUP($A258,comedor,2,0),IF(M$5='Conceptos Desglosados'!$H$6,VLOOKUP($A258,alojamiento,2,0),IF(M$5='Conceptos Desglosados'!$H$7,VLOOKUP($A258,sanidad,2,0),IF(M$5='Conceptos Desglosados'!$H$8,VLOOKUP($A258,servicios,2,0),IF(M$5='Conceptos Desglosados'!$H$9,VLOOKUP($A258,comyaloj,2,0),IF(M$5='Conceptos Desglosados'!$H$10,VLOOKUP($A258,comandancia,2,0),IF(M$5='Conceptos Desglosados'!$H$11,VLOOKUP($A258,mantenimiento,2,0),IF(M$5='Conceptos Desglosados'!$H$12,VLOOKUP($A258,serestatal,2,0),IF(M$5='Conceptos Desglosados'!$H$13,VLOOKUP($A258,conferencias,2,0),"")))))))))),"")*M$3,"")</f>
        <v/>
      </c>
      <c r="O258">
        <f>SUM(K258:M258)</f>
        <v>0</v>
      </c>
    </row>
    <row r="259" spans="1:15" x14ac:dyDescent="0.35">
      <c r="A259">
        <v>254</v>
      </c>
      <c r="B259" t="s">
        <v>10</v>
      </c>
      <c r="C259" t="s">
        <v>564</v>
      </c>
      <c r="D259" t="s">
        <v>554</v>
      </c>
      <c r="E259" t="s">
        <v>347</v>
      </c>
      <c r="F259" t="s">
        <v>883</v>
      </c>
      <c r="G259" t="s">
        <v>0</v>
      </c>
      <c r="H259">
        <v>1.31</v>
      </c>
      <c r="I259">
        <v>2.7149999999999999</v>
      </c>
      <c r="J259" t="s">
        <v>6</v>
      </c>
      <c r="K259" t="str">
        <f>IFERROR(IFERROR(IF(K$5='Conceptos Desglosados'!$H$4,VLOOKUP($A259,dormitorios,2,0),IF(K$5='Conceptos Desglosados'!$H$5,VLOOKUP($A259,comedor,2,0),IF(K$5='Conceptos Desglosados'!$H$6,VLOOKUP($A259,alojamiento,2,0),IF(K$5='Conceptos Desglosados'!$H$7,VLOOKUP($A259,sanidad,2,0),IF(K$5='Conceptos Desglosados'!$H$8,VLOOKUP($A259,servicios,2,0),IF(K$5='Conceptos Desglosados'!$H$9,VLOOKUP($A259,comyaloj,2,0),IF(K$5='Conceptos Desglosados'!$H$10,VLOOKUP($A259,comandancia,2,0),IF(K$5='Conceptos Desglosados'!$H$11,VLOOKUP($A259,mantenimiento,2,0),IF(K$5='Conceptos Desglosados'!$H$12,VLOOKUP($A259,serestatal,2,0),IF(K$5='Conceptos Desglosados'!$H$13,VLOOKUP($A259,conferencias,2,0),"")))))))))),"")*K$3,"")</f>
        <v/>
      </c>
      <c r="L259" t="str">
        <f>IFERROR(IFERROR(IF(L$5='Conceptos Desglosados'!$H$4,VLOOKUP($A259,dormitorios,2,0),IF(L$5='Conceptos Desglosados'!$H$5,VLOOKUP($A259,comedor,2,0),IF(L$5='Conceptos Desglosados'!$H$6,VLOOKUP($A259,alojamiento,2,0),IF(L$5='Conceptos Desglosados'!$H$7,VLOOKUP($A259,sanidad,2,0),IF(L$5='Conceptos Desglosados'!$H$8,VLOOKUP($A259,servicios,2,0),IF(L$5='Conceptos Desglosados'!$H$9,VLOOKUP($A259,comyaloj,2,0),IF(L$5='Conceptos Desglosados'!$H$10,VLOOKUP($A259,comandancia,2,0),IF(L$5='Conceptos Desglosados'!$H$11,VLOOKUP($A259,mantenimiento,2,0),IF(L$5='Conceptos Desglosados'!$H$12,VLOOKUP($A259,serestatal,2,0),IF(L$5='Conceptos Desglosados'!$H$13,VLOOKUP($A259,conferencias,2,0),"")))))))))),"")*L$3,"")</f>
        <v/>
      </c>
      <c r="M259" t="str">
        <f>IFERROR(IFERROR(IF(M$5='Conceptos Desglosados'!$H$4,VLOOKUP($A259,dormitorios,2,0),IF(M$5='Conceptos Desglosados'!$H$5,VLOOKUP($A259,comedor,2,0),IF(M$5='Conceptos Desglosados'!$H$6,VLOOKUP($A259,alojamiento,2,0),IF(M$5='Conceptos Desglosados'!$H$7,VLOOKUP($A259,sanidad,2,0),IF(M$5='Conceptos Desglosados'!$H$8,VLOOKUP($A259,servicios,2,0),IF(M$5='Conceptos Desglosados'!$H$9,VLOOKUP($A259,comyaloj,2,0),IF(M$5='Conceptos Desglosados'!$H$10,VLOOKUP($A259,comandancia,2,0),IF(M$5='Conceptos Desglosados'!$H$11,VLOOKUP($A259,mantenimiento,2,0),IF(M$5='Conceptos Desglosados'!$H$12,VLOOKUP($A259,serestatal,2,0),IF(M$5='Conceptos Desglosados'!$H$13,VLOOKUP($A259,conferencias,2,0),"")))))))))),"")*M$3,"")</f>
        <v/>
      </c>
      <c r="O259">
        <f>SUM(K259:M259)</f>
        <v>0</v>
      </c>
    </row>
    <row r="260" spans="1:15" x14ac:dyDescent="0.35">
      <c r="A260">
        <v>255</v>
      </c>
      <c r="B260" t="s">
        <v>10</v>
      </c>
      <c r="C260" t="s">
        <v>565</v>
      </c>
      <c r="D260" t="s">
        <v>555</v>
      </c>
      <c r="E260" t="s">
        <v>556</v>
      </c>
      <c r="F260" t="s">
        <v>883</v>
      </c>
      <c r="G260" t="s">
        <v>0</v>
      </c>
      <c r="H260">
        <v>1.25</v>
      </c>
      <c r="I260">
        <v>2.7149999999999999</v>
      </c>
      <c r="J260" t="s">
        <v>6</v>
      </c>
      <c r="K260" t="str">
        <f>IFERROR(IFERROR(IF(K$5='Conceptos Desglosados'!$H$4,VLOOKUP($A260,dormitorios,2,0),IF(K$5='Conceptos Desglosados'!$H$5,VLOOKUP($A260,comedor,2,0),IF(K$5='Conceptos Desglosados'!$H$6,VLOOKUP($A260,alojamiento,2,0),IF(K$5='Conceptos Desglosados'!$H$7,VLOOKUP($A260,sanidad,2,0),IF(K$5='Conceptos Desglosados'!$H$8,VLOOKUP($A260,servicios,2,0),IF(K$5='Conceptos Desglosados'!$H$9,VLOOKUP($A260,comyaloj,2,0),IF(K$5='Conceptos Desglosados'!$H$10,VLOOKUP($A260,comandancia,2,0),IF(K$5='Conceptos Desglosados'!$H$11,VLOOKUP($A260,mantenimiento,2,0),IF(K$5='Conceptos Desglosados'!$H$12,VLOOKUP($A260,serestatal,2,0),IF(K$5='Conceptos Desglosados'!$H$13,VLOOKUP($A260,conferencias,2,0),"")))))))))),"")*K$3,"")</f>
        <v/>
      </c>
      <c r="L260" t="str">
        <f>IFERROR(IFERROR(IF(L$5='Conceptos Desglosados'!$H$4,VLOOKUP($A260,dormitorios,2,0),IF(L$5='Conceptos Desglosados'!$H$5,VLOOKUP($A260,comedor,2,0),IF(L$5='Conceptos Desglosados'!$H$6,VLOOKUP($A260,alojamiento,2,0),IF(L$5='Conceptos Desglosados'!$H$7,VLOOKUP($A260,sanidad,2,0),IF(L$5='Conceptos Desglosados'!$H$8,VLOOKUP($A260,servicios,2,0),IF(L$5='Conceptos Desglosados'!$H$9,VLOOKUP($A260,comyaloj,2,0),IF(L$5='Conceptos Desglosados'!$H$10,VLOOKUP($A260,comandancia,2,0),IF(L$5='Conceptos Desglosados'!$H$11,VLOOKUP($A260,mantenimiento,2,0),IF(L$5='Conceptos Desglosados'!$H$12,VLOOKUP($A260,serestatal,2,0),IF(L$5='Conceptos Desglosados'!$H$13,VLOOKUP($A260,conferencias,2,0),"")))))))))),"")*L$3,"")</f>
        <v/>
      </c>
      <c r="M260" t="str">
        <f>IFERROR(IFERROR(IF(M$5='Conceptos Desglosados'!$H$4,VLOOKUP($A260,dormitorios,2,0),IF(M$5='Conceptos Desglosados'!$H$5,VLOOKUP($A260,comedor,2,0),IF(M$5='Conceptos Desglosados'!$H$6,VLOOKUP($A260,alojamiento,2,0),IF(M$5='Conceptos Desglosados'!$H$7,VLOOKUP($A260,sanidad,2,0),IF(M$5='Conceptos Desglosados'!$H$8,VLOOKUP($A260,servicios,2,0),IF(M$5='Conceptos Desglosados'!$H$9,VLOOKUP($A260,comyaloj,2,0),IF(M$5='Conceptos Desglosados'!$H$10,VLOOKUP($A260,comandancia,2,0),IF(M$5='Conceptos Desglosados'!$H$11,VLOOKUP($A260,mantenimiento,2,0),IF(M$5='Conceptos Desglosados'!$H$12,VLOOKUP($A260,serestatal,2,0),IF(M$5='Conceptos Desglosados'!$H$13,VLOOKUP($A260,conferencias,2,0),"")))))))))),"")*M$3,"")</f>
        <v/>
      </c>
      <c r="O260">
        <f>SUM(K260:M260)</f>
        <v>0</v>
      </c>
    </row>
    <row r="261" spans="1:15" x14ac:dyDescent="0.35">
      <c r="A261">
        <v>256</v>
      </c>
      <c r="B261" t="s">
        <v>10</v>
      </c>
      <c r="C261" t="s">
        <v>566</v>
      </c>
      <c r="D261" t="s">
        <v>567</v>
      </c>
      <c r="E261" t="s">
        <v>347</v>
      </c>
      <c r="F261" t="s">
        <v>883</v>
      </c>
      <c r="G261" t="s">
        <v>0</v>
      </c>
      <c r="H261">
        <v>1.95</v>
      </c>
      <c r="I261">
        <v>2.7149999999999999</v>
      </c>
      <c r="J261" t="s">
        <v>6</v>
      </c>
      <c r="K261" t="str">
        <f>IFERROR(IFERROR(IF(K$5='Conceptos Desglosados'!$H$4,VLOOKUP($A261,dormitorios,2,0),IF(K$5='Conceptos Desglosados'!$H$5,VLOOKUP($A261,comedor,2,0),IF(K$5='Conceptos Desglosados'!$H$6,VLOOKUP($A261,alojamiento,2,0),IF(K$5='Conceptos Desglosados'!$H$7,VLOOKUP($A261,sanidad,2,0),IF(K$5='Conceptos Desglosados'!$H$8,VLOOKUP($A261,servicios,2,0),IF(K$5='Conceptos Desglosados'!$H$9,VLOOKUP($A261,comyaloj,2,0),IF(K$5='Conceptos Desglosados'!$H$10,VLOOKUP($A261,comandancia,2,0),IF(K$5='Conceptos Desglosados'!$H$11,VLOOKUP($A261,mantenimiento,2,0),IF(K$5='Conceptos Desglosados'!$H$12,VLOOKUP($A261,serestatal,2,0),IF(K$5='Conceptos Desglosados'!$H$13,VLOOKUP($A261,conferencias,2,0),"")))))))))),"")*K$3,"")</f>
        <v/>
      </c>
      <c r="L261" t="str">
        <f>IFERROR(IFERROR(IF(L$5='Conceptos Desglosados'!$H$4,VLOOKUP($A261,dormitorios,2,0),IF(L$5='Conceptos Desglosados'!$H$5,VLOOKUP($A261,comedor,2,0),IF(L$5='Conceptos Desglosados'!$H$6,VLOOKUP($A261,alojamiento,2,0),IF(L$5='Conceptos Desglosados'!$H$7,VLOOKUP($A261,sanidad,2,0),IF(L$5='Conceptos Desglosados'!$H$8,VLOOKUP($A261,servicios,2,0),IF(L$5='Conceptos Desglosados'!$H$9,VLOOKUP($A261,comyaloj,2,0),IF(L$5='Conceptos Desglosados'!$H$10,VLOOKUP($A261,comandancia,2,0),IF(L$5='Conceptos Desglosados'!$H$11,VLOOKUP($A261,mantenimiento,2,0),IF(L$5='Conceptos Desglosados'!$H$12,VLOOKUP($A261,serestatal,2,0),IF(L$5='Conceptos Desglosados'!$H$13,VLOOKUP($A261,conferencias,2,0),"")))))))))),"")*L$3,"")</f>
        <v/>
      </c>
      <c r="M261" t="str">
        <f>IFERROR(IFERROR(IF(M$5='Conceptos Desglosados'!$H$4,VLOOKUP($A261,dormitorios,2,0),IF(M$5='Conceptos Desglosados'!$H$5,VLOOKUP($A261,comedor,2,0),IF(M$5='Conceptos Desglosados'!$H$6,VLOOKUP($A261,alojamiento,2,0),IF(M$5='Conceptos Desglosados'!$H$7,VLOOKUP($A261,sanidad,2,0),IF(M$5='Conceptos Desglosados'!$H$8,VLOOKUP($A261,servicios,2,0),IF(M$5='Conceptos Desglosados'!$H$9,VLOOKUP($A261,comyaloj,2,0),IF(M$5='Conceptos Desglosados'!$H$10,VLOOKUP($A261,comandancia,2,0),IF(M$5='Conceptos Desglosados'!$H$11,VLOOKUP($A261,mantenimiento,2,0),IF(M$5='Conceptos Desglosados'!$H$12,VLOOKUP($A261,serestatal,2,0),IF(M$5='Conceptos Desglosados'!$H$13,VLOOKUP($A261,conferencias,2,0),"")))))))))),"")*M$3,"")</f>
        <v/>
      </c>
      <c r="O261">
        <f>SUM(K261:M261)</f>
        <v>0</v>
      </c>
    </row>
    <row r="262" spans="1:15" x14ac:dyDescent="0.35">
      <c r="A262">
        <v>257</v>
      </c>
      <c r="B262" t="s">
        <v>10</v>
      </c>
      <c r="C262" t="s">
        <v>568</v>
      </c>
      <c r="D262" t="s">
        <v>569</v>
      </c>
      <c r="E262" t="s">
        <v>347</v>
      </c>
      <c r="F262" t="s">
        <v>883</v>
      </c>
      <c r="G262" t="s">
        <v>0</v>
      </c>
      <c r="H262">
        <v>1.45</v>
      </c>
      <c r="I262">
        <v>2.7149999999999999</v>
      </c>
      <c r="J262" t="s">
        <v>6</v>
      </c>
      <c r="K262" t="str">
        <f>IFERROR(IFERROR(IF(K$5='Conceptos Desglosados'!$H$4,VLOOKUP($A262,dormitorios,2,0),IF(K$5='Conceptos Desglosados'!$H$5,VLOOKUP($A262,comedor,2,0),IF(K$5='Conceptos Desglosados'!$H$6,VLOOKUP($A262,alojamiento,2,0),IF(K$5='Conceptos Desglosados'!$H$7,VLOOKUP($A262,sanidad,2,0),IF(K$5='Conceptos Desglosados'!$H$8,VLOOKUP($A262,servicios,2,0),IF(K$5='Conceptos Desglosados'!$H$9,VLOOKUP($A262,comyaloj,2,0),IF(K$5='Conceptos Desglosados'!$H$10,VLOOKUP($A262,comandancia,2,0),IF(K$5='Conceptos Desglosados'!$H$11,VLOOKUP($A262,mantenimiento,2,0),IF(K$5='Conceptos Desglosados'!$H$12,VLOOKUP($A262,serestatal,2,0),IF(K$5='Conceptos Desglosados'!$H$13,VLOOKUP($A262,conferencias,2,0),"")))))))))),"")*K$3,"")</f>
        <v/>
      </c>
      <c r="L262" t="str">
        <f>IFERROR(IFERROR(IF(L$5='Conceptos Desglosados'!$H$4,VLOOKUP($A262,dormitorios,2,0),IF(L$5='Conceptos Desglosados'!$H$5,VLOOKUP($A262,comedor,2,0),IF(L$5='Conceptos Desglosados'!$H$6,VLOOKUP($A262,alojamiento,2,0),IF(L$5='Conceptos Desglosados'!$H$7,VLOOKUP($A262,sanidad,2,0),IF(L$5='Conceptos Desglosados'!$H$8,VLOOKUP($A262,servicios,2,0),IF(L$5='Conceptos Desglosados'!$H$9,VLOOKUP($A262,comyaloj,2,0),IF(L$5='Conceptos Desglosados'!$H$10,VLOOKUP($A262,comandancia,2,0),IF(L$5='Conceptos Desglosados'!$H$11,VLOOKUP($A262,mantenimiento,2,0),IF(L$5='Conceptos Desglosados'!$H$12,VLOOKUP($A262,serestatal,2,0),IF(L$5='Conceptos Desglosados'!$H$13,VLOOKUP($A262,conferencias,2,0),"")))))))))),"")*L$3,"")</f>
        <v/>
      </c>
      <c r="M262" t="str">
        <f>IFERROR(IFERROR(IF(M$5='Conceptos Desglosados'!$H$4,VLOOKUP($A262,dormitorios,2,0),IF(M$5='Conceptos Desglosados'!$H$5,VLOOKUP($A262,comedor,2,0),IF(M$5='Conceptos Desglosados'!$H$6,VLOOKUP($A262,alojamiento,2,0),IF(M$5='Conceptos Desglosados'!$H$7,VLOOKUP($A262,sanidad,2,0),IF(M$5='Conceptos Desglosados'!$H$8,VLOOKUP($A262,servicios,2,0),IF(M$5='Conceptos Desglosados'!$H$9,VLOOKUP($A262,comyaloj,2,0),IF(M$5='Conceptos Desglosados'!$H$10,VLOOKUP($A262,comandancia,2,0),IF(M$5='Conceptos Desglosados'!$H$11,VLOOKUP($A262,mantenimiento,2,0),IF(M$5='Conceptos Desglosados'!$H$12,VLOOKUP($A262,serestatal,2,0),IF(M$5='Conceptos Desglosados'!$H$13,VLOOKUP($A262,conferencias,2,0),"")))))))))),"")*M$3,"")</f>
        <v/>
      </c>
      <c r="O262">
        <f>SUM(K262:M262)</f>
        <v>0</v>
      </c>
    </row>
    <row r="263" spans="1:15" x14ac:dyDescent="0.35">
      <c r="A263">
        <v>258</v>
      </c>
      <c r="B263" t="s">
        <v>10</v>
      </c>
      <c r="C263" t="s">
        <v>574</v>
      </c>
      <c r="D263" t="s">
        <v>575</v>
      </c>
      <c r="E263" t="s">
        <v>22</v>
      </c>
      <c r="F263" t="s">
        <v>883</v>
      </c>
      <c r="G263" t="s">
        <v>0</v>
      </c>
      <c r="H263">
        <v>1.9</v>
      </c>
      <c r="I263">
        <v>2.7149999999999999</v>
      </c>
      <c r="J263" t="s">
        <v>6</v>
      </c>
      <c r="K263" t="str">
        <f>IFERROR(IFERROR(IF(K$5='Conceptos Desglosados'!$H$4,VLOOKUP($A263,dormitorios,2,0),IF(K$5='Conceptos Desglosados'!$H$5,VLOOKUP($A263,comedor,2,0),IF(K$5='Conceptos Desglosados'!$H$6,VLOOKUP($A263,alojamiento,2,0),IF(K$5='Conceptos Desglosados'!$H$7,VLOOKUP($A263,sanidad,2,0),IF(K$5='Conceptos Desglosados'!$H$8,VLOOKUP($A263,servicios,2,0),IF(K$5='Conceptos Desglosados'!$H$9,VLOOKUP($A263,comyaloj,2,0),IF(K$5='Conceptos Desglosados'!$H$10,VLOOKUP($A263,comandancia,2,0),IF(K$5='Conceptos Desglosados'!$H$11,VLOOKUP($A263,mantenimiento,2,0),IF(K$5='Conceptos Desglosados'!$H$12,VLOOKUP($A263,serestatal,2,0),IF(K$5='Conceptos Desglosados'!$H$13,VLOOKUP($A263,conferencias,2,0),"")))))))))),"")*K$3,"")</f>
        <v/>
      </c>
      <c r="L263" t="str">
        <f>IFERROR(IFERROR(IF(L$5='Conceptos Desglosados'!$H$4,VLOOKUP($A263,dormitorios,2,0),IF(L$5='Conceptos Desglosados'!$H$5,VLOOKUP($A263,comedor,2,0),IF(L$5='Conceptos Desglosados'!$H$6,VLOOKUP($A263,alojamiento,2,0),IF(L$5='Conceptos Desglosados'!$H$7,VLOOKUP($A263,sanidad,2,0),IF(L$5='Conceptos Desglosados'!$H$8,VLOOKUP($A263,servicios,2,0),IF(L$5='Conceptos Desglosados'!$H$9,VLOOKUP($A263,comyaloj,2,0),IF(L$5='Conceptos Desglosados'!$H$10,VLOOKUP($A263,comandancia,2,0),IF(L$5='Conceptos Desglosados'!$H$11,VLOOKUP($A263,mantenimiento,2,0),IF(L$5='Conceptos Desglosados'!$H$12,VLOOKUP($A263,serestatal,2,0),IF(L$5='Conceptos Desglosados'!$H$13,VLOOKUP($A263,conferencias,2,0),"")))))))))),"")*L$3,"")</f>
        <v/>
      </c>
      <c r="M263" t="str">
        <f>IFERROR(IFERROR(IF(M$5='Conceptos Desglosados'!$H$4,VLOOKUP($A263,dormitorios,2,0),IF(M$5='Conceptos Desglosados'!$H$5,VLOOKUP($A263,comedor,2,0),IF(M$5='Conceptos Desglosados'!$H$6,VLOOKUP($A263,alojamiento,2,0),IF(M$5='Conceptos Desglosados'!$H$7,VLOOKUP($A263,sanidad,2,0),IF(M$5='Conceptos Desglosados'!$H$8,VLOOKUP($A263,servicios,2,0),IF(M$5='Conceptos Desglosados'!$H$9,VLOOKUP($A263,comyaloj,2,0),IF(M$5='Conceptos Desglosados'!$H$10,VLOOKUP($A263,comandancia,2,0),IF(M$5='Conceptos Desglosados'!$H$11,VLOOKUP($A263,mantenimiento,2,0),IF(M$5='Conceptos Desglosados'!$H$12,VLOOKUP($A263,serestatal,2,0),IF(M$5='Conceptos Desglosados'!$H$13,VLOOKUP($A263,conferencias,2,0),"")))))))))),"")*M$3,"")</f>
        <v/>
      </c>
      <c r="O263">
        <f>SUM(K263:M263)</f>
        <v>0</v>
      </c>
    </row>
    <row r="264" spans="1:15" x14ac:dyDescent="0.35">
      <c r="A264">
        <v>259</v>
      </c>
      <c r="B264" t="s">
        <v>10</v>
      </c>
      <c r="C264" t="s">
        <v>591</v>
      </c>
      <c r="D264" t="s">
        <v>592</v>
      </c>
      <c r="E264" t="s">
        <v>348</v>
      </c>
      <c r="F264" t="s">
        <v>883</v>
      </c>
      <c r="G264" t="s">
        <v>0</v>
      </c>
      <c r="H264">
        <v>2.02</v>
      </c>
      <c r="I264">
        <v>2.7149999999999999</v>
      </c>
      <c r="J264" t="s">
        <v>6</v>
      </c>
      <c r="K264" t="str">
        <f>IFERROR(IFERROR(IF(K$5='Conceptos Desglosados'!$H$4,VLOOKUP($A264,dormitorios,2,0),IF(K$5='Conceptos Desglosados'!$H$5,VLOOKUP($A264,comedor,2,0),IF(K$5='Conceptos Desglosados'!$H$6,VLOOKUP($A264,alojamiento,2,0),IF(K$5='Conceptos Desglosados'!$H$7,VLOOKUP($A264,sanidad,2,0),IF(K$5='Conceptos Desglosados'!$H$8,VLOOKUP($A264,servicios,2,0),IF(K$5='Conceptos Desglosados'!$H$9,VLOOKUP($A264,comyaloj,2,0),IF(K$5='Conceptos Desglosados'!$H$10,VLOOKUP($A264,comandancia,2,0),IF(K$5='Conceptos Desglosados'!$H$11,VLOOKUP($A264,mantenimiento,2,0),IF(K$5='Conceptos Desglosados'!$H$12,VLOOKUP($A264,serestatal,2,0),IF(K$5='Conceptos Desglosados'!$H$13,VLOOKUP($A264,conferencias,2,0),"")))))))))),"")*K$3,"")</f>
        <v/>
      </c>
      <c r="L264" t="str">
        <f>IFERROR(IFERROR(IF(L$5='Conceptos Desglosados'!$H$4,VLOOKUP($A264,dormitorios,2,0),IF(L$5='Conceptos Desglosados'!$H$5,VLOOKUP($A264,comedor,2,0),IF(L$5='Conceptos Desglosados'!$H$6,VLOOKUP($A264,alojamiento,2,0),IF(L$5='Conceptos Desglosados'!$H$7,VLOOKUP($A264,sanidad,2,0),IF(L$5='Conceptos Desglosados'!$H$8,VLOOKUP($A264,servicios,2,0),IF(L$5='Conceptos Desglosados'!$H$9,VLOOKUP($A264,comyaloj,2,0),IF(L$5='Conceptos Desglosados'!$H$10,VLOOKUP($A264,comandancia,2,0),IF(L$5='Conceptos Desglosados'!$H$11,VLOOKUP($A264,mantenimiento,2,0),IF(L$5='Conceptos Desglosados'!$H$12,VLOOKUP($A264,serestatal,2,0),IF(L$5='Conceptos Desglosados'!$H$13,VLOOKUP($A264,conferencias,2,0),"")))))))))),"")*L$3,"")</f>
        <v/>
      </c>
      <c r="M264" t="str">
        <f>IFERROR(IFERROR(IF(M$5='Conceptos Desglosados'!$H$4,VLOOKUP($A264,dormitorios,2,0),IF(M$5='Conceptos Desglosados'!$H$5,VLOOKUP($A264,comedor,2,0),IF(M$5='Conceptos Desglosados'!$H$6,VLOOKUP($A264,alojamiento,2,0),IF(M$5='Conceptos Desglosados'!$H$7,VLOOKUP($A264,sanidad,2,0),IF(M$5='Conceptos Desglosados'!$H$8,VLOOKUP($A264,servicios,2,0),IF(M$5='Conceptos Desglosados'!$H$9,VLOOKUP($A264,comyaloj,2,0),IF(M$5='Conceptos Desglosados'!$H$10,VLOOKUP($A264,comandancia,2,0),IF(M$5='Conceptos Desglosados'!$H$11,VLOOKUP($A264,mantenimiento,2,0),IF(M$5='Conceptos Desglosados'!$H$12,VLOOKUP($A264,serestatal,2,0),IF(M$5='Conceptos Desglosados'!$H$13,VLOOKUP($A264,conferencias,2,0),"")))))))))),"")*M$3,"")</f>
        <v/>
      </c>
      <c r="O264">
        <f>SUM(K264:M264)</f>
        <v>0</v>
      </c>
    </row>
    <row r="265" spans="1:15" x14ac:dyDescent="0.35">
      <c r="A265">
        <v>260</v>
      </c>
      <c r="B265" t="s">
        <v>10</v>
      </c>
      <c r="C265" t="s">
        <v>627</v>
      </c>
      <c r="D265" t="s">
        <v>628</v>
      </c>
      <c r="E265" t="s">
        <v>22</v>
      </c>
      <c r="F265" t="s">
        <v>883</v>
      </c>
      <c r="G265" t="s">
        <v>0</v>
      </c>
      <c r="H265">
        <v>1.23</v>
      </c>
      <c r="I265">
        <v>2.7149999999999999</v>
      </c>
      <c r="J265" t="s">
        <v>6</v>
      </c>
      <c r="K265" t="str">
        <f>IFERROR(IFERROR(IF(K$5='Conceptos Desglosados'!$H$4,VLOOKUP($A265,dormitorios,2,0),IF(K$5='Conceptos Desglosados'!$H$5,VLOOKUP($A265,comedor,2,0),IF(K$5='Conceptos Desglosados'!$H$6,VLOOKUP($A265,alojamiento,2,0),IF(K$5='Conceptos Desglosados'!$H$7,VLOOKUP($A265,sanidad,2,0),IF(K$5='Conceptos Desglosados'!$H$8,VLOOKUP($A265,servicios,2,0),IF(K$5='Conceptos Desglosados'!$H$9,VLOOKUP($A265,comyaloj,2,0),IF(K$5='Conceptos Desglosados'!$H$10,VLOOKUP($A265,comandancia,2,0),IF(K$5='Conceptos Desglosados'!$H$11,VLOOKUP($A265,mantenimiento,2,0),IF(K$5='Conceptos Desglosados'!$H$12,VLOOKUP($A265,serestatal,2,0),IF(K$5='Conceptos Desglosados'!$H$13,VLOOKUP($A265,conferencias,2,0),"")))))))))),"")*K$3,"")</f>
        <v/>
      </c>
      <c r="L265" t="str">
        <f>IFERROR(IFERROR(IF(L$5='Conceptos Desglosados'!$H$4,VLOOKUP($A265,dormitorios,2,0),IF(L$5='Conceptos Desglosados'!$H$5,VLOOKUP($A265,comedor,2,0),IF(L$5='Conceptos Desglosados'!$H$6,VLOOKUP($A265,alojamiento,2,0),IF(L$5='Conceptos Desglosados'!$H$7,VLOOKUP($A265,sanidad,2,0),IF(L$5='Conceptos Desglosados'!$H$8,VLOOKUP($A265,servicios,2,0),IF(L$5='Conceptos Desglosados'!$H$9,VLOOKUP($A265,comyaloj,2,0),IF(L$5='Conceptos Desglosados'!$H$10,VLOOKUP($A265,comandancia,2,0),IF(L$5='Conceptos Desglosados'!$H$11,VLOOKUP($A265,mantenimiento,2,0),IF(L$5='Conceptos Desglosados'!$H$12,VLOOKUP($A265,serestatal,2,0),IF(L$5='Conceptos Desglosados'!$H$13,VLOOKUP($A265,conferencias,2,0),"")))))))))),"")*L$3,"")</f>
        <v/>
      </c>
      <c r="M265" t="str">
        <f>IFERROR(IFERROR(IF(M$5='Conceptos Desglosados'!$H$4,VLOOKUP($A265,dormitorios,2,0),IF(M$5='Conceptos Desglosados'!$H$5,VLOOKUP($A265,comedor,2,0),IF(M$5='Conceptos Desglosados'!$H$6,VLOOKUP($A265,alojamiento,2,0),IF(M$5='Conceptos Desglosados'!$H$7,VLOOKUP($A265,sanidad,2,0),IF(M$5='Conceptos Desglosados'!$H$8,VLOOKUP($A265,servicios,2,0),IF(M$5='Conceptos Desglosados'!$H$9,VLOOKUP($A265,comyaloj,2,0),IF(M$5='Conceptos Desglosados'!$H$10,VLOOKUP($A265,comandancia,2,0),IF(M$5='Conceptos Desglosados'!$H$11,VLOOKUP($A265,mantenimiento,2,0),IF(M$5='Conceptos Desglosados'!$H$12,VLOOKUP($A265,serestatal,2,0),IF(M$5='Conceptos Desglosados'!$H$13,VLOOKUP($A265,conferencias,2,0),"")))))))))),"")*M$3,"")</f>
        <v/>
      </c>
      <c r="O265">
        <f>SUM(K265:M265)</f>
        <v>0</v>
      </c>
    </row>
    <row r="266" spans="1:15" x14ac:dyDescent="0.35">
      <c r="A266">
        <v>261</v>
      </c>
      <c r="B266" t="s">
        <v>10</v>
      </c>
      <c r="C266" t="s">
        <v>629</v>
      </c>
      <c r="D266" t="s">
        <v>630</v>
      </c>
      <c r="E266" t="s">
        <v>348</v>
      </c>
      <c r="F266" t="s">
        <v>883</v>
      </c>
      <c r="G266" t="s">
        <v>2</v>
      </c>
      <c r="H266">
        <v>1.99</v>
      </c>
      <c r="I266">
        <v>2.7149999999999999</v>
      </c>
      <c r="J266" t="s">
        <v>6</v>
      </c>
      <c r="K266" t="str">
        <f>IFERROR(IFERROR(IF(K$5='Conceptos Desglosados'!$H$4,VLOOKUP($A266,dormitorios,2,0),IF(K$5='Conceptos Desglosados'!$H$5,VLOOKUP($A266,comedor,2,0),IF(K$5='Conceptos Desglosados'!$H$6,VLOOKUP($A266,alojamiento,2,0),IF(K$5='Conceptos Desglosados'!$H$7,VLOOKUP($A266,sanidad,2,0),IF(K$5='Conceptos Desglosados'!$H$8,VLOOKUP($A266,servicios,2,0),IF(K$5='Conceptos Desglosados'!$H$9,VLOOKUP($A266,comyaloj,2,0),IF(K$5='Conceptos Desglosados'!$H$10,VLOOKUP($A266,comandancia,2,0),IF(K$5='Conceptos Desglosados'!$H$11,VLOOKUP($A266,mantenimiento,2,0),IF(K$5='Conceptos Desglosados'!$H$12,VLOOKUP($A266,serestatal,2,0),IF(K$5='Conceptos Desglosados'!$H$13,VLOOKUP($A266,conferencias,2,0),"")))))))))),"")*K$3,"")</f>
        <v/>
      </c>
      <c r="L266" t="str">
        <f>IFERROR(IFERROR(IF(L$5='Conceptos Desglosados'!$H$4,VLOOKUP($A266,dormitorios,2,0),IF(L$5='Conceptos Desglosados'!$H$5,VLOOKUP($A266,comedor,2,0),IF(L$5='Conceptos Desglosados'!$H$6,VLOOKUP($A266,alojamiento,2,0),IF(L$5='Conceptos Desglosados'!$H$7,VLOOKUP($A266,sanidad,2,0),IF(L$5='Conceptos Desglosados'!$H$8,VLOOKUP($A266,servicios,2,0),IF(L$5='Conceptos Desglosados'!$H$9,VLOOKUP($A266,comyaloj,2,0),IF(L$5='Conceptos Desglosados'!$H$10,VLOOKUP($A266,comandancia,2,0),IF(L$5='Conceptos Desglosados'!$H$11,VLOOKUP($A266,mantenimiento,2,0),IF(L$5='Conceptos Desglosados'!$H$12,VLOOKUP($A266,serestatal,2,0),IF(L$5='Conceptos Desglosados'!$H$13,VLOOKUP($A266,conferencias,2,0),"")))))))))),"")*L$3,"")</f>
        <v/>
      </c>
      <c r="M266" t="str">
        <f>IFERROR(IFERROR(IF(M$5='Conceptos Desglosados'!$H$4,VLOOKUP($A266,dormitorios,2,0),IF(M$5='Conceptos Desglosados'!$H$5,VLOOKUP($A266,comedor,2,0),IF(M$5='Conceptos Desglosados'!$H$6,VLOOKUP($A266,alojamiento,2,0),IF(M$5='Conceptos Desglosados'!$H$7,VLOOKUP($A266,sanidad,2,0),IF(M$5='Conceptos Desglosados'!$H$8,VLOOKUP($A266,servicios,2,0),IF(M$5='Conceptos Desglosados'!$H$9,VLOOKUP($A266,comyaloj,2,0),IF(M$5='Conceptos Desglosados'!$H$10,VLOOKUP($A266,comandancia,2,0),IF(M$5='Conceptos Desglosados'!$H$11,VLOOKUP($A266,mantenimiento,2,0),IF(M$5='Conceptos Desglosados'!$H$12,VLOOKUP($A266,serestatal,2,0),IF(M$5='Conceptos Desglosados'!$H$13,VLOOKUP($A266,conferencias,2,0),"")))))))))),"")*M$3,"")</f>
        <v/>
      </c>
      <c r="O266">
        <f>SUM(K266:M266)</f>
        <v>0</v>
      </c>
    </row>
    <row r="267" spans="1:15" x14ac:dyDescent="0.35">
      <c r="A267">
        <v>262</v>
      </c>
      <c r="B267" t="s">
        <v>10</v>
      </c>
      <c r="C267" t="s">
        <v>635</v>
      </c>
      <c r="D267" t="s">
        <v>636</v>
      </c>
      <c r="E267" t="s">
        <v>22</v>
      </c>
      <c r="F267" t="s">
        <v>883</v>
      </c>
      <c r="G267" t="s">
        <v>0</v>
      </c>
      <c r="H267">
        <v>1.42</v>
      </c>
      <c r="I267">
        <v>2.7149999999999999</v>
      </c>
      <c r="J267" t="s">
        <v>6</v>
      </c>
      <c r="K267" t="str">
        <f>IFERROR(IFERROR(IF(K$5='Conceptos Desglosados'!$H$4,VLOOKUP($A267,dormitorios,2,0),IF(K$5='Conceptos Desglosados'!$H$5,VLOOKUP($A267,comedor,2,0),IF(K$5='Conceptos Desglosados'!$H$6,VLOOKUP($A267,alojamiento,2,0),IF(K$5='Conceptos Desglosados'!$H$7,VLOOKUP($A267,sanidad,2,0),IF(K$5='Conceptos Desglosados'!$H$8,VLOOKUP($A267,servicios,2,0),IF(K$5='Conceptos Desglosados'!$H$9,VLOOKUP($A267,comyaloj,2,0),IF(K$5='Conceptos Desglosados'!$H$10,VLOOKUP($A267,comandancia,2,0),IF(K$5='Conceptos Desglosados'!$H$11,VLOOKUP($A267,mantenimiento,2,0),IF(K$5='Conceptos Desglosados'!$H$12,VLOOKUP($A267,serestatal,2,0),IF(K$5='Conceptos Desglosados'!$H$13,VLOOKUP($A267,conferencias,2,0),"")))))))))),"")*K$3,"")</f>
        <v/>
      </c>
      <c r="L267" t="str">
        <f>IFERROR(IFERROR(IF(L$5='Conceptos Desglosados'!$H$4,VLOOKUP($A267,dormitorios,2,0),IF(L$5='Conceptos Desglosados'!$H$5,VLOOKUP($A267,comedor,2,0),IF(L$5='Conceptos Desglosados'!$H$6,VLOOKUP($A267,alojamiento,2,0),IF(L$5='Conceptos Desglosados'!$H$7,VLOOKUP($A267,sanidad,2,0),IF(L$5='Conceptos Desglosados'!$H$8,VLOOKUP($A267,servicios,2,0),IF(L$5='Conceptos Desglosados'!$H$9,VLOOKUP($A267,comyaloj,2,0),IF(L$5='Conceptos Desglosados'!$H$10,VLOOKUP($A267,comandancia,2,0),IF(L$5='Conceptos Desglosados'!$H$11,VLOOKUP($A267,mantenimiento,2,0),IF(L$5='Conceptos Desglosados'!$H$12,VLOOKUP($A267,serestatal,2,0),IF(L$5='Conceptos Desglosados'!$H$13,VLOOKUP($A267,conferencias,2,0),"")))))))))),"")*L$3,"")</f>
        <v/>
      </c>
      <c r="M267" t="str">
        <f>IFERROR(IFERROR(IF(M$5='Conceptos Desglosados'!$H$4,VLOOKUP($A267,dormitorios,2,0),IF(M$5='Conceptos Desglosados'!$H$5,VLOOKUP($A267,comedor,2,0),IF(M$5='Conceptos Desglosados'!$H$6,VLOOKUP($A267,alojamiento,2,0),IF(M$5='Conceptos Desglosados'!$H$7,VLOOKUP($A267,sanidad,2,0),IF(M$5='Conceptos Desglosados'!$H$8,VLOOKUP($A267,servicios,2,0),IF(M$5='Conceptos Desglosados'!$H$9,VLOOKUP($A267,comyaloj,2,0),IF(M$5='Conceptos Desglosados'!$H$10,VLOOKUP($A267,comandancia,2,0),IF(M$5='Conceptos Desglosados'!$H$11,VLOOKUP($A267,mantenimiento,2,0),IF(M$5='Conceptos Desglosados'!$H$12,VLOOKUP($A267,serestatal,2,0),IF(M$5='Conceptos Desglosados'!$H$13,VLOOKUP($A267,conferencias,2,0),"")))))))))),"")*M$3,"")</f>
        <v/>
      </c>
      <c r="O267">
        <f>SUM(K267:M267)</f>
        <v>0</v>
      </c>
    </row>
    <row r="268" spans="1:15" x14ac:dyDescent="0.35">
      <c r="A268">
        <v>263</v>
      </c>
      <c r="B268" t="s">
        <v>10</v>
      </c>
      <c r="C268" t="s">
        <v>637</v>
      </c>
      <c r="D268" t="s">
        <v>638</v>
      </c>
      <c r="E268" t="s">
        <v>22</v>
      </c>
      <c r="F268" t="s">
        <v>883</v>
      </c>
      <c r="G268" t="s">
        <v>0</v>
      </c>
      <c r="H268">
        <v>1.1299999999999999</v>
      </c>
      <c r="I268">
        <v>2.7149999999999999</v>
      </c>
      <c r="J268" t="s">
        <v>6</v>
      </c>
      <c r="K268" t="str">
        <f>IFERROR(IFERROR(IF(K$5='Conceptos Desglosados'!$H$4,VLOOKUP($A268,dormitorios,2,0),IF(K$5='Conceptos Desglosados'!$H$5,VLOOKUP($A268,comedor,2,0),IF(K$5='Conceptos Desglosados'!$H$6,VLOOKUP($A268,alojamiento,2,0),IF(K$5='Conceptos Desglosados'!$H$7,VLOOKUP($A268,sanidad,2,0),IF(K$5='Conceptos Desglosados'!$H$8,VLOOKUP($A268,servicios,2,0),IF(K$5='Conceptos Desglosados'!$H$9,VLOOKUP($A268,comyaloj,2,0),IF(K$5='Conceptos Desglosados'!$H$10,VLOOKUP($A268,comandancia,2,0),IF(K$5='Conceptos Desglosados'!$H$11,VLOOKUP($A268,mantenimiento,2,0),IF(K$5='Conceptos Desglosados'!$H$12,VLOOKUP($A268,serestatal,2,0),IF(K$5='Conceptos Desglosados'!$H$13,VLOOKUP($A268,conferencias,2,0),"")))))))))),"")*K$3,"")</f>
        <v/>
      </c>
      <c r="L268" t="str">
        <f>IFERROR(IFERROR(IF(L$5='Conceptos Desglosados'!$H$4,VLOOKUP($A268,dormitorios,2,0),IF(L$5='Conceptos Desglosados'!$H$5,VLOOKUP($A268,comedor,2,0),IF(L$5='Conceptos Desglosados'!$H$6,VLOOKUP($A268,alojamiento,2,0),IF(L$5='Conceptos Desglosados'!$H$7,VLOOKUP($A268,sanidad,2,0),IF(L$5='Conceptos Desglosados'!$H$8,VLOOKUP($A268,servicios,2,0),IF(L$5='Conceptos Desglosados'!$H$9,VLOOKUP($A268,comyaloj,2,0),IF(L$5='Conceptos Desglosados'!$H$10,VLOOKUP($A268,comandancia,2,0),IF(L$5='Conceptos Desglosados'!$H$11,VLOOKUP($A268,mantenimiento,2,0),IF(L$5='Conceptos Desglosados'!$H$12,VLOOKUP($A268,serestatal,2,0),IF(L$5='Conceptos Desglosados'!$H$13,VLOOKUP($A268,conferencias,2,0),"")))))))))),"")*L$3,"")</f>
        <v/>
      </c>
      <c r="M268" t="str">
        <f>IFERROR(IFERROR(IF(M$5='Conceptos Desglosados'!$H$4,VLOOKUP($A268,dormitorios,2,0),IF(M$5='Conceptos Desglosados'!$H$5,VLOOKUP($A268,comedor,2,0),IF(M$5='Conceptos Desglosados'!$H$6,VLOOKUP($A268,alojamiento,2,0),IF(M$5='Conceptos Desglosados'!$H$7,VLOOKUP($A268,sanidad,2,0),IF(M$5='Conceptos Desglosados'!$H$8,VLOOKUP($A268,servicios,2,0),IF(M$5='Conceptos Desglosados'!$H$9,VLOOKUP($A268,comyaloj,2,0),IF(M$5='Conceptos Desglosados'!$H$10,VLOOKUP($A268,comandancia,2,0),IF(M$5='Conceptos Desglosados'!$H$11,VLOOKUP($A268,mantenimiento,2,0),IF(M$5='Conceptos Desglosados'!$H$12,VLOOKUP($A268,serestatal,2,0),IF(M$5='Conceptos Desglosados'!$H$13,VLOOKUP($A268,conferencias,2,0),"")))))))))),"")*M$3,"")</f>
        <v/>
      </c>
      <c r="O268">
        <f>SUM(K268:M268)</f>
        <v>0</v>
      </c>
    </row>
    <row r="269" spans="1:15" x14ac:dyDescent="0.35">
      <c r="A269">
        <v>264</v>
      </c>
      <c r="B269" t="s">
        <v>10</v>
      </c>
      <c r="C269" t="s">
        <v>645</v>
      </c>
      <c r="D269" t="s">
        <v>646</v>
      </c>
      <c r="E269" t="s">
        <v>348</v>
      </c>
      <c r="F269" t="s">
        <v>883</v>
      </c>
      <c r="G269" t="s">
        <v>0</v>
      </c>
      <c r="H269">
        <v>1.9</v>
      </c>
      <c r="I269">
        <v>2.7149999999999999</v>
      </c>
      <c r="J269" t="s">
        <v>6</v>
      </c>
      <c r="K269" t="str">
        <f>IFERROR(IFERROR(IF(K$5='Conceptos Desglosados'!$H$4,VLOOKUP($A269,dormitorios,2,0),IF(K$5='Conceptos Desglosados'!$H$5,VLOOKUP($A269,comedor,2,0),IF(K$5='Conceptos Desglosados'!$H$6,VLOOKUP($A269,alojamiento,2,0),IF(K$5='Conceptos Desglosados'!$H$7,VLOOKUP($A269,sanidad,2,0),IF(K$5='Conceptos Desglosados'!$H$8,VLOOKUP($A269,servicios,2,0),IF(K$5='Conceptos Desglosados'!$H$9,VLOOKUP($A269,comyaloj,2,0),IF(K$5='Conceptos Desglosados'!$H$10,VLOOKUP($A269,comandancia,2,0),IF(K$5='Conceptos Desglosados'!$H$11,VLOOKUP($A269,mantenimiento,2,0),IF(K$5='Conceptos Desglosados'!$H$12,VLOOKUP($A269,serestatal,2,0),IF(K$5='Conceptos Desglosados'!$H$13,VLOOKUP($A269,conferencias,2,0),"")))))))))),"")*K$3,"")</f>
        <v/>
      </c>
      <c r="L269" t="str">
        <f>IFERROR(IFERROR(IF(L$5='Conceptos Desglosados'!$H$4,VLOOKUP($A269,dormitorios,2,0),IF(L$5='Conceptos Desglosados'!$H$5,VLOOKUP($A269,comedor,2,0),IF(L$5='Conceptos Desglosados'!$H$6,VLOOKUP($A269,alojamiento,2,0),IF(L$5='Conceptos Desglosados'!$H$7,VLOOKUP($A269,sanidad,2,0),IF(L$5='Conceptos Desglosados'!$H$8,VLOOKUP($A269,servicios,2,0),IF(L$5='Conceptos Desglosados'!$H$9,VLOOKUP($A269,comyaloj,2,0),IF(L$5='Conceptos Desglosados'!$H$10,VLOOKUP($A269,comandancia,2,0),IF(L$5='Conceptos Desglosados'!$H$11,VLOOKUP($A269,mantenimiento,2,0),IF(L$5='Conceptos Desglosados'!$H$12,VLOOKUP($A269,serestatal,2,0),IF(L$5='Conceptos Desglosados'!$H$13,VLOOKUP($A269,conferencias,2,0),"")))))))))),"")*L$3,"")</f>
        <v/>
      </c>
      <c r="M269" t="str">
        <f>IFERROR(IFERROR(IF(M$5='Conceptos Desglosados'!$H$4,VLOOKUP($A269,dormitorios,2,0),IF(M$5='Conceptos Desglosados'!$H$5,VLOOKUP($A269,comedor,2,0),IF(M$5='Conceptos Desglosados'!$H$6,VLOOKUP($A269,alojamiento,2,0),IF(M$5='Conceptos Desglosados'!$H$7,VLOOKUP($A269,sanidad,2,0),IF(M$5='Conceptos Desglosados'!$H$8,VLOOKUP($A269,servicios,2,0),IF(M$5='Conceptos Desglosados'!$H$9,VLOOKUP($A269,comyaloj,2,0),IF(M$5='Conceptos Desglosados'!$H$10,VLOOKUP($A269,comandancia,2,0),IF(M$5='Conceptos Desglosados'!$H$11,VLOOKUP($A269,mantenimiento,2,0),IF(M$5='Conceptos Desglosados'!$H$12,VLOOKUP($A269,serestatal,2,0),IF(M$5='Conceptos Desglosados'!$H$13,VLOOKUP($A269,conferencias,2,0),"")))))))))),"")*M$3,"")</f>
        <v/>
      </c>
      <c r="O269">
        <f>SUM(K269:M269)</f>
        <v>0</v>
      </c>
    </row>
    <row r="270" spans="1:15" x14ac:dyDescent="0.35">
      <c r="A270">
        <v>265</v>
      </c>
      <c r="B270" t="s">
        <v>10</v>
      </c>
      <c r="C270" t="s">
        <v>649</v>
      </c>
      <c r="D270" t="s">
        <v>650</v>
      </c>
      <c r="E270" t="s">
        <v>651</v>
      </c>
      <c r="F270" t="s">
        <v>883</v>
      </c>
      <c r="G270" t="s">
        <v>0</v>
      </c>
      <c r="H270">
        <v>2.0299999999999998</v>
      </c>
      <c r="I270">
        <v>2.7149999999999999</v>
      </c>
      <c r="J270" t="s">
        <v>6</v>
      </c>
      <c r="K270" t="str">
        <f>IFERROR(IFERROR(IF(K$5='Conceptos Desglosados'!$H$4,VLOOKUP($A270,dormitorios,2,0),IF(K$5='Conceptos Desglosados'!$H$5,VLOOKUP($A270,comedor,2,0),IF(K$5='Conceptos Desglosados'!$H$6,VLOOKUP($A270,alojamiento,2,0),IF(K$5='Conceptos Desglosados'!$H$7,VLOOKUP($A270,sanidad,2,0),IF(K$5='Conceptos Desglosados'!$H$8,VLOOKUP($A270,servicios,2,0),IF(K$5='Conceptos Desglosados'!$H$9,VLOOKUP($A270,comyaloj,2,0),IF(K$5='Conceptos Desglosados'!$H$10,VLOOKUP($A270,comandancia,2,0),IF(K$5='Conceptos Desglosados'!$H$11,VLOOKUP($A270,mantenimiento,2,0),IF(K$5='Conceptos Desglosados'!$H$12,VLOOKUP($A270,serestatal,2,0),IF(K$5='Conceptos Desglosados'!$H$13,VLOOKUP($A270,conferencias,2,0),"")))))))))),"")*K$3,"")</f>
        <v/>
      </c>
      <c r="L270" t="str">
        <f>IFERROR(IFERROR(IF(L$5='Conceptos Desglosados'!$H$4,VLOOKUP($A270,dormitorios,2,0),IF(L$5='Conceptos Desglosados'!$H$5,VLOOKUP($A270,comedor,2,0),IF(L$5='Conceptos Desglosados'!$H$6,VLOOKUP($A270,alojamiento,2,0),IF(L$5='Conceptos Desglosados'!$H$7,VLOOKUP($A270,sanidad,2,0),IF(L$5='Conceptos Desglosados'!$H$8,VLOOKUP($A270,servicios,2,0),IF(L$5='Conceptos Desglosados'!$H$9,VLOOKUP($A270,comyaloj,2,0),IF(L$5='Conceptos Desglosados'!$H$10,VLOOKUP($A270,comandancia,2,0),IF(L$5='Conceptos Desglosados'!$H$11,VLOOKUP($A270,mantenimiento,2,0),IF(L$5='Conceptos Desglosados'!$H$12,VLOOKUP($A270,serestatal,2,0),IF(L$5='Conceptos Desglosados'!$H$13,VLOOKUP($A270,conferencias,2,0),"")))))))))),"")*L$3,"")</f>
        <v/>
      </c>
      <c r="M270" t="str">
        <f>IFERROR(IFERROR(IF(M$5='Conceptos Desglosados'!$H$4,VLOOKUP($A270,dormitorios,2,0),IF(M$5='Conceptos Desglosados'!$H$5,VLOOKUP($A270,comedor,2,0),IF(M$5='Conceptos Desglosados'!$H$6,VLOOKUP($A270,alojamiento,2,0),IF(M$5='Conceptos Desglosados'!$H$7,VLOOKUP($A270,sanidad,2,0),IF(M$5='Conceptos Desglosados'!$H$8,VLOOKUP($A270,servicios,2,0),IF(M$5='Conceptos Desglosados'!$H$9,VLOOKUP($A270,comyaloj,2,0),IF(M$5='Conceptos Desglosados'!$H$10,VLOOKUP($A270,comandancia,2,0),IF(M$5='Conceptos Desglosados'!$H$11,VLOOKUP($A270,mantenimiento,2,0),IF(M$5='Conceptos Desglosados'!$H$12,VLOOKUP($A270,serestatal,2,0),IF(M$5='Conceptos Desglosados'!$H$13,VLOOKUP($A270,conferencias,2,0),"")))))))))),"")*M$3,"")</f>
        <v/>
      </c>
      <c r="O270">
        <f>SUM(K270:M270)</f>
        <v>0</v>
      </c>
    </row>
    <row r="271" spans="1:15" x14ac:dyDescent="0.35">
      <c r="A271">
        <v>266</v>
      </c>
      <c r="B271" t="s">
        <v>10</v>
      </c>
      <c r="C271" t="s">
        <v>676</v>
      </c>
      <c r="D271" t="s">
        <v>677</v>
      </c>
      <c r="E271" t="s">
        <v>1026</v>
      </c>
      <c r="F271" t="s">
        <v>511</v>
      </c>
      <c r="G271" t="s">
        <v>0</v>
      </c>
      <c r="H271">
        <v>2.02</v>
      </c>
      <c r="I271">
        <v>2.7149999999999999</v>
      </c>
      <c r="J271" t="s">
        <v>6</v>
      </c>
      <c r="K271">
        <f>IFERROR(IFERROR(IF(K$5='Conceptos Desglosados'!$H$4,VLOOKUP($A271,dormitorios,2,0),IF(K$5='Conceptos Desglosados'!$H$5,VLOOKUP($A271,comedor,2,0),IF(K$5='Conceptos Desglosados'!$H$6,VLOOKUP($A271,alojamiento,2,0),IF(K$5='Conceptos Desglosados'!$H$7,VLOOKUP($A271,sanidad,2,0),IF(K$5='Conceptos Desglosados'!$H$8,VLOOKUP($A271,servicios,2,0),IF(K$5='Conceptos Desglosados'!$H$9,VLOOKUP($A271,comyaloj,2,0),IF(K$5='Conceptos Desglosados'!$H$10,VLOOKUP($A271,comandancia,2,0),IF(K$5='Conceptos Desglosados'!$H$11,VLOOKUP($A271,mantenimiento,2,0),IF(K$5='Conceptos Desglosados'!$H$12,VLOOKUP($A271,serestatal,2,0),IF(K$5='Conceptos Desglosados'!$H$13,VLOOKUP($A271,conferencias,2,0),"")))))))))),"")*K$3,"")</f>
        <v>2</v>
      </c>
      <c r="L271" t="str">
        <f>IFERROR(IFERROR(IF(L$5='Conceptos Desglosados'!$H$4,VLOOKUP($A271,dormitorios,2,0),IF(L$5='Conceptos Desglosados'!$H$5,VLOOKUP($A271,comedor,2,0),IF(L$5='Conceptos Desglosados'!$H$6,VLOOKUP($A271,alojamiento,2,0),IF(L$5='Conceptos Desglosados'!$H$7,VLOOKUP($A271,sanidad,2,0),IF(L$5='Conceptos Desglosados'!$H$8,VLOOKUP($A271,servicios,2,0),IF(L$5='Conceptos Desglosados'!$H$9,VLOOKUP($A271,comyaloj,2,0),IF(L$5='Conceptos Desglosados'!$H$10,VLOOKUP($A271,comandancia,2,0),IF(L$5='Conceptos Desglosados'!$H$11,VLOOKUP($A271,mantenimiento,2,0),IF(L$5='Conceptos Desglosados'!$H$12,VLOOKUP($A271,serestatal,2,0),IF(L$5='Conceptos Desglosados'!$H$13,VLOOKUP($A271,conferencias,2,0),"")))))))))),"")*L$3,"")</f>
        <v/>
      </c>
      <c r="M271" t="str">
        <f>IFERROR(IFERROR(IF(M$5='Conceptos Desglosados'!$H$4,VLOOKUP($A271,dormitorios,2,0),IF(M$5='Conceptos Desglosados'!$H$5,VLOOKUP($A271,comedor,2,0),IF(M$5='Conceptos Desglosados'!$H$6,VLOOKUP($A271,alojamiento,2,0),IF(M$5='Conceptos Desglosados'!$H$7,VLOOKUP($A271,sanidad,2,0),IF(M$5='Conceptos Desglosados'!$H$8,VLOOKUP($A271,servicios,2,0),IF(M$5='Conceptos Desglosados'!$H$9,VLOOKUP($A271,comyaloj,2,0),IF(M$5='Conceptos Desglosados'!$H$10,VLOOKUP($A271,comandancia,2,0),IF(M$5='Conceptos Desglosados'!$H$11,VLOOKUP($A271,mantenimiento,2,0),IF(M$5='Conceptos Desglosados'!$H$12,VLOOKUP($A271,serestatal,2,0),IF(M$5='Conceptos Desglosados'!$H$13,VLOOKUP($A271,conferencias,2,0),"")))))))))),"")*M$3,"")</f>
        <v/>
      </c>
      <c r="O271">
        <f>SUM(K271:M271)</f>
        <v>2</v>
      </c>
    </row>
    <row r="272" spans="1:15" x14ac:dyDescent="0.35">
      <c r="A272">
        <v>267</v>
      </c>
      <c r="B272" t="s">
        <v>10</v>
      </c>
      <c r="C272" t="s">
        <v>678</v>
      </c>
      <c r="D272" t="s">
        <v>679</v>
      </c>
      <c r="E272" t="s">
        <v>682</v>
      </c>
      <c r="F272" t="s">
        <v>511</v>
      </c>
      <c r="G272" t="s">
        <v>0</v>
      </c>
      <c r="H272">
        <v>1.96</v>
      </c>
      <c r="I272">
        <v>2.7149999999999999</v>
      </c>
      <c r="J272" t="s">
        <v>6</v>
      </c>
      <c r="K272" t="str">
        <f>IFERROR(IFERROR(IF(K$5='Conceptos Desglosados'!$H$4,VLOOKUP($A272,dormitorios,2,0),IF(K$5='Conceptos Desglosados'!$H$5,VLOOKUP($A272,comedor,2,0),IF(K$5='Conceptos Desglosados'!$H$6,VLOOKUP($A272,alojamiento,2,0),IF(K$5='Conceptos Desglosados'!$H$7,VLOOKUP($A272,sanidad,2,0),IF(K$5='Conceptos Desglosados'!$H$8,VLOOKUP($A272,servicios,2,0),IF(K$5='Conceptos Desglosados'!$H$9,VLOOKUP($A272,comyaloj,2,0),IF(K$5='Conceptos Desglosados'!$H$10,VLOOKUP($A272,comandancia,2,0),IF(K$5='Conceptos Desglosados'!$H$11,VLOOKUP($A272,mantenimiento,2,0),IF(K$5='Conceptos Desglosados'!$H$12,VLOOKUP($A272,serestatal,2,0),IF(K$5='Conceptos Desglosados'!$H$13,VLOOKUP($A272,conferencias,2,0),"")))))))))),"")*K$3,"")</f>
        <v/>
      </c>
      <c r="L272" t="str">
        <f>IFERROR(IFERROR(IF(L$5='Conceptos Desglosados'!$H$4,VLOOKUP($A272,dormitorios,2,0),IF(L$5='Conceptos Desglosados'!$H$5,VLOOKUP($A272,comedor,2,0),IF(L$5='Conceptos Desglosados'!$H$6,VLOOKUP($A272,alojamiento,2,0),IF(L$5='Conceptos Desglosados'!$H$7,VLOOKUP($A272,sanidad,2,0),IF(L$5='Conceptos Desglosados'!$H$8,VLOOKUP($A272,servicios,2,0),IF(L$5='Conceptos Desglosados'!$H$9,VLOOKUP($A272,comyaloj,2,0),IF(L$5='Conceptos Desglosados'!$H$10,VLOOKUP($A272,comandancia,2,0),IF(L$5='Conceptos Desglosados'!$H$11,VLOOKUP($A272,mantenimiento,2,0),IF(L$5='Conceptos Desglosados'!$H$12,VLOOKUP($A272,serestatal,2,0),IF(L$5='Conceptos Desglosados'!$H$13,VLOOKUP($A272,conferencias,2,0),"")))))))))),"")*L$3,"")</f>
        <v/>
      </c>
      <c r="M272" t="str">
        <f>IFERROR(IFERROR(IF(M$5='Conceptos Desglosados'!$H$4,VLOOKUP($A272,dormitorios,2,0),IF(M$5='Conceptos Desglosados'!$H$5,VLOOKUP($A272,comedor,2,0),IF(M$5='Conceptos Desglosados'!$H$6,VLOOKUP($A272,alojamiento,2,0),IF(M$5='Conceptos Desglosados'!$H$7,VLOOKUP($A272,sanidad,2,0),IF(M$5='Conceptos Desglosados'!$H$8,VLOOKUP($A272,servicios,2,0),IF(M$5='Conceptos Desglosados'!$H$9,VLOOKUP($A272,comyaloj,2,0),IF(M$5='Conceptos Desglosados'!$H$10,VLOOKUP($A272,comandancia,2,0),IF(M$5='Conceptos Desglosados'!$H$11,VLOOKUP($A272,mantenimiento,2,0),IF(M$5='Conceptos Desglosados'!$H$12,VLOOKUP($A272,serestatal,2,0),IF(M$5='Conceptos Desglosados'!$H$13,VLOOKUP($A272,conferencias,2,0),"")))))))))),"")*M$3,"")</f>
        <v/>
      </c>
      <c r="O272">
        <f>SUM(K272:M272)</f>
        <v>0</v>
      </c>
    </row>
    <row r="273" spans="1:15" x14ac:dyDescent="0.35">
      <c r="A273">
        <v>268</v>
      </c>
      <c r="B273" t="s">
        <v>10</v>
      </c>
      <c r="C273" t="s">
        <v>680</v>
      </c>
      <c r="D273" t="s">
        <v>681</v>
      </c>
      <c r="E273" t="s">
        <v>683</v>
      </c>
      <c r="F273" t="s">
        <v>511</v>
      </c>
      <c r="G273" t="s">
        <v>0</v>
      </c>
      <c r="H273">
        <v>1.96</v>
      </c>
      <c r="I273">
        <v>2.7149999999999999</v>
      </c>
      <c r="J273" t="s">
        <v>6</v>
      </c>
      <c r="K273" t="str">
        <f>IFERROR(IFERROR(IF(K$5='Conceptos Desglosados'!$H$4,VLOOKUP($A273,dormitorios,2,0),IF(K$5='Conceptos Desglosados'!$H$5,VLOOKUP($A273,comedor,2,0),IF(K$5='Conceptos Desglosados'!$H$6,VLOOKUP($A273,alojamiento,2,0),IF(K$5='Conceptos Desglosados'!$H$7,VLOOKUP($A273,sanidad,2,0),IF(K$5='Conceptos Desglosados'!$H$8,VLOOKUP($A273,servicios,2,0),IF(K$5='Conceptos Desglosados'!$H$9,VLOOKUP($A273,comyaloj,2,0),IF(K$5='Conceptos Desglosados'!$H$10,VLOOKUP($A273,comandancia,2,0),IF(K$5='Conceptos Desglosados'!$H$11,VLOOKUP($A273,mantenimiento,2,0),IF(K$5='Conceptos Desglosados'!$H$12,VLOOKUP($A273,serestatal,2,0),IF(K$5='Conceptos Desglosados'!$H$13,VLOOKUP($A273,conferencias,2,0),"")))))))))),"")*K$3,"")</f>
        <v/>
      </c>
      <c r="L273" t="str">
        <f>IFERROR(IFERROR(IF(L$5='Conceptos Desglosados'!$H$4,VLOOKUP($A273,dormitorios,2,0),IF(L$5='Conceptos Desglosados'!$H$5,VLOOKUP($A273,comedor,2,0),IF(L$5='Conceptos Desglosados'!$H$6,VLOOKUP($A273,alojamiento,2,0),IF(L$5='Conceptos Desglosados'!$H$7,VLOOKUP($A273,sanidad,2,0),IF(L$5='Conceptos Desglosados'!$H$8,VLOOKUP($A273,servicios,2,0),IF(L$5='Conceptos Desglosados'!$H$9,VLOOKUP($A273,comyaloj,2,0),IF(L$5='Conceptos Desglosados'!$H$10,VLOOKUP($A273,comandancia,2,0),IF(L$5='Conceptos Desglosados'!$H$11,VLOOKUP($A273,mantenimiento,2,0),IF(L$5='Conceptos Desglosados'!$H$12,VLOOKUP($A273,serestatal,2,0),IF(L$5='Conceptos Desglosados'!$H$13,VLOOKUP($A273,conferencias,2,0),"")))))))))),"")*L$3,"")</f>
        <v/>
      </c>
      <c r="M273" t="str">
        <f>IFERROR(IFERROR(IF(M$5='Conceptos Desglosados'!$H$4,VLOOKUP($A273,dormitorios,2,0),IF(M$5='Conceptos Desglosados'!$H$5,VLOOKUP($A273,comedor,2,0),IF(M$5='Conceptos Desglosados'!$H$6,VLOOKUP($A273,alojamiento,2,0),IF(M$5='Conceptos Desglosados'!$H$7,VLOOKUP($A273,sanidad,2,0),IF(M$5='Conceptos Desglosados'!$H$8,VLOOKUP($A273,servicios,2,0),IF(M$5='Conceptos Desglosados'!$H$9,VLOOKUP($A273,comyaloj,2,0),IF(M$5='Conceptos Desglosados'!$H$10,VLOOKUP($A273,comandancia,2,0),IF(M$5='Conceptos Desglosados'!$H$11,VLOOKUP($A273,mantenimiento,2,0),IF(M$5='Conceptos Desglosados'!$H$12,VLOOKUP($A273,serestatal,2,0),IF(M$5='Conceptos Desglosados'!$H$13,VLOOKUP($A273,conferencias,2,0),"")))))))))),"")*M$3,"")</f>
        <v/>
      </c>
      <c r="O273">
        <f>SUM(K273:M273)</f>
        <v>0</v>
      </c>
    </row>
    <row r="274" spans="1:15" x14ac:dyDescent="0.35">
      <c r="A274">
        <v>269</v>
      </c>
      <c r="B274" t="s">
        <v>10</v>
      </c>
      <c r="C274" t="s">
        <v>705</v>
      </c>
      <c r="D274" t="s">
        <v>706</v>
      </c>
      <c r="E274" t="s">
        <v>1092</v>
      </c>
      <c r="F274" t="s">
        <v>511</v>
      </c>
      <c r="G274" t="s">
        <v>0</v>
      </c>
      <c r="H274">
        <v>2.0299999999999998</v>
      </c>
      <c r="I274">
        <v>2.7149999999999999</v>
      </c>
      <c r="J274" t="s">
        <v>6</v>
      </c>
      <c r="K274" t="str">
        <f>IFERROR(IFERROR(IF(K$5='Conceptos Desglosados'!$H$4,VLOOKUP($A274,dormitorios,2,0),IF(K$5='Conceptos Desglosados'!$H$5,VLOOKUP($A274,comedor,2,0),IF(K$5='Conceptos Desglosados'!$H$6,VLOOKUP($A274,alojamiento,2,0),IF(K$5='Conceptos Desglosados'!$H$7,VLOOKUP($A274,sanidad,2,0),IF(K$5='Conceptos Desglosados'!$H$8,VLOOKUP($A274,servicios,2,0),IF(K$5='Conceptos Desglosados'!$H$9,VLOOKUP($A274,comyaloj,2,0),IF(K$5='Conceptos Desglosados'!$H$10,VLOOKUP($A274,comandancia,2,0),IF(K$5='Conceptos Desglosados'!$H$11,VLOOKUP($A274,mantenimiento,2,0),IF(K$5='Conceptos Desglosados'!$H$12,VLOOKUP($A274,serestatal,2,0),IF(K$5='Conceptos Desglosados'!$H$13,VLOOKUP($A274,conferencias,2,0),"")))))))))),"")*K$3,"")</f>
        <v/>
      </c>
      <c r="L274" t="str">
        <f>IFERROR(IFERROR(IF(L$5='Conceptos Desglosados'!$H$4,VLOOKUP($A274,dormitorios,2,0),IF(L$5='Conceptos Desglosados'!$H$5,VLOOKUP($A274,comedor,2,0),IF(L$5='Conceptos Desglosados'!$H$6,VLOOKUP($A274,alojamiento,2,0),IF(L$5='Conceptos Desglosados'!$H$7,VLOOKUP($A274,sanidad,2,0),IF(L$5='Conceptos Desglosados'!$H$8,VLOOKUP($A274,servicios,2,0),IF(L$5='Conceptos Desglosados'!$H$9,VLOOKUP($A274,comyaloj,2,0),IF(L$5='Conceptos Desglosados'!$H$10,VLOOKUP($A274,comandancia,2,0),IF(L$5='Conceptos Desglosados'!$H$11,VLOOKUP($A274,mantenimiento,2,0),IF(L$5='Conceptos Desglosados'!$H$12,VLOOKUP($A274,serestatal,2,0),IF(L$5='Conceptos Desglosados'!$H$13,VLOOKUP($A274,conferencias,2,0),"")))))))))),"")*L$3,"")</f>
        <v/>
      </c>
      <c r="M274" t="str">
        <f>IFERROR(IFERROR(IF(M$5='Conceptos Desglosados'!$H$4,VLOOKUP($A274,dormitorios,2,0),IF(M$5='Conceptos Desglosados'!$H$5,VLOOKUP($A274,comedor,2,0),IF(M$5='Conceptos Desglosados'!$H$6,VLOOKUP($A274,alojamiento,2,0),IF(M$5='Conceptos Desglosados'!$H$7,VLOOKUP($A274,sanidad,2,0),IF(M$5='Conceptos Desglosados'!$H$8,VLOOKUP($A274,servicios,2,0),IF(M$5='Conceptos Desglosados'!$H$9,VLOOKUP($A274,comyaloj,2,0),IF(M$5='Conceptos Desglosados'!$H$10,VLOOKUP($A274,comandancia,2,0),IF(M$5='Conceptos Desglosados'!$H$11,VLOOKUP($A274,mantenimiento,2,0),IF(M$5='Conceptos Desglosados'!$H$12,VLOOKUP($A274,serestatal,2,0),IF(M$5='Conceptos Desglosados'!$H$13,VLOOKUP($A274,conferencias,2,0),"")))))))))),"")*M$3,"")</f>
        <v/>
      </c>
      <c r="O274">
        <f>SUM(K274:M274)</f>
        <v>0</v>
      </c>
    </row>
    <row r="275" spans="1:15" x14ac:dyDescent="0.35">
      <c r="A275">
        <v>270</v>
      </c>
      <c r="B275" t="s">
        <v>10</v>
      </c>
      <c r="C275" t="s">
        <v>708</v>
      </c>
      <c r="D275" t="s">
        <v>709</v>
      </c>
      <c r="E275" t="s">
        <v>819</v>
      </c>
      <c r="F275" t="s">
        <v>511</v>
      </c>
      <c r="G275" t="s">
        <v>0</v>
      </c>
      <c r="H275">
        <v>2.02</v>
      </c>
      <c r="I275">
        <v>2.7149999999999999</v>
      </c>
      <c r="J275" t="s">
        <v>6</v>
      </c>
      <c r="K275" t="str">
        <f>IFERROR(IFERROR(IF(K$5='Conceptos Desglosados'!$H$4,VLOOKUP($A275,dormitorios,2,0),IF(K$5='Conceptos Desglosados'!$H$5,VLOOKUP($A275,comedor,2,0),IF(K$5='Conceptos Desglosados'!$H$6,VLOOKUP($A275,alojamiento,2,0),IF(K$5='Conceptos Desglosados'!$H$7,VLOOKUP($A275,sanidad,2,0),IF(K$5='Conceptos Desglosados'!$H$8,VLOOKUP($A275,servicios,2,0),IF(K$5='Conceptos Desglosados'!$H$9,VLOOKUP($A275,comyaloj,2,0),IF(K$5='Conceptos Desglosados'!$H$10,VLOOKUP($A275,comandancia,2,0),IF(K$5='Conceptos Desglosados'!$H$11,VLOOKUP($A275,mantenimiento,2,0),IF(K$5='Conceptos Desglosados'!$H$12,VLOOKUP($A275,serestatal,2,0),IF(K$5='Conceptos Desglosados'!$H$13,VLOOKUP($A275,conferencias,2,0),"")))))))))),"")*K$3,"")</f>
        <v/>
      </c>
      <c r="L275" t="str">
        <f>IFERROR(IFERROR(IF(L$5='Conceptos Desglosados'!$H$4,VLOOKUP($A275,dormitorios,2,0),IF(L$5='Conceptos Desglosados'!$H$5,VLOOKUP($A275,comedor,2,0),IF(L$5='Conceptos Desglosados'!$H$6,VLOOKUP($A275,alojamiento,2,0),IF(L$5='Conceptos Desglosados'!$H$7,VLOOKUP($A275,sanidad,2,0),IF(L$5='Conceptos Desglosados'!$H$8,VLOOKUP($A275,servicios,2,0),IF(L$5='Conceptos Desglosados'!$H$9,VLOOKUP($A275,comyaloj,2,0),IF(L$5='Conceptos Desglosados'!$H$10,VLOOKUP($A275,comandancia,2,0),IF(L$5='Conceptos Desglosados'!$H$11,VLOOKUP($A275,mantenimiento,2,0),IF(L$5='Conceptos Desglosados'!$H$12,VLOOKUP($A275,serestatal,2,0),IF(L$5='Conceptos Desglosados'!$H$13,VLOOKUP($A275,conferencias,2,0),"")))))))))),"")*L$3,"")</f>
        <v/>
      </c>
      <c r="M275" t="str">
        <f>IFERROR(IFERROR(IF(M$5='Conceptos Desglosados'!$H$4,VLOOKUP($A275,dormitorios,2,0),IF(M$5='Conceptos Desglosados'!$H$5,VLOOKUP($A275,comedor,2,0),IF(M$5='Conceptos Desglosados'!$H$6,VLOOKUP($A275,alojamiento,2,0),IF(M$5='Conceptos Desglosados'!$H$7,VLOOKUP($A275,sanidad,2,0),IF(M$5='Conceptos Desglosados'!$H$8,VLOOKUP($A275,servicios,2,0),IF(M$5='Conceptos Desglosados'!$H$9,VLOOKUP($A275,comyaloj,2,0),IF(M$5='Conceptos Desglosados'!$H$10,VLOOKUP($A275,comandancia,2,0),IF(M$5='Conceptos Desglosados'!$H$11,VLOOKUP($A275,mantenimiento,2,0),IF(M$5='Conceptos Desglosados'!$H$12,VLOOKUP($A275,serestatal,2,0),IF(M$5='Conceptos Desglosados'!$H$13,VLOOKUP($A275,conferencias,2,0),"")))))))))),"")*M$3,"")</f>
        <v/>
      </c>
      <c r="O275">
        <f>SUM(K275:M275)</f>
        <v>0</v>
      </c>
    </row>
    <row r="276" spans="1:15" x14ac:dyDescent="0.35">
      <c r="A276">
        <v>271</v>
      </c>
      <c r="B276" t="s">
        <v>10</v>
      </c>
      <c r="C276" t="s">
        <v>716</v>
      </c>
      <c r="D276" t="s">
        <v>717</v>
      </c>
      <c r="E276" t="s">
        <v>683</v>
      </c>
      <c r="F276" t="s">
        <v>511</v>
      </c>
      <c r="G276" t="s">
        <v>0</v>
      </c>
      <c r="H276">
        <v>1.23</v>
      </c>
      <c r="I276">
        <v>2.7149999999999999</v>
      </c>
      <c r="J276" t="s">
        <v>6</v>
      </c>
      <c r="K276" t="str">
        <f>IFERROR(IFERROR(IF(K$5='Conceptos Desglosados'!$H$4,VLOOKUP($A276,dormitorios,2,0),IF(K$5='Conceptos Desglosados'!$H$5,VLOOKUP($A276,comedor,2,0),IF(K$5='Conceptos Desglosados'!$H$6,VLOOKUP($A276,alojamiento,2,0),IF(K$5='Conceptos Desglosados'!$H$7,VLOOKUP($A276,sanidad,2,0),IF(K$5='Conceptos Desglosados'!$H$8,VLOOKUP($A276,servicios,2,0),IF(K$5='Conceptos Desglosados'!$H$9,VLOOKUP($A276,comyaloj,2,0),IF(K$5='Conceptos Desglosados'!$H$10,VLOOKUP($A276,comandancia,2,0),IF(K$5='Conceptos Desglosados'!$H$11,VLOOKUP($A276,mantenimiento,2,0),IF(K$5='Conceptos Desglosados'!$H$12,VLOOKUP($A276,serestatal,2,0),IF(K$5='Conceptos Desglosados'!$H$13,VLOOKUP($A276,conferencias,2,0),"")))))))))),"")*K$3,"")</f>
        <v/>
      </c>
      <c r="L276" t="str">
        <f>IFERROR(IFERROR(IF(L$5='Conceptos Desglosados'!$H$4,VLOOKUP($A276,dormitorios,2,0),IF(L$5='Conceptos Desglosados'!$H$5,VLOOKUP($A276,comedor,2,0),IF(L$5='Conceptos Desglosados'!$H$6,VLOOKUP($A276,alojamiento,2,0),IF(L$5='Conceptos Desglosados'!$H$7,VLOOKUP($A276,sanidad,2,0),IF(L$5='Conceptos Desglosados'!$H$8,VLOOKUP($A276,servicios,2,0),IF(L$5='Conceptos Desglosados'!$H$9,VLOOKUP($A276,comyaloj,2,0),IF(L$5='Conceptos Desglosados'!$H$10,VLOOKUP($A276,comandancia,2,0),IF(L$5='Conceptos Desglosados'!$H$11,VLOOKUP($A276,mantenimiento,2,0),IF(L$5='Conceptos Desglosados'!$H$12,VLOOKUP($A276,serestatal,2,0),IF(L$5='Conceptos Desglosados'!$H$13,VLOOKUP($A276,conferencias,2,0),"")))))))))),"")*L$3,"")</f>
        <v/>
      </c>
      <c r="M276" t="str">
        <f>IFERROR(IFERROR(IF(M$5='Conceptos Desglosados'!$H$4,VLOOKUP($A276,dormitorios,2,0),IF(M$5='Conceptos Desglosados'!$H$5,VLOOKUP($A276,comedor,2,0),IF(M$5='Conceptos Desglosados'!$H$6,VLOOKUP($A276,alojamiento,2,0),IF(M$5='Conceptos Desglosados'!$H$7,VLOOKUP($A276,sanidad,2,0),IF(M$5='Conceptos Desglosados'!$H$8,VLOOKUP($A276,servicios,2,0),IF(M$5='Conceptos Desglosados'!$H$9,VLOOKUP($A276,comyaloj,2,0),IF(M$5='Conceptos Desglosados'!$H$10,VLOOKUP($A276,comandancia,2,0),IF(M$5='Conceptos Desglosados'!$H$11,VLOOKUP($A276,mantenimiento,2,0),IF(M$5='Conceptos Desglosados'!$H$12,VLOOKUP($A276,serestatal,2,0),IF(M$5='Conceptos Desglosados'!$H$13,VLOOKUP($A276,conferencias,2,0),"")))))))))),"")*M$3,"")</f>
        <v/>
      </c>
      <c r="O276">
        <f>SUM(K276:M276)</f>
        <v>0</v>
      </c>
    </row>
    <row r="277" spans="1:15" x14ac:dyDescent="0.35">
      <c r="A277">
        <v>272</v>
      </c>
      <c r="B277" t="s">
        <v>10</v>
      </c>
      <c r="C277" t="s">
        <v>734</v>
      </c>
      <c r="D277" t="s">
        <v>735</v>
      </c>
      <c r="E277" t="s">
        <v>651</v>
      </c>
      <c r="F277" t="s">
        <v>667</v>
      </c>
      <c r="G277" t="s">
        <v>0</v>
      </c>
      <c r="H277">
        <v>1.96</v>
      </c>
      <c r="I277">
        <v>2.7149999999999999</v>
      </c>
      <c r="J277" t="s">
        <v>6</v>
      </c>
      <c r="K277" t="str">
        <f>IFERROR(IFERROR(IF(K$5='Conceptos Desglosados'!$H$4,VLOOKUP($A277,dormitorios,2,0),IF(K$5='Conceptos Desglosados'!$H$5,VLOOKUP($A277,comedor,2,0),IF(K$5='Conceptos Desglosados'!$H$6,VLOOKUP($A277,alojamiento,2,0),IF(K$5='Conceptos Desglosados'!$H$7,VLOOKUP($A277,sanidad,2,0),IF(K$5='Conceptos Desglosados'!$H$8,VLOOKUP($A277,servicios,2,0),IF(K$5='Conceptos Desglosados'!$H$9,VLOOKUP($A277,comyaloj,2,0),IF(K$5='Conceptos Desglosados'!$H$10,VLOOKUP($A277,comandancia,2,0),IF(K$5='Conceptos Desglosados'!$H$11,VLOOKUP($A277,mantenimiento,2,0),IF(K$5='Conceptos Desglosados'!$H$12,VLOOKUP($A277,serestatal,2,0),IF(K$5='Conceptos Desglosados'!$H$13,VLOOKUP($A277,conferencias,2,0),"")))))))))),"")*K$3,"")</f>
        <v/>
      </c>
      <c r="L277" t="str">
        <f>IFERROR(IFERROR(IF(L$5='Conceptos Desglosados'!$H$4,VLOOKUP($A277,dormitorios,2,0),IF(L$5='Conceptos Desglosados'!$H$5,VLOOKUP($A277,comedor,2,0),IF(L$5='Conceptos Desglosados'!$H$6,VLOOKUP($A277,alojamiento,2,0),IF(L$5='Conceptos Desglosados'!$H$7,VLOOKUP($A277,sanidad,2,0),IF(L$5='Conceptos Desglosados'!$H$8,VLOOKUP($A277,servicios,2,0),IF(L$5='Conceptos Desglosados'!$H$9,VLOOKUP($A277,comyaloj,2,0),IF(L$5='Conceptos Desglosados'!$H$10,VLOOKUP($A277,comandancia,2,0),IF(L$5='Conceptos Desglosados'!$H$11,VLOOKUP($A277,mantenimiento,2,0),IF(L$5='Conceptos Desglosados'!$H$12,VLOOKUP($A277,serestatal,2,0),IF(L$5='Conceptos Desglosados'!$H$13,VLOOKUP($A277,conferencias,2,0),"")))))))))),"")*L$3,"")</f>
        <v/>
      </c>
      <c r="M277" t="str">
        <f>IFERROR(IFERROR(IF(M$5='Conceptos Desglosados'!$H$4,VLOOKUP($A277,dormitorios,2,0),IF(M$5='Conceptos Desglosados'!$H$5,VLOOKUP($A277,comedor,2,0),IF(M$5='Conceptos Desglosados'!$H$6,VLOOKUP($A277,alojamiento,2,0),IF(M$5='Conceptos Desglosados'!$H$7,VLOOKUP($A277,sanidad,2,0),IF(M$5='Conceptos Desglosados'!$H$8,VLOOKUP($A277,servicios,2,0),IF(M$5='Conceptos Desglosados'!$H$9,VLOOKUP($A277,comyaloj,2,0),IF(M$5='Conceptos Desglosados'!$H$10,VLOOKUP($A277,comandancia,2,0),IF(M$5='Conceptos Desglosados'!$H$11,VLOOKUP($A277,mantenimiento,2,0),IF(M$5='Conceptos Desglosados'!$H$12,VLOOKUP($A277,serestatal,2,0),IF(M$5='Conceptos Desglosados'!$H$13,VLOOKUP($A277,conferencias,2,0),"")))))))))),"")*M$3,"")</f>
        <v/>
      </c>
      <c r="O277">
        <f>SUM(K277:M277)</f>
        <v>0</v>
      </c>
    </row>
    <row r="278" spans="1:15" x14ac:dyDescent="0.35">
      <c r="A278">
        <v>273</v>
      </c>
      <c r="B278" t="s">
        <v>10</v>
      </c>
      <c r="C278" t="s">
        <v>742</v>
      </c>
      <c r="D278" t="s">
        <v>743</v>
      </c>
      <c r="E278" t="s">
        <v>651</v>
      </c>
      <c r="F278" t="s">
        <v>667</v>
      </c>
      <c r="G278" t="s">
        <v>0</v>
      </c>
      <c r="H278">
        <v>2.02</v>
      </c>
      <c r="I278">
        <v>2.7149999999999999</v>
      </c>
      <c r="J278" t="s">
        <v>6</v>
      </c>
      <c r="K278" t="str">
        <f>IFERROR(IFERROR(IF(K$5='Conceptos Desglosados'!$H$4,VLOOKUP($A278,dormitorios,2,0),IF(K$5='Conceptos Desglosados'!$H$5,VLOOKUP($A278,comedor,2,0),IF(K$5='Conceptos Desglosados'!$H$6,VLOOKUP($A278,alojamiento,2,0),IF(K$5='Conceptos Desglosados'!$H$7,VLOOKUP($A278,sanidad,2,0),IF(K$5='Conceptos Desglosados'!$H$8,VLOOKUP($A278,servicios,2,0),IF(K$5='Conceptos Desglosados'!$H$9,VLOOKUP($A278,comyaloj,2,0),IF(K$5='Conceptos Desglosados'!$H$10,VLOOKUP($A278,comandancia,2,0),IF(K$5='Conceptos Desglosados'!$H$11,VLOOKUP($A278,mantenimiento,2,0),IF(K$5='Conceptos Desglosados'!$H$12,VLOOKUP($A278,serestatal,2,0),IF(K$5='Conceptos Desglosados'!$H$13,VLOOKUP($A278,conferencias,2,0),"")))))))))),"")*K$3,"")</f>
        <v/>
      </c>
      <c r="L278" t="str">
        <f>IFERROR(IFERROR(IF(L$5='Conceptos Desglosados'!$H$4,VLOOKUP($A278,dormitorios,2,0),IF(L$5='Conceptos Desglosados'!$H$5,VLOOKUP($A278,comedor,2,0),IF(L$5='Conceptos Desglosados'!$H$6,VLOOKUP($A278,alojamiento,2,0),IF(L$5='Conceptos Desglosados'!$H$7,VLOOKUP($A278,sanidad,2,0),IF(L$5='Conceptos Desglosados'!$H$8,VLOOKUP($A278,servicios,2,0),IF(L$5='Conceptos Desglosados'!$H$9,VLOOKUP($A278,comyaloj,2,0),IF(L$5='Conceptos Desglosados'!$H$10,VLOOKUP($A278,comandancia,2,0),IF(L$5='Conceptos Desglosados'!$H$11,VLOOKUP($A278,mantenimiento,2,0),IF(L$5='Conceptos Desglosados'!$H$12,VLOOKUP($A278,serestatal,2,0),IF(L$5='Conceptos Desglosados'!$H$13,VLOOKUP($A278,conferencias,2,0),"")))))))))),"")*L$3,"")</f>
        <v/>
      </c>
      <c r="M278" t="str">
        <f>IFERROR(IFERROR(IF(M$5='Conceptos Desglosados'!$H$4,VLOOKUP($A278,dormitorios,2,0),IF(M$5='Conceptos Desglosados'!$H$5,VLOOKUP($A278,comedor,2,0),IF(M$5='Conceptos Desglosados'!$H$6,VLOOKUP($A278,alojamiento,2,0),IF(M$5='Conceptos Desglosados'!$H$7,VLOOKUP($A278,sanidad,2,0),IF(M$5='Conceptos Desglosados'!$H$8,VLOOKUP($A278,servicios,2,0),IF(M$5='Conceptos Desglosados'!$H$9,VLOOKUP($A278,comyaloj,2,0),IF(M$5='Conceptos Desglosados'!$H$10,VLOOKUP($A278,comandancia,2,0),IF(M$5='Conceptos Desglosados'!$H$11,VLOOKUP($A278,mantenimiento,2,0),IF(M$5='Conceptos Desglosados'!$H$12,VLOOKUP($A278,serestatal,2,0),IF(M$5='Conceptos Desglosados'!$H$13,VLOOKUP($A278,conferencias,2,0),"")))))))))),"")*M$3,"")</f>
        <v/>
      </c>
      <c r="O278">
        <f>SUM(K278:M278)</f>
        <v>0</v>
      </c>
    </row>
    <row r="279" spans="1:15" x14ac:dyDescent="0.35">
      <c r="A279">
        <v>274</v>
      </c>
      <c r="B279" t="s">
        <v>10</v>
      </c>
      <c r="C279" t="s">
        <v>754</v>
      </c>
      <c r="D279" t="s">
        <v>755</v>
      </c>
      <c r="E279" t="s">
        <v>756</v>
      </c>
      <c r="F279" t="s">
        <v>511</v>
      </c>
      <c r="G279" t="s">
        <v>0</v>
      </c>
      <c r="H279">
        <v>1.31</v>
      </c>
      <c r="I279">
        <v>2.7149999999999999</v>
      </c>
      <c r="J279" t="s">
        <v>6</v>
      </c>
      <c r="K279" t="str">
        <f>IFERROR(IFERROR(IF(K$5='Conceptos Desglosados'!$H$4,VLOOKUP($A279,dormitorios,2,0),IF(K$5='Conceptos Desglosados'!$H$5,VLOOKUP($A279,comedor,2,0),IF(K$5='Conceptos Desglosados'!$H$6,VLOOKUP($A279,alojamiento,2,0),IF(K$5='Conceptos Desglosados'!$H$7,VLOOKUP($A279,sanidad,2,0),IF(K$5='Conceptos Desglosados'!$H$8,VLOOKUP($A279,servicios,2,0),IF(K$5='Conceptos Desglosados'!$H$9,VLOOKUP($A279,comyaloj,2,0),IF(K$5='Conceptos Desglosados'!$H$10,VLOOKUP($A279,comandancia,2,0),IF(K$5='Conceptos Desglosados'!$H$11,VLOOKUP($A279,mantenimiento,2,0),IF(K$5='Conceptos Desglosados'!$H$12,VLOOKUP($A279,serestatal,2,0),IF(K$5='Conceptos Desglosados'!$H$13,VLOOKUP($A279,conferencias,2,0),"")))))))))),"")*K$3,"")</f>
        <v/>
      </c>
      <c r="L279" t="str">
        <f>IFERROR(IFERROR(IF(L$5='Conceptos Desglosados'!$H$4,VLOOKUP($A279,dormitorios,2,0),IF(L$5='Conceptos Desglosados'!$H$5,VLOOKUP($A279,comedor,2,0),IF(L$5='Conceptos Desglosados'!$H$6,VLOOKUP($A279,alojamiento,2,0),IF(L$5='Conceptos Desglosados'!$H$7,VLOOKUP($A279,sanidad,2,0),IF(L$5='Conceptos Desglosados'!$H$8,VLOOKUP($A279,servicios,2,0),IF(L$5='Conceptos Desglosados'!$H$9,VLOOKUP($A279,comyaloj,2,0),IF(L$5='Conceptos Desglosados'!$H$10,VLOOKUP($A279,comandancia,2,0),IF(L$5='Conceptos Desglosados'!$H$11,VLOOKUP($A279,mantenimiento,2,0),IF(L$5='Conceptos Desglosados'!$H$12,VLOOKUP($A279,serestatal,2,0),IF(L$5='Conceptos Desglosados'!$H$13,VLOOKUP($A279,conferencias,2,0),"")))))))))),"")*L$3,"")</f>
        <v/>
      </c>
      <c r="M279" t="str">
        <f>IFERROR(IFERROR(IF(M$5='Conceptos Desglosados'!$H$4,VLOOKUP($A279,dormitorios,2,0),IF(M$5='Conceptos Desglosados'!$H$5,VLOOKUP($A279,comedor,2,0),IF(M$5='Conceptos Desglosados'!$H$6,VLOOKUP($A279,alojamiento,2,0),IF(M$5='Conceptos Desglosados'!$H$7,VLOOKUP($A279,sanidad,2,0),IF(M$5='Conceptos Desglosados'!$H$8,VLOOKUP($A279,servicios,2,0),IF(M$5='Conceptos Desglosados'!$H$9,VLOOKUP($A279,comyaloj,2,0),IF(M$5='Conceptos Desglosados'!$H$10,VLOOKUP($A279,comandancia,2,0),IF(M$5='Conceptos Desglosados'!$H$11,VLOOKUP($A279,mantenimiento,2,0),IF(M$5='Conceptos Desglosados'!$H$12,VLOOKUP($A279,serestatal,2,0),IF(M$5='Conceptos Desglosados'!$H$13,VLOOKUP($A279,conferencias,2,0),"")))))))))),"")*M$3,"")</f>
        <v/>
      </c>
      <c r="O279">
        <f>SUM(K279:M279)</f>
        <v>0</v>
      </c>
    </row>
    <row r="280" spans="1:15" x14ac:dyDescent="0.35">
      <c r="A280">
        <v>275</v>
      </c>
      <c r="B280" t="s">
        <v>10</v>
      </c>
      <c r="C280" t="s">
        <v>757</v>
      </c>
      <c r="D280" t="s">
        <v>758</v>
      </c>
      <c r="E280" t="s">
        <v>707</v>
      </c>
      <c r="F280" t="s">
        <v>511</v>
      </c>
      <c r="G280" t="s">
        <v>0</v>
      </c>
      <c r="H280">
        <v>2.02</v>
      </c>
      <c r="I280">
        <v>2.7149999999999999</v>
      </c>
      <c r="J280" t="s">
        <v>6</v>
      </c>
      <c r="K280" t="str">
        <f>IFERROR(IFERROR(IF(K$5='Conceptos Desglosados'!$H$4,VLOOKUP($A280,dormitorios,2,0),IF(K$5='Conceptos Desglosados'!$H$5,VLOOKUP($A280,comedor,2,0),IF(K$5='Conceptos Desglosados'!$H$6,VLOOKUP($A280,alojamiento,2,0),IF(K$5='Conceptos Desglosados'!$H$7,VLOOKUP($A280,sanidad,2,0),IF(K$5='Conceptos Desglosados'!$H$8,VLOOKUP($A280,servicios,2,0),IF(K$5='Conceptos Desglosados'!$H$9,VLOOKUP($A280,comyaloj,2,0),IF(K$5='Conceptos Desglosados'!$H$10,VLOOKUP($A280,comandancia,2,0),IF(K$5='Conceptos Desglosados'!$H$11,VLOOKUP($A280,mantenimiento,2,0),IF(K$5='Conceptos Desglosados'!$H$12,VLOOKUP($A280,serestatal,2,0),IF(K$5='Conceptos Desglosados'!$H$13,VLOOKUP($A280,conferencias,2,0),"")))))))))),"")*K$3,"")</f>
        <v/>
      </c>
      <c r="L280" t="str">
        <f>IFERROR(IFERROR(IF(L$5='Conceptos Desglosados'!$H$4,VLOOKUP($A280,dormitorios,2,0),IF(L$5='Conceptos Desglosados'!$H$5,VLOOKUP($A280,comedor,2,0),IF(L$5='Conceptos Desglosados'!$H$6,VLOOKUP($A280,alojamiento,2,0),IF(L$5='Conceptos Desglosados'!$H$7,VLOOKUP($A280,sanidad,2,0),IF(L$5='Conceptos Desglosados'!$H$8,VLOOKUP($A280,servicios,2,0),IF(L$5='Conceptos Desglosados'!$H$9,VLOOKUP($A280,comyaloj,2,0),IF(L$5='Conceptos Desglosados'!$H$10,VLOOKUP($A280,comandancia,2,0),IF(L$5='Conceptos Desglosados'!$H$11,VLOOKUP($A280,mantenimiento,2,0),IF(L$5='Conceptos Desglosados'!$H$12,VLOOKUP($A280,serestatal,2,0),IF(L$5='Conceptos Desglosados'!$H$13,VLOOKUP($A280,conferencias,2,0),"")))))))))),"")*L$3,"")</f>
        <v/>
      </c>
      <c r="M280" t="str">
        <f>IFERROR(IFERROR(IF(M$5='Conceptos Desglosados'!$H$4,VLOOKUP($A280,dormitorios,2,0),IF(M$5='Conceptos Desglosados'!$H$5,VLOOKUP($A280,comedor,2,0),IF(M$5='Conceptos Desglosados'!$H$6,VLOOKUP($A280,alojamiento,2,0),IF(M$5='Conceptos Desglosados'!$H$7,VLOOKUP($A280,sanidad,2,0),IF(M$5='Conceptos Desglosados'!$H$8,VLOOKUP($A280,servicios,2,0),IF(M$5='Conceptos Desglosados'!$H$9,VLOOKUP($A280,comyaloj,2,0),IF(M$5='Conceptos Desglosados'!$H$10,VLOOKUP($A280,comandancia,2,0),IF(M$5='Conceptos Desglosados'!$H$11,VLOOKUP($A280,mantenimiento,2,0),IF(M$5='Conceptos Desglosados'!$H$12,VLOOKUP($A280,serestatal,2,0),IF(M$5='Conceptos Desglosados'!$H$13,VLOOKUP($A280,conferencias,2,0),"")))))))))),"")*M$3,"")</f>
        <v/>
      </c>
      <c r="O280">
        <f>SUM(K280:M280)</f>
        <v>0</v>
      </c>
    </row>
    <row r="281" spans="1:15" x14ac:dyDescent="0.35">
      <c r="A281">
        <v>276</v>
      </c>
      <c r="B281" t="s">
        <v>10</v>
      </c>
      <c r="C281" t="s">
        <v>766</v>
      </c>
      <c r="D281" t="s">
        <v>767</v>
      </c>
      <c r="E281" t="s">
        <v>683</v>
      </c>
      <c r="F281" t="s">
        <v>511</v>
      </c>
      <c r="G281" t="s">
        <v>0</v>
      </c>
      <c r="H281">
        <v>2.02</v>
      </c>
      <c r="I281">
        <v>2.7149999999999999</v>
      </c>
      <c r="J281" t="s">
        <v>6</v>
      </c>
      <c r="K281" t="str">
        <f>IFERROR(IFERROR(IF(K$5='Conceptos Desglosados'!$H$4,VLOOKUP($A281,dormitorios,2,0),IF(K$5='Conceptos Desglosados'!$H$5,VLOOKUP($A281,comedor,2,0),IF(K$5='Conceptos Desglosados'!$H$6,VLOOKUP($A281,alojamiento,2,0),IF(K$5='Conceptos Desglosados'!$H$7,VLOOKUP($A281,sanidad,2,0),IF(K$5='Conceptos Desglosados'!$H$8,VLOOKUP($A281,servicios,2,0),IF(K$5='Conceptos Desglosados'!$H$9,VLOOKUP($A281,comyaloj,2,0),IF(K$5='Conceptos Desglosados'!$H$10,VLOOKUP($A281,comandancia,2,0),IF(K$5='Conceptos Desglosados'!$H$11,VLOOKUP($A281,mantenimiento,2,0),IF(K$5='Conceptos Desglosados'!$H$12,VLOOKUP($A281,serestatal,2,0),IF(K$5='Conceptos Desglosados'!$H$13,VLOOKUP($A281,conferencias,2,0),"")))))))))),"")*K$3,"")</f>
        <v/>
      </c>
      <c r="L281" t="str">
        <f>IFERROR(IFERROR(IF(L$5='Conceptos Desglosados'!$H$4,VLOOKUP($A281,dormitorios,2,0),IF(L$5='Conceptos Desglosados'!$H$5,VLOOKUP($A281,comedor,2,0),IF(L$5='Conceptos Desglosados'!$H$6,VLOOKUP($A281,alojamiento,2,0),IF(L$5='Conceptos Desglosados'!$H$7,VLOOKUP($A281,sanidad,2,0),IF(L$5='Conceptos Desglosados'!$H$8,VLOOKUP($A281,servicios,2,0),IF(L$5='Conceptos Desglosados'!$H$9,VLOOKUP($A281,comyaloj,2,0),IF(L$5='Conceptos Desglosados'!$H$10,VLOOKUP($A281,comandancia,2,0),IF(L$5='Conceptos Desglosados'!$H$11,VLOOKUP($A281,mantenimiento,2,0),IF(L$5='Conceptos Desglosados'!$H$12,VLOOKUP($A281,serestatal,2,0),IF(L$5='Conceptos Desglosados'!$H$13,VLOOKUP($A281,conferencias,2,0),"")))))))))),"")*L$3,"")</f>
        <v/>
      </c>
      <c r="M281" t="str">
        <f>IFERROR(IFERROR(IF(M$5='Conceptos Desglosados'!$H$4,VLOOKUP($A281,dormitorios,2,0),IF(M$5='Conceptos Desglosados'!$H$5,VLOOKUP($A281,comedor,2,0),IF(M$5='Conceptos Desglosados'!$H$6,VLOOKUP($A281,alojamiento,2,0),IF(M$5='Conceptos Desglosados'!$H$7,VLOOKUP($A281,sanidad,2,0),IF(M$5='Conceptos Desglosados'!$H$8,VLOOKUP($A281,servicios,2,0),IF(M$5='Conceptos Desglosados'!$H$9,VLOOKUP($A281,comyaloj,2,0),IF(M$5='Conceptos Desglosados'!$H$10,VLOOKUP($A281,comandancia,2,0),IF(M$5='Conceptos Desglosados'!$H$11,VLOOKUP($A281,mantenimiento,2,0),IF(M$5='Conceptos Desglosados'!$H$12,VLOOKUP($A281,serestatal,2,0),IF(M$5='Conceptos Desglosados'!$H$13,VLOOKUP($A281,conferencias,2,0),"")))))))))),"")*M$3,"")</f>
        <v/>
      </c>
      <c r="O281">
        <f>SUM(K281:M281)</f>
        <v>0</v>
      </c>
    </row>
    <row r="282" spans="1:15" x14ac:dyDescent="0.35">
      <c r="A282">
        <v>277</v>
      </c>
      <c r="B282" t="s">
        <v>10</v>
      </c>
      <c r="C282" t="s">
        <v>768</v>
      </c>
      <c r="D282" t="s">
        <v>769</v>
      </c>
      <c r="E282" t="s">
        <v>683</v>
      </c>
      <c r="F282" t="s">
        <v>511</v>
      </c>
      <c r="G282" t="s">
        <v>0</v>
      </c>
      <c r="H282">
        <v>1.9</v>
      </c>
      <c r="I282">
        <v>2.7149999999999999</v>
      </c>
      <c r="J282" t="s">
        <v>6</v>
      </c>
      <c r="K282" t="str">
        <f>IFERROR(IFERROR(IF(K$5='Conceptos Desglosados'!$H$4,VLOOKUP($A282,dormitorios,2,0),IF(K$5='Conceptos Desglosados'!$H$5,VLOOKUP($A282,comedor,2,0),IF(K$5='Conceptos Desglosados'!$H$6,VLOOKUP($A282,alojamiento,2,0),IF(K$5='Conceptos Desglosados'!$H$7,VLOOKUP($A282,sanidad,2,0),IF(K$5='Conceptos Desglosados'!$H$8,VLOOKUP($A282,servicios,2,0),IF(K$5='Conceptos Desglosados'!$H$9,VLOOKUP($A282,comyaloj,2,0),IF(K$5='Conceptos Desglosados'!$H$10,VLOOKUP($A282,comandancia,2,0),IF(K$5='Conceptos Desglosados'!$H$11,VLOOKUP($A282,mantenimiento,2,0),IF(K$5='Conceptos Desglosados'!$H$12,VLOOKUP($A282,serestatal,2,0),IF(K$5='Conceptos Desglosados'!$H$13,VLOOKUP($A282,conferencias,2,0),"")))))))))),"")*K$3,"")</f>
        <v/>
      </c>
      <c r="L282" t="str">
        <f>IFERROR(IFERROR(IF(L$5='Conceptos Desglosados'!$H$4,VLOOKUP($A282,dormitorios,2,0),IF(L$5='Conceptos Desglosados'!$H$5,VLOOKUP($A282,comedor,2,0),IF(L$5='Conceptos Desglosados'!$H$6,VLOOKUP($A282,alojamiento,2,0),IF(L$5='Conceptos Desglosados'!$H$7,VLOOKUP($A282,sanidad,2,0),IF(L$5='Conceptos Desglosados'!$H$8,VLOOKUP($A282,servicios,2,0),IF(L$5='Conceptos Desglosados'!$H$9,VLOOKUP($A282,comyaloj,2,0),IF(L$5='Conceptos Desglosados'!$H$10,VLOOKUP($A282,comandancia,2,0),IF(L$5='Conceptos Desglosados'!$H$11,VLOOKUP($A282,mantenimiento,2,0),IF(L$5='Conceptos Desglosados'!$H$12,VLOOKUP($A282,serestatal,2,0),IF(L$5='Conceptos Desglosados'!$H$13,VLOOKUP($A282,conferencias,2,0),"")))))))))),"")*L$3,"")</f>
        <v/>
      </c>
      <c r="M282" t="str">
        <f>IFERROR(IFERROR(IF(M$5='Conceptos Desglosados'!$H$4,VLOOKUP($A282,dormitorios,2,0),IF(M$5='Conceptos Desglosados'!$H$5,VLOOKUP($A282,comedor,2,0),IF(M$5='Conceptos Desglosados'!$H$6,VLOOKUP($A282,alojamiento,2,0),IF(M$5='Conceptos Desglosados'!$H$7,VLOOKUP($A282,sanidad,2,0),IF(M$5='Conceptos Desglosados'!$H$8,VLOOKUP($A282,servicios,2,0),IF(M$5='Conceptos Desglosados'!$H$9,VLOOKUP($A282,comyaloj,2,0),IF(M$5='Conceptos Desglosados'!$H$10,VLOOKUP($A282,comandancia,2,0),IF(M$5='Conceptos Desglosados'!$H$11,VLOOKUP($A282,mantenimiento,2,0),IF(M$5='Conceptos Desglosados'!$H$12,VLOOKUP($A282,serestatal,2,0),IF(M$5='Conceptos Desglosados'!$H$13,VLOOKUP($A282,conferencias,2,0),"")))))))))),"")*M$3,"")</f>
        <v/>
      </c>
      <c r="O282">
        <f>SUM(K282:M282)</f>
        <v>0</v>
      </c>
    </row>
    <row r="283" spans="1:15" x14ac:dyDescent="0.35">
      <c r="A283">
        <v>278</v>
      </c>
      <c r="B283" t="s">
        <v>10</v>
      </c>
      <c r="C283" t="s">
        <v>772</v>
      </c>
      <c r="D283" t="s">
        <v>773</v>
      </c>
      <c r="E283" t="s">
        <v>707</v>
      </c>
      <c r="F283" t="s">
        <v>511</v>
      </c>
      <c r="G283" t="s">
        <v>0</v>
      </c>
      <c r="H283">
        <v>1.9</v>
      </c>
      <c r="I283">
        <v>2.7149999999999999</v>
      </c>
      <c r="J283" t="s">
        <v>6</v>
      </c>
      <c r="K283" t="str">
        <f>IFERROR(IFERROR(IF(K$5='Conceptos Desglosados'!$H$4,VLOOKUP($A283,dormitorios,2,0),IF(K$5='Conceptos Desglosados'!$H$5,VLOOKUP($A283,comedor,2,0),IF(K$5='Conceptos Desglosados'!$H$6,VLOOKUP($A283,alojamiento,2,0),IF(K$5='Conceptos Desglosados'!$H$7,VLOOKUP($A283,sanidad,2,0),IF(K$5='Conceptos Desglosados'!$H$8,VLOOKUP($A283,servicios,2,0),IF(K$5='Conceptos Desglosados'!$H$9,VLOOKUP($A283,comyaloj,2,0),IF(K$5='Conceptos Desglosados'!$H$10,VLOOKUP($A283,comandancia,2,0),IF(K$5='Conceptos Desglosados'!$H$11,VLOOKUP($A283,mantenimiento,2,0),IF(K$5='Conceptos Desglosados'!$H$12,VLOOKUP($A283,serestatal,2,0),IF(K$5='Conceptos Desglosados'!$H$13,VLOOKUP($A283,conferencias,2,0),"")))))))))),"")*K$3,"")</f>
        <v/>
      </c>
      <c r="L283" t="str">
        <f>IFERROR(IFERROR(IF(L$5='Conceptos Desglosados'!$H$4,VLOOKUP($A283,dormitorios,2,0),IF(L$5='Conceptos Desglosados'!$H$5,VLOOKUP($A283,comedor,2,0),IF(L$5='Conceptos Desglosados'!$H$6,VLOOKUP($A283,alojamiento,2,0),IF(L$5='Conceptos Desglosados'!$H$7,VLOOKUP($A283,sanidad,2,0),IF(L$5='Conceptos Desglosados'!$H$8,VLOOKUP($A283,servicios,2,0),IF(L$5='Conceptos Desglosados'!$H$9,VLOOKUP($A283,comyaloj,2,0),IF(L$5='Conceptos Desglosados'!$H$10,VLOOKUP($A283,comandancia,2,0),IF(L$5='Conceptos Desglosados'!$H$11,VLOOKUP($A283,mantenimiento,2,0),IF(L$5='Conceptos Desglosados'!$H$12,VLOOKUP($A283,serestatal,2,0),IF(L$5='Conceptos Desglosados'!$H$13,VLOOKUP($A283,conferencias,2,0),"")))))))))),"")*L$3,"")</f>
        <v/>
      </c>
      <c r="M283" t="str">
        <f>IFERROR(IFERROR(IF(M$5='Conceptos Desglosados'!$H$4,VLOOKUP($A283,dormitorios,2,0),IF(M$5='Conceptos Desglosados'!$H$5,VLOOKUP($A283,comedor,2,0),IF(M$5='Conceptos Desglosados'!$H$6,VLOOKUP($A283,alojamiento,2,0),IF(M$5='Conceptos Desglosados'!$H$7,VLOOKUP($A283,sanidad,2,0),IF(M$5='Conceptos Desglosados'!$H$8,VLOOKUP($A283,servicios,2,0),IF(M$5='Conceptos Desglosados'!$H$9,VLOOKUP($A283,comyaloj,2,0),IF(M$5='Conceptos Desglosados'!$H$10,VLOOKUP($A283,comandancia,2,0),IF(M$5='Conceptos Desglosados'!$H$11,VLOOKUP($A283,mantenimiento,2,0),IF(M$5='Conceptos Desglosados'!$H$12,VLOOKUP($A283,serestatal,2,0),IF(M$5='Conceptos Desglosados'!$H$13,VLOOKUP($A283,conferencias,2,0),"")))))))))),"")*M$3,"")</f>
        <v/>
      </c>
      <c r="O283">
        <f>SUM(K283:M283)</f>
        <v>0</v>
      </c>
    </row>
    <row r="284" spans="1:15" x14ac:dyDescent="0.35">
      <c r="A284">
        <v>279</v>
      </c>
      <c r="B284" t="s">
        <v>10</v>
      </c>
      <c r="C284" t="s">
        <v>782</v>
      </c>
      <c r="D284" t="s">
        <v>783</v>
      </c>
      <c r="E284" t="s">
        <v>784</v>
      </c>
      <c r="F284" t="s">
        <v>511</v>
      </c>
      <c r="G284" t="s">
        <v>0</v>
      </c>
      <c r="H284">
        <v>1.31</v>
      </c>
      <c r="I284">
        <v>2.7149999999999999</v>
      </c>
      <c r="J284" t="s">
        <v>6</v>
      </c>
      <c r="K284" t="str">
        <f>IFERROR(IFERROR(IF(K$5='Conceptos Desglosados'!$H$4,VLOOKUP($A284,dormitorios,2,0),IF(K$5='Conceptos Desglosados'!$H$5,VLOOKUP($A284,comedor,2,0),IF(K$5='Conceptos Desglosados'!$H$6,VLOOKUP($A284,alojamiento,2,0),IF(K$5='Conceptos Desglosados'!$H$7,VLOOKUP($A284,sanidad,2,0),IF(K$5='Conceptos Desglosados'!$H$8,VLOOKUP($A284,servicios,2,0),IF(K$5='Conceptos Desglosados'!$H$9,VLOOKUP($A284,comyaloj,2,0),IF(K$5='Conceptos Desglosados'!$H$10,VLOOKUP($A284,comandancia,2,0),IF(K$5='Conceptos Desglosados'!$H$11,VLOOKUP($A284,mantenimiento,2,0),IF(K$5='Conceptos Desglosados'!$H$12,VLOOKUP($A284,serestatal,2,0),IF(K$5='Conceptos Desglosados'!$H$13,VLOOKUP($A284,conferencias,2,0),"")))))))))),"")*K$3,"")</f>
        <v/>
      </c>
      <c r="L284" t="str">
        <f>IFERROR(IFERROR(IF(L$5='Conceptos Desglosados'!$H$4,VLOOKUP($A284,dormitorios,2,0),IF(L$5='Conceptos Desglosados'!$H$5,VLOOKUP($A284,comedor,2,0),IF(L$5='Conceptos Desglosados'!$H$6,VLOOKUP($A284,alojamiento,2,0),IF(L$5='Conceptos Desglosados'!$H$7,VLOOKUP($A284,sanidad,2,0),IF(L$5='Conceptos Desglosados'!$H$8,VLOOKUP($A284,servicios,2,0),IF(L$5='Conceptos Desglosados'!$H$9,VLOOKUP($A284,comyaloj,2,0),IF(L$5='Conceptos Desglosados'!$H$10,VLOOKUP($A284,comandancia,2,0),IF(L$5='Conceptos Desglosados'!$H$11,VLOOKUP($A284,mantenimiento,2,0),IF(L$5='Conceptos Desglosados'!$H$12,VLOOKUP($A284,serestatal,2,0),IF(L$5='Conceptos Desglosados'!$H$13,VLOOKUP($A284,conferencias,2,0),"")))))))))),"")*L$3,"")</f>
        <v/>
      </c>
      <c r="M284" t="str">
        <f>IFERROR(IFERROR(IF(M$5='Conceptos Desglosados'!$H$4,VLOOKUP($A284,dormitorios,2,0),IF(M$5='Conceptos Desglosados'!$H$5,VLOOKUP($A284,comedor,2,0),IF(M$5='Conceptos Desglosados'!$H$6,VLOOKUP($A284,alojamiento,2,0),IF(M$5='Conceptos Desglosados'!$H$7,VLOOKUP($A284,sanidad,2,0),IF(M$5='Conceptos Desglosados'!$H$8,VLOOKUP($A284,servicios,2,0),IF(M$5='Conceptos Desglosados'!$H$9,VLOOKUP($A284,comyaloj,2,0),IF(M$5='Conceptos Desglosados'!$H$10,VLOOKUP($A284,comandancia,2,0),IF(M$5='Conceptos Desglosados'!$H$11,VLOOKUP($A284,mantenimiento,2,0),IF(M$5='Conceptos Desglosados'!$H$12,VLOOKUP($A284,serestatal,2,0),IF(M$5='Conceptos Desglosados'!$H$13,VLOOKUP($A284,conferencias,2,0),"")))))))))),"")*M$3,"")</f>
        <v/>
      </c>
      <c r="O284">
        <f>SUM(K284:M284)</f>
        <v>0</v>
      </c>
    </row>
    <row r="285" spans="1:15" x14ac:dyDescent="0.35">
      <c r="A285">
        <v>280</v>
      </c>
      <c r="B285" t="s">
        <v>10</v>
      </c>
      <c r="C285" t="s">
        <v>787</v>
      </c>
      <c r="D285" t="s">
        <v>788</v>
      </c>
      <c r="E285" t="s">
        <v>819</v>
      </c>
      <c r="F285" t="s">
        <v>511</v>
      </c>
      <c r="G285" t="s">
        <v>0</v>
      </c>
      <c r="H285">
        <v>1.96</v>
      </c>
      <c r="I285">
        <v>2.7149999999999999</v>
      </c>
      <c r="J285" t="s">
        <v>6</v>
      </c>
      <c r="K285" t="str">
        <f>IFERROR(IFERROR(IF(K$5='Conceptos Desglosados'!$H$4,VLOOKUP($A285,dormitorios,2,0),IF(K$5='Conceptos Desglosados'!$H$5,VLOOKUP($A285,comedor,2,0),IF(K$5='Conceptos Desglosados'!$H$6,VLOOKUP($A285,alojamiento,2,0),IF(K$5='Conceptos Desglosados'!$H$7,VLOOKUP($A285,sanidad,2,0),IF(K$5='Conceptos Desglosados'!$H$8,VLOOKUP($A285,servicios,2,0),IF(K$5='Conceptos Desglosados'!$H$9,VLOOKUP($A285,comyaloj,2,0),IF(K$5='Conceptos Desglosados'!$H$10,VLOOKUP($A285,comandancia,2,0),IF(K$5='Conceptos Desglosados'!$H$11,VLOOKUP($A285,mantenimiento,2,0),IF(K$5='Conceptos Desglosados'!$H$12,VLOOKUP($A285,serestatal,2,0),IF(K$5='Conceptos Desglosados'!$H$13,VLOOKUP($A285,conferencias,2,0),"")))))))))),"")*K$3,"")</f>
        <v/>
      </c>
      <c r="L285" t="str">
        <f>IFERROR(IFERROR(IF(L$5='Conceptos Desglosados'!$H$4,VLOOKUP($A285,dormitorios,2,0),IF(L$5='Conceptos Desglosados'!$H$5,VLOOKUP($A285,comedor,2,0),IF(L$5='Conceptos Desglosados'!$H$6,VLOOKUP($A285,alojamiento,2,0),IF(L$5='Conceptos Desglosados'!$H$7,VLOOKUP($A285,sanidad,2,0),IF(L$5='Conceptos Desglosados'!$H$8,VLOOKUP($A285,servicios,2,0),IF(L$5='Conceptos Desglosados'!$H$9,VLOOKUP($A285,comyaloj,2,0),IF(L$5='Conceptos Desglosados'!$H$10,VLOOKUP($A285,comandancia,2,0),IF(L$5='Conceptos Desglosados'!$H$11,VLOOKUP($A285,mantenimiento,2,0),IF(L$5='Conceptos Desglosados'!$H$12,VLOOKUP($A285,serestatal,2,0),IF(L$5='Conceptos Desglosados'!$H$13,VLOOKUP($A285,conferencias,2,0),"")))))))))),"")*L$3,"")</f>
        <v/>
      </c>
      <c r="M285" t="str">
        <f>IFERROR(IFERROR(IF(M$5='Conceptos Desglosados'!$H$4,VLOOKUP($A285,dormitorios,2,0),IF(M$5='Conceptos Desglosados'!$H$5,VLOOKUP($A285,comedor,2,0),IF(M$5='Conceptos Desglosados'!$H$6,VLOOKUP($A285,alojamiento,2,0),IF(M$5='Conceptos Desglosados'!$H$7,VLOOKUP($A285,sanidad,2,0),IF(M$5='Conceptos Desglosados'!$H$8,VLOOKUP($A285,servicios,2,0),IF(M$5='Conceptos Desglosados'!$H$9,VLOOKUP($A285,comyaloj,2,0),IF(M$5='Conceptos Desglosados'!$H$10,VLOOKUP($A285,comandancia,2,0),IF(M$5='Conceptos Desglosados'!$H$11,VLOOKUP($A285,mantenimiento,2,0),IF(M$5='Conceptos Desglosados'!$H$12,VLOOKUP($A285,serestatal,2,0),IF(M$5='Conceptos Desglosados'!$H$13,VLOOKUP($A285,conferencias,2,0),"")))))))))),"")*M$3,"")</f>
        <v/>
      </c>
      <c r="O285">
        <f>SUM(K285:M285)</f>
        <v>0</v>
      </c>
    </row>
    <row r="286" spans="1:15" x14ac:dyDescent="0.35">
      <c r="A286">
        <v>281</v>
      </c>
      <c r="B286" t="s">
        <v>10</v>
      </c>
      <c r="C286" t="s">
        <v>815</v>
      </c>
      <c r="D286" t="s">
        <v>816</v>
      </c>
      <c r="E286" t="s">
        <v>683</v>
      </c>
      <c r="F286" t="s">
        <v>511</v>
      </c>
      <c r="G286" t="s">
        <v>0</v>
      </c>
      <c r="H286">
        <v>1.69</v>
      </c>
      <c r="I286">
        <v>2.7149999999999999</v>
      </c>
      <c r="J286" t="s">
        <v>6</v>
      </c>
      <c r="K286" t="str">
        <f>IFERROR(IFERROR(IF(K$5='Conceptos Desglosados'!$H$4,VLOOKUP($A286,dormitorios,2,0),IF(K$5='Conceptos Desglosados'!$H$5,VLOOKUP($A286,comedor,2,0),IF(K$5='Conceptos Desglosados'!$H$6,VLOOKUP($A286,alojamiento,2,0),IF(K$5='Conceptos Desglosados'!$H$7,VLOOKUP($A286,sanidad,2,0),IF(K$5='Conceptos Desglosados'!$H$8,VLOOKUP($A286,servicios,2,0),IF(K$5='Conceptos Desglosados'!$H$9,VLOOKUP($A286,comyaloj,2,0),IF(K$5='Conceptos Desglosados'!$H$10,VLOOKUP($A286,comandancia,2,0),IF(K$5='Conceptos Desglosados'!$H$11,VLOOKUP($A286,mantenimiento,2,0),IF(K$5='Conceptos Desglosados'!$H$12,VLOOKUP($A286,serestatal,2,0),IF(K$5='Conceptos Desglosados'!$H$13,VLOOKUP($A286,conferencias,2,0),"")))))))))),"")*K$3,"")</f>
        <v/>
      </c>
      <c r="L286" t="str">
        <f>IFERROR(IFERROR(IF(L$5='Conceptos Desglosados'!$H$4,VLOOKUP($A286,dormitorios,2,0),IF(L$5='Conceptos Desglosados'!$H$5,VLOOKUP($A286,comedor,2,0),IF(L$5='Conceptos Desglosados'!$H$6,VLOOKUP($A286,alojamiento,2,0),IF(L$5='Conceptos Desglosados'!$H$7,VLOOKUP($A286,sanidad,2,0),IF(L$5='Conceptos Desglosados'!$H$8,VLOOKUP($A286,servicios,2,0),IF(L$5='Conceptos Desglosados'!$H$9,VLOOKUP($A286,comyaloj,2,0),IF(L$5='Conceptos Desglosados'!$H$10,VLOOKUP($A286,comandancia,2,0),IF(L$5='Conceptos Desglosados'!$H$11,VLOOKUP($A286,mantenimiento,2,0),IF(L$5='Conceptos Desglosados'!$H$12,VLOOKUP($A286,serestatal,2,0),IF(L$5='Conceptos Desglosados'!$H$13,VLOOKUP($A286,conferencias,2,0),"")))))))))),"")*L$3,"")</f>
        <v/>
      </c>
      <c r="M286" t="str">
        <f>IFERROR(IFERROR(IF(M$5='Conceptos Desglosados'!$H$4,VLOOKUP($A286,dormitorios,2,0),IF(M$5='Conceptos Desglosados'!$H$5,VLOOKUP($A286,comedor,2,0),IF(M$5='Conceptos Desglosados'!$H$6,VLOOKUP($A286,alojamiento,2,0),IF(M$5='Conceptos Desglosados'!$H$7,VLOOKUP($A286,sanidad,2,0),IF(M$5='Conceptos Desglosados'!$H$8,VLOOKUP($A286,servicios,2,0),IF(M$5='Conceptos Desglosados'!$H$9,VLOOKUP($A286,comyaloj,2,0),IF(M$5='Conceptos Desglosados'!$H$10,VLOOKUP($A286,comandancia,2,0),IF(M$5='Conceptos Desglosados'!$H$11,VLOOKUP($A286,mantenimiento,2,0),IF(M$5='Conceptos Desglosados'!$H$12,VLOOKUP($A286,serestatal,2,0),IF(M$5='Conceptos Desglosados'!$H$13,VLOOKUP($A286,conferencias,2,0),"")))))))))),"")*M$3,"")</f>
        <v/>
      </c>
      <c r="O286">
        <f>SUM(K286:M286)</f>
        <v>0</v>
      </c>
    </row>
    <row r="287" spans="1:15" x14ac:dyDescent="0.35">
      <c r="A287">
        <v>282</v>
      </c>
      <c r="B287" t="s">
        <v>10</v>
      </c>
      <c r="C287" t="s">
        <v>817</v>
      </c>
      <c r="D287" t="s">
        <v>818</v>
      </c>
      <c r="E287" t="s">
        <v>707</v>
      </c>
      <c r="F287" t="s">
        <v>511</v>
      </c>
      <c r="G287" t="s">
        <v>0</v>
      </c>
      <c r="H287">
        <v>1.69</v>
      </c>
      <c r="I287">
        <v>2.7149999999999999</v>
      </c>
      <c r="J287" t="s">
        <v>6</v>
      </c>
      <c r="K287" t="str">
        <f>IFERROR(IFERROR(IF(K$5='Conceptos Desglosados'!$H$4,VLOOKUP($A287,dormitorios,2,0),IF(K$5='Conceptos Desglosados'!$H$5,VLOOKUP($A287,comedor,2,0),IF(K$5='Conceptos Desglosados'!$H$6,VLOOKUP($A287,alojamiento,2,0),IF(K$5='Conceptos Desglosados'!$H$7,VLOOKUP($A287,sanidad,2,0),IF(K$5='Conceptos Desglosados'!$H$8,VLOOKUP($A287,servicios,2,0),IF(K$5='Conceptos Desglosados'!$H$9,VLOOKUP($A287,comyaloj,2,0),IF(K$5='Conceptos Desglosados'!$H$10,VLOOKUP($A287,comandancia,2,0),IF(K$5='Conceptos Desglosados'!$H$11,VLOOKUP($A287,mantenimiento,2,0),IF(K$5='Conceptos Desglosados'!$H$12,VLOOKUP($A287,serestatal,2,0),IF(K$5='Conceptos Desglosados'!$H$13,VLOOKUP($A287,conferencias,2,0),"")))))))))),"")*K$3,"")</f>
        <v/>
      </c>
      <c r="L287" t="str">
        <f>IFERROR(IFERROR(IF(L$5='Conceptos Desglosados'!$H$4,VLOOKUP($A287,dormitorios,2,0),IF(L$5='Conceptos Desglosados'!$H$5,VLOOKUP($A287,comedor,2,0),IF(L$5='Conceptos Desglosados'!$H$6,VLOOKUP($A287,alojamiento,2,0),IF(L$5='Conceptos Desglosados'!$H$7,VLOOKUP($A287,sanidad,2,0),IF(L$5='Conceptos Desglosados'!$H$8,VLOOKUP($A287,servicios,2,0),IF(L$5='Conceptos Desglosados'!$H$9,VLOOKUP($A287,comyaloj,2,0),IF(L$5='Conceptos Desglosados'!$H$10,VLOOKUP($A287,comandancia,2,0),IF(L$5='Conceptos Desglosados'!$H$11,VLOOKUP($A287,mantenimiento,2,0),IF(L$5='Conceptos Desglosados'!$H$12,VLOOKUP($A287,serestatal,2,0),IF(L$5='Conceptos Desglosados'!$H$13,VLOOKUP($A287,conferencias,2,0),"")))))))))),"")*L$3,"")</f>
        <v/>
      </c>
      <c r="M287" t="str">
        <f>IFERROR(IFERROR(IF(M$5='Conceptos Desglosados'!$H$4,VLOOKUP($A287,dormitorios,2,0),IF(M$5='Conceptos Desglosados'!$H$5,VLOOKUP($A287,comedor,2,0),IF(M$5='Conceptos Desglosados'!$H$6,VLOOKUP($A287,alojamiento,2,0),IF(M$5='Conceptos Desglosados'!$H$7,VLOOKUP($A287,sanidad,2,0),IF(M$5='Conceptos Desglosados'!$H$8,VLOOKUP($A287,servicios,2,0),IF(M$5='Conceptos Desglosados'!$H$9,VLOOKUP($A287,comyaloj,2,0),IF(M$5='Conceptos Desglosados'!$H$10,VLOOKUP($A287,comandancia,2,0),IF(M$5='Conceptos Desglosados'!$H$11,VLOOKUP($A287,mantenimiento,2,0),IF(M$5='Conceptos Desglosados'!$H$12,VLOOKUP($A287,serestatal,2,0),IF(M$5='Conceptos Desglosados'!$H$13,VLOOKUP($A287,conferencias,2,0),"")))))))))),"")*M$3,"")</f>
        <v/>
      </c>
      <c r="O287">
        <f>SUM(K287:M287)</f>
        <v>0</v>
      </c>
    </row>
    <row r="288" spans="1:15" x14ac:dyDescent="0.35">
      <c r="A288">
        <v>283</v>
      </c>
      <c r="B288" t="s">
        <v>10</v>
      </c>
      <c r="C288" t="s">
        <v>830</v>
      </c>
      <c r="D288" t="s">
        <v>831</v>
      </c>
      <c r="E288" t="s">
        <v>651</v>
      </c>
      <c r="F288" t="s">
        <v>667</v>
      </c>
      <c r="G288" t="s">
        <v>0</v>
      </c>
      <c r="H288">
        <v>1.9</v>
      </c>
      <c r="I288">
        <v>2.7149999999999999</v>
      </c>
      <c r="J288" t="s">
        <v>6</v>
      </c>
      <c r="K288" t="str">
        <f>IFERROR(IFERROR(IF(K$5='Conceptos Desglosados'!$H$4,VLOOKUP($A288,dormitorios,2,0),IF(K$5='Conceptos Desglosados'!$H$5,VLOOKUP($A288,comedor,2,0),IF(K$5='Conceptos Desglosados'!$H$6,VLOOKUP($A288,alojamiento,2,0),IF(K$5='Conceptos Desglosados'!$H$7,VLOOKUP($A288,sanidad,2,0),IF(K$5='Conceptos Desglosados'!$H$8,VLOOKUP($A288,servicios,2,0),IF(K$5='Conceptos Desglosados'!$H$9,VLOOKUP($A288,comyaloj,2,0),IF(K$5='Conceptos Desglosados'!$H$10,VLOOKUP($A288,comandancia,2,0),IF(K$5='Conceptos Desglosados'!$H$11,VLOOKUP($A288,mantenimiento,2,0),IF(K$5='Conceptos Desglosados'!$H$12,VLOOKUP($A288,serestatal,2,0),IF(K$5='Conceptos Desglosados'!$H$13,VLOOKUP($A288,conferencias,2,0),"")))))))))),"")*K$3,"")</f>
        <v/>
      </c>
      <c r="L288" t="str">
        <f>IFERROR(IFERROR(IF(L$5='Conceptos Desglosados'!$H$4,VLOOKUP($A288,dormitorios,2,0),IF(L$5='Conceptos Desglosados'!$H$5,VLOOKUP($A288,comedor,2,0),IF(L$5='Conceptos Desglosados'!$H$6,VLOOKUP($A288,alojamiento,2,0),IF(L$5='Conceptos Desglosados'!$H$7,VLOOKUP($A288,sanidad,2,0),IF(L$5='Conceptos Desglosados'!$H$8,VLOOKUP($A288,servicios,2,0),IF(L$5='Conceptos Desglosados'!$H$9,VLOOKUP($A288,comyaloj,2,0),IF(L$5='Conceptos Desglosados'!$H$10,VLOOKUP($A288,comandancia,2,0),IF(L$5='Conceptos Desglosados'!$H$11,VLOOKUP($A288,mantenimiento,2,0),IF(L$5='Conceptos Desglosados'!$H$12,VLOOKUP($A288,serestatal,2,0),IF(L$5='Conceptos Desglosados'!$H$13,VLOOKUP($A288,conferencias,2,0),"")))))))))),"")*L$3,"")</f>
        <v/>
      </c>
      <c r="M288" t="str">
        <f>IFERROR(IFERROR(IF(M$5='Conceptos Desglosados'!$H$4,VLOOKUP($A288,dormitorios,2,0),IF(M$5='Conceptos Desglosados'!$H$5,VLOOKUP($A288,comedor,2,0),IF(M$5='Conceptos Desglosados'!$H$6,VLOOKUP($A288,alojamiento,2,0),IF(M$5='Conceptos Desglosados'!$H$7,VLOOKUP($A288,sanidad,2,0),IF(M$5='Conceptos Desglosados'!$H$8,VLOOKUP($A288,servicios,2,0),IF(M$5='Conceptos Desglosados'!$H$9,VLOOKUP($A288,comyaloj,2,0),IF(M$5='Conceptos Desglosados'!$H$10,VLOOKUP($A288,comandancia,2,0),IF(M$5='Conceptos Desglosados'!$H$11,VLOOKUP($A288,mantenimiento,2,0),IF(M$5='Conceptos Desglosados'!$H$12,VLOOKUP($A288,serestatal,2,0),IF(M$5='Conceptos Desglosados'!$H$13,VLOOKUP($A288,conferencias,2,0),"")))))))))),"")*M$3,"")</f>
        <v/>
      </c>
      <c r="O288">
        <f>SUM(K288:M288)</f>
        <v>0</v>
      </c>
    </row>
    <row r="289" spans="1:15" x14ac:dyDescent="0.35">
      <c r="A289">
        <v>284</v>
      </c>
      <c r="B289" t="s">
        <v>10</v>
      </c>
      <c r="C289" t="s">
        <v>832</v>
      </c>
      <c r="D289" t="s">
        <v>833</v>
      </c>
      <c r="E289" t="s">
        <v>707</v>
      </c>
      <c r="F289" t="s">
        <v>511</v>
      </c>
      <c r="G289" t="s">
        <v>0</v>
      </c>
      <c r="H289">
        <v>1.1299999999999999</v>
      </c>
      <c r="I289">
        <v>2.7149999999999999</v>
      </c>
      <c r="J289" t="s">
        <v>6</v>
      </c>
      <c r="K289" t="str">
        <f>IFERROR(IFERROR(IF(K$5='Conceptos Desglosados'!$H$4,VLOOKUP($A289,dormitorios,2,0),IF(K$5='Conceptos Desglosados'!$H$5,VLOOKUP($A289,comedor,2,0),IF(K$5='Conceptos Desglosados'!$H$6,VLOOKUP($A289,alojamiento,2,0),IF(K$5='Conceptos Desglosados'!$H$7,VLOOKUP($A289,sanidad,2,0),IF(K$5='Conceptos Desglosados'!$H$8,VLOOKUP($A289,servicios,2,0),IF(K$5='Conceptos Desglosados'!$H$9,VLOOKUP($A289,comyaloj,2,0),IF(K$5='Conceptos Desglosados'!$H$10,VLOOKUP($A289,comandancia,2,0),IF(K$5='Conceptos Desglosados'!$H$11,VLOOKUP($A289,mantenimiento,2,0),IF(K$5='Conceptos Desglosados'!$H$12,VLOOKUP($A289,serestatal,2,0),IF(K$5='Conceptos Desglosados'!$H$13,VLOOKUP($A289,conferencias,2,0),"")))))))))),"")*K$3,"")</f>
        <v/>
      </c>
      <c r="L289" t="str">
        <f>IFERROR(IFERROR(IF(L$5='Conceptos Desglosados'!$H$4,VLOOKUP($A289,dormitorios,2,0),IF(L$5='Conceptos Desglosados'!$H$5,VLOOKUP($A289,comedor,2,0),IF(L$5='Conceptos Desglosados'!$H$6,VLOOKUP($A289,alojamiento,2,0),IF(L$5='Conceptos Desglosados'!$H$7,VLOOKUP($A289,sanidad,2,0),IF(L$5='Conceptos Desglosados'!$H$8,VLOOKUP($A289,servicios,2,0),IF(L$5='Conceptos Desglosados'!$H$9,VLOOKUP($A289,comyaloj,2,0),IF(L$5='Conceptos Desglosados'!$H$10,VLOOKUP($A289,comandancia,2,0),IF(L$5='Conceptos Desglosados'!$H$11,VLOOKUP($A289,mantenimiento,2,0),IF(L$5='Conceptos Desglosados'!$H$12,VLOOKUP($A289,serestatal,2,0),IF(L$5='Conceptos Desglosados'!$H$13,VLOOKUP($A289,conferencias,2,0),"")))))))))),"")*L$3,"")</f>
        <v/>
      </c>
      <c r="M289" t="str">
        <f>IFERROR(IFERROR(IF(M$5='Conceptos Desglosados'!$H$4,VLOOKUP($A289,dormitorios,2,0),IF(M$5='Conceptos Desglosados'!$H$5,VLOOKUP($A289,comedor,2,0),IF(M$5='Conceptos Desglosados'!$H$6,VLOOKUP($A289,alojamiento,2,0),IF(M$5='Conceptos Desglosados'!$H$7,VLOOKUP($A289,sanidad,2,0),IF(M$5='Conceptos Desglosados'!$H$8,VLOOKUP($A289,servicios,2,0),IF(M$5='Conceptos Desglosados'!$H$9,VLOOKUP($A289,comyaloj,2,0),IF(M$5='Conceptos Desglosados'!$H$10,VLOOKUP($A289,comandancia,2,0),IF(M$5='Conceptos Desglosados'!$H$11,VLOOKUP($A289,mantenimiento,2,0),IF(M$5='Conceptos Desglosados'!$H$12,VLOOKUP($A289,serestatal,2,0),IF(M$5='Conceptos Desglosados'!$H$13,VLOOKUP($A289,conferencias,2,0),"")))))))))),"")*M$3,"")</f>
        <v/>
      </c>
      <c r="O289">
        <f>SUM(K289:M289)</f>
        <v>0</v>
      </c>
    </row>
    <row r="290" spans="1:15" x14ac:dyDescent="0.35">
      <c r="A290">
        <v>285</v>
      </c>
      <c r="B290" t="s">
        <v>10</v>
      </c>
      <c r="C290" t="s">
        <v>836</v>
      </c>
      <c r="D290" t="s">
        <v>837</v>
      </c>
      <c r="E290" t="s">
        <v>707</v>
      </c>
      <c r="F290" t="s">
        <v>511</v>
      </c>
      <c r="G290" t="s">
        <v>2</v>
      </c>
      <c r="H290">
        <v>1.99</v>
      </c>
      <c r="I290">
        <v>2.7149999999999999</v>
      </c>
      <c r="J290" t="s">
        <v>6</v>
      </c>
      <c r="K290" t="str">
        <f>IFERROR(IFERROR(IF(K$5='Conceptos Desglosados'!$H$4,VLOOKUP($A290,dormitorios,2,0),IF(K$5='Conceptos Desglosados'!$H$5,VLOOKUP($A290,comedor,2,0),IF(K$5='Conceptos Desglosados'!$H$6,VLOOKUP($A290,alojamiento,2,0),IF(K$5='Conceptos Desglosados'!$H$7,VLOOKUP($A290,sanidad,2,0),IF(K$5='Conceptos Desglosados'!$H$8,VLOOKUP($A290,servicios,2,0),IF(K$5='Conceptos Desglosados'!$H$9,VLOOKUP($A290,comyaloj,2,0),IF(K$5='Conceptos Desglosados'!$H$10,VLOOKUP($A290,comandancia,2,0),IF(K$5='Conceptos Desglosados'!$H$11,VLOOKUP($A290,mantenimiento,2,0),IF(K$5='Conceptos Desglosados'!$H$12,VLOOKUP($A290,serestatal,2,0),IF(K$5='Conceptos Desglosados'!$H$13,VLOOKUP($A290,conferencias,2,0),"")))))))))),"")*K$3,"")</f>
        <v/>
      </c>
      <c r="L290" t="str">
        <f>IFERROR(IFERROR(IF(L$5='Conceptos Desglosados'!$H$4,VLOOKUP($A290,dormitorios,2,0),IF(L$5='Conceptos Desglosados'!$H$5,VLOOKUP($A290,comedor,2,0),IF(L$5='Conceptos Desglosados'!$H$6,VLOOKUP($A290,alojamiento,2,0),IF(L$5='Conceptos Desglosados'!$H$7,VLOOKUP($A290,sanidad,2,0),IF(L$5='Conceptos Desglosados'!$H$8,VLOOKUP($A290,servicios,2,0),IF(L$5='Conceptos Desglosados'!$H$9,VLOOKUP($A290,comyaloj,2,0),IF(L$5='Conceptos Desglosados'!$H$10,VLOOKUP($A290,comandancia,2,0),IF(L$5='Conceptos Desglosados'!$H$11,VLOOKUP($A290,mantenimiento,2,0),IF(L$5='Conceptos Desglosados'!$H$12,VLOOKUP($A290,serestatal,2,0),IF(L$5='Conceptos Desglosados'!$H$13,VLOOKUP($A290,conferencias,2,0),"")))))))))),"")*L$3,"")</f>
        <v/>
      </c>
      <c r="M290" t="str">
        <f>IFERROR(IFERROR(IF(M$5='Conceptos Desglosados'!$H$4,VLOOKUP($A290,dormitorios,2,0),IF(M$5='Conceptos Desglosados'!$H$5,VLOOKUP($A290,comedor,2,0),IF(M$5='Conceptos Desglosados'!$H$6,VLOOKUP($A290,alojamiento,2,0),IF(M$5='Conceptos Desglosados'!$H$7,VLOOKUP($A290,sanidad,2,0),IF(M$5='Conceptos Desglosados'!$H$8,VLOOKUP($A290,servicios,2,0),IF(M$5='Conceptos Desglosados'!$H$9,VLOOKUP($A290,comyaloj,2,0),IF(M$5='Conceptos Desglosados'!$H$10,VLOOKUP($A290,comandancia,2,0),IF(M$5='Conceptos Desglosados'!$H$11,VLOOKUP($A290,mantenimiento,2,0),IF(M$5='Conceptos Desglosados'!$H$12,VLOOKUP($A290,serestatal,2,0),IF(M$5='Conceptos Desglosados'!$H$13,VLOOKUP($A290,conferencias,2,0),"")))))))))),"")*M$3,"")</f>
        <v/>
      </c>
      <c r="O290">
        <f>SUM(K290:M290)</f>
        <v>0</v>
      </c>
    </row>
    <row r="291" spans="1:15" x14ac:dyDescent="0.35">
      <c r="A291">
        <v>286</v>
      </c>
      <c r="B291" t="s">
        <v>10</v>
      </c>
      <c r="C291" t="s">
        <v>838</v>
      </c>
      <c r="D291" t="s">
        <v>839</v>
      </c>
      <c r="E291" t="s">
        <v>707</v>
      </c>
      <c r="F291" t="s">
        <v>511</v>
      </c>
      <c r="G291" t="s">
        <v>0</v>
      </c>
      <c r="H291">
        <v>1.42</v>
      </c>
      <c r="I291">
        <v>2.7149999999999999</v>
      </c>
      <c r="J291" t="s">
        <v>6</v>
      </c>
      <c r="K291" t="str">
        <f>IFERROR(IFERROR(IF(K$5='Conceptos Desglosados'!$H$4,VLOOKUP($A291,dormitorios,2,0),IF(K$5='Conceptos Desglosados'!$H$5,VLOOKUP($A291,comedor,2,0),IF(K$5='Conceptos Desglosados'!$H$6,VLOOKUP($A291,alojamiento,2,0),IF(K$5='Conceptos Desglosados'!$H$7,VLOOKUP($A291,sanidad,2,0),IF(K$5='Conceptos Desglosados'!$H$8,VLOOKUP($A291,servicios,2,0),IF(K$5='Conceptos Desglosados'!$H$9,VLOOKUP($A291,comyaloj,2,0),IF(K$5='Conceptos Desglosados'!$H$10,VLOOKUP($A291,comandancia,2,0),IF(K$5='Conceptos Desglosados'!$H$11,VLOOKUP($A291,mantenimiento,2,0),IF(K$5='Conceptos Desglosados'!$H$12,VLOOKUP($A291,serestatal,2,0),IF(K$5='Conceptos Desglosados'!$H$13,VLOOKUP($A291,conferencias,2,0),"")))))))))),"")*K$3,"")</f>
        <v/>
      </c>
      <c r="L291" t="str">
        <f>IFERROR(IFERROR(IF(L$5='Conceptos Desglosados'!$H$4,VLOOKUP($A291,dormitorios,2,0),IF(L$5='Conceptos Desglosados'!$H$5,VLOOKUP($A291,comedor,2,0),IF(L$5='Conceptos Desglosados'!$H$6,VLOOKUP($A291,alojamiento,2,0),IF(L$5='Conceptos Desglosados'!$H$7,VLOOKUP($A291,sanidad,2,0),IF(L$5='Conceptos Desglosados'!$H$8,VLOOKUP($A291,servicios,2,0),IF(L$5='Conceptos Desglosados'!$H$9,VLOOKUP($A291,comyaloj,2,0),IF(L$5='Conceptos Desglosados'!$H$10,VLOOKUP($A291,comandancia,2,0),IF(L$5='Conceptos Desglosados'!$H$11,VLOOKUP($A291,mantenimiento,2,0),IF(L$5='Conceptos Desglosados'!$H$12,VLOOKUP($A291,serestatal,2,0),IF(L$5='Conceptos Desglosados'!$H$13,VLOOKUP($A291,conferencias,2,0),"")))))))))),"")*L$3,"")</f>
        <v/>
      </c>
      <c r="M291" t="str">
        <f>IFERROR(IFERROR(IF(M$5='Conceptos Desglosados'!$H$4,VLOOKUP($A291,dormitorios,2,0),IF(M$5='Conceptos Desglosados'!$H$5,VLOOKUP($A291,comedor,2,0),IF(M$5='Conceptos Desglosados'!$H$6,VLOOKUP($A291,alojamiento,2,0),IF(M$5='Conceptos Desglosados'!$H$7,VLOOKUP($A291,sanidad,2,0),IF(M$5='Conceptos Desglosados'!$H$8,VLOOKUP($A291,servicios,2,0),IF(M$5='Conceptos Desglosados'!$H$9,VLOOKUP($A291,comyaloj,2,0),IF(M$5='Conceptos Desglosados'!$H$10,VLOOKUP($A291,comandancia,2,0),IF(M$5='Conceptos Desglosados'!$H$11,VLOOKUP($A291,mantenimiento,2,0),IF(M$5='Conceptos Desglosados'!$H$12,VLOOKUP($A291,serestatal,2,0),IF(M$5='Conceptos Desglosados'!$H$13,VLOOKUP($A291,conferencias,2,0),"")))))))))),"")*M$3,"")</f>
        <v/>
      </c>
      <c r="O291">
        <f>SUM(K291:M291)</f>
        <v>0</v>
      </c>
    </row>
    <row r="292" spans="1:15" x14ac:dyDescent="0.35">
      <c r="A292">
        <v>287</v>
      </c>
      <c r="B292" t="s">
        <v>10</v>
      </c>
      <c r="C292" t="s">
        <v>849</v>
      </c>
      <c r="D292" t="s">
        <v>850</v>
      </c>
      <c r="E292" t="s">
        <v>683</v>
      </c>
      <c r="F292" t="s">
        <v>511</v>
      </c>
      <c r="G292" t="s">
        <v>0</v>
      </c>
      <c r="H292">
        <v>1.48</v>
      </c>
      <c r="I292">
        <v>2.7149999999999999</v>
      </c>
      <c r="J292" t="s">
        <v>6</v>
      </c>
      <c r="K292" t="str">
        <f>IFERROR(IFERROR(IF(K$5='Conceptos Desglosados'!$H$4,VLOOKUP($A292,dormitorios,2,0),IF(K$5='Conceptos Desglosados'!$H$5,VLOOKUP($A292,comedor,2,0),IF(K$5='Conceptos Desglosados'!$H$6,VLOOKUP($A292,alojamiento,2,0),IF(K$5='Conceptos Desglosados'!$H$7,VLOOKUP($A292,sanidad,2,0),IF(K$5='Conceptos Desglosados'!$H$8,VLOOKUP($A292,servicios,2,0),IF(K$5='Conceptos Desglosados'!$H$9,VLOOKUP($A292,comyaloj,2,0),IF(K$5='Conceptos Desglosados'!$H$10,VLOOKUP($A292,comandancia,2,0),IF(K$5='Conceptos Desglosados'!$H$11,VLOOKUP($A292,mantenimiento,2,0),IF(K$5='Conceptos Desglosados'!$H$12,VLOOKUP($A292,serestatal,2,0),IF(K$5='Conceptos Desglosados'!$H$13,VLOOKUP($A292,conferencias,2,0),"")))))))))),"")*K$3,"")</f>
        <v/>
      </c>
      <c r="L292" t="str">
        <f>IFERROR(IFERROR(IF(L$5='Conceptos Desglosados'!$H$4,VLOOKUP($A292,dormitorios,2,0),IF(L$5='Conceptos Desglosados'!$H$5,VLOOKUP($A292,comedor,2,0),IF(L$5='Conceptos Desglosados'!$H$6,VLOOKUP($A292,alojamiento,2,0),IF(L$5='Conceptos Desglosados'!$H$7,VLOOKUP($A292,sanidad,2,0),IF(L$5='Conceptos Desglosados'!$H$8,VLOOKUP($A292,servicios,2,0),IF(L$5='Conceptos Desglosados'!$H$9,VLOOKUP($A292,comyaloj,2,0),IF(L$5='Conceptos Desglosados'!$H$10,VLOOKUP($A292,comandancia,2,0),IF(L$5='Conceptos Desglosados'!$H$11,VLOOKUP($A292,mantenimiento,2,0),IF(L$5='Conceptos Desglosados'!$H$12,VLOOKUP($A292,serestatal,2,0),IF(L$5='Conceptos Desglosados'!$H$13,VLOOKUP($A292,conferencias,2,0),"")))))))))),"")*L$3,"")</f>
        <v/>
      </c>
      <c r="M292" t="str">
        <f>IFERROR(IFERROR(IF(M$5='Conceptos Desglosados'!$H$4,VLOOKUP($A292,dormitorios,2,0),IF(M$5='Conceptos Desglosados'!$H$5,VLOOKUP($A292,comedor,2,0),IF(M$5='Conceptos Desglosados'!$H$6,VLOOKUP($A292,alojamiento,2,0),IF(M$5='Conceptos Desglosados'!$H$7,VLOOKUP($A292,sanidad,2,0),IF(M$5='Conceptos Desglosados'!$H$8,VLOOKUP($A292,servicios,2,0),IF(M$5='Conceptos Desglosados'!$H$9,VLOOKUP($A292,comyaloj,2,0),IF(M$5='Conceptos Desglosados'!$H$10,VLOOKUP($A292,comandancia,2,0),IF(M$5='Conceptos Desglosados'!$H$11,VLOOKUP($A292,mantenimiento,2,0),IF(M$5='Conceptos Desglosados'!$H$12,VLOOKUP($A292,serestatal,2,0),IF(M$5='Conceptos Desglosados'!$H$13,VLOOKUP($A292,conferencias,2,0),"")))))))))),"")*M$3,"")</f>
        <v/>
      </c>
      <c r="O292">
        <f>SUM(K292:M292)</f>
        <v>0</v>
      </c>
    </row>
    <row r="293" spans="1:15" x14ac:dyDescent="0.35">
      <c r="A293">
        <v>288</v>
      </c>
      <c r="B293" t="s">
        <v>10</v>
      </c>
      <c r="C293" t="s">
        <v>851</v>
      </c>
      <c r="D293" t="s">
        <v>852</v>
      </c>
      <c r="E293" t="s">
        <v>707</v>
      </c>
      <c r="F293" t="s">
        <v>511</v>
      </c>
      <c r="G293" t="s">
        <v>0</v>
      </c>
      <c r="H293">
        <v>1.48</v>
      </c>
      <c r="I293">
        <v>2.7149999999999999</v>
      </c>
      <c r="J293" t="s">
        <v>6</v>
      </c>
      <c r="K293" t="str">
        <f>IFERROR(IFERROR(IF(K$5='Conceptos Desglosados'!$H$4,VLOOKUP($A293,dormitorios,2,0),IF(K$5='Conceptos Desglosados'!$H$5,VLOOKUP($A293,comedor,2,0),IF(K$5='Conceptos Desglosados'!$H$6,VLOOKUP($A293,alojamiento,2,0),IF(K$5='Conceptos Desglosados'!$H$7,VLOOKUP($A293,sanidad,2,0),IF(K$5='Conceptos Desglosados'!$H$8,VLOOKUP($A293,servicios,2,0),IF(K$5='Conceptos Desglosados'!$H$9,VLOOKUP($A293,comyaloj,2,0),IF(K$5='Conceptos Desglosados'!$H$10,VLOOKUP($A293,comandancia,2,0),IF(K$5='Conceptos Desglosados'!$H$11,VLOOKUP($A293,mantenimiento,2,0),IF(K$5='Conceptos Desglosados'!$H$12,VLOOKUP($A293,serestatal,2,0),IF(K$5='Conceptos Desglosados'!$H$13,VLOOKUP($A293,conferencias,2,0),"")))))))))),"")*K$3,"")</f>
        <v/>
      </c>
      <c r="L293" t="str">
        <f>IFERROR(IFERROR(IF(L$5='Conceptos Desglosados'!$H$4,VLOOKUP($A293,dormitorios,2,0),IF(L$5='Conceptos Desglosados'!$H$5,VLOOKUP($A293,comedor,2,0),IF(L$5='Conceptos Desglosados'!$H$6,VLOOKUP($A293,alojamiento,2,0),IF(L$5='Conceptos Desglosados'!$H$7,VLOOKUP($A293,sanidad,2,0),IF(L$5='Conceptos Desglosados'!$H$8,VLOOKUP($A293,servicios,2,0),IF(L$5='Conceptos Desglosados'!$H$9,VLOOKUP($A293,comyaloj,2,0),IF(L$5='Conceptos Desglosados'!$H$10,VLOOKUP($A293,comandancia,2,0),IF(L$5='Conceptos Desglosados'!$H$11,VLOOKUP($A293,mantenimiento,2,0),IF(L$5='Conceptos Desglosados'!$H$12,VLOOKUP($A293,serestatal,2,0),IF(L$5='Conceptos Desglosados'!$H$13,VLOOKUP($A293,conferencias,2,0),"")))))))))),"")*L$3,"")</f>
        <v/>
      </c>
      <c r="M293" t="str">
        <f>IFERROR(IFERROR(IF(M$5='Conceptos Desglosados'!$H$4,VLOOKUP($A293,dormitorios,2,0),IF(M$5='Conceptos Desglosados'!$H$5,VLOOKUP($A293,comedor,2,0),IF(M$5='Conceptos Desglosados'!$H$6,VLOOKUP($A293,alojamiento,2,0),IF(M$5='Conceptos Desglosados'!$H$7,VLOOKUP($A293,sanidad,2,0),IF(M$5='Conceptos Desglosados'!$H$8,VLOOKUP($A293,servicios,2,0),IF(M$5='Conceptos Desglosados'!$H$9,VLOOKUP($A293,comyaloj,2,0),IF(M$5='Conceptos Desglosados'!$H$10,VLOOKUP($A293,comandancia,2,0),IF(M$5='Conceptos Desglosados'!$H$11,VLOOKUP($A293,mantenimiento,2,0),IF(M$5='Conceptos Desglosados'!$H$12,VLOOKUP($A293,serestatal,2,0),IF(M$5='Conceptos Desglosados'!$H$13,VLOOKUP($A293,conferencias,2,0),"")))))))))),"")*M$3,"")</f>
        <v/>
      </c>
      <c r="O293">
        <f>SUM(K293:M293)</f>
        <v>0</v>
      </c>
    </row>
    <row r="294" spans="1:15" x14ac:dyDescent="0.35">
      <c r="A294">
        <v>289</v>
      </c>
      <c r="B294" t="s">
        <v>10</v>
      </c>
      <c r="C294" t="s">
        <v>865</v>
      </c>
      <c r="D294" t="s">
        <v>866</v>
      </c>
      <c r="E294" t="s">
        <v>683</v>
      </c>
      <c r="F294" t="s">
        <v>511</v>
      </c>
      <c r="G294" t="s">
        <v>0</v>
      </c>
      <c r="H294">
        <v>2.09</v>
      </c>
      <c r="I294">
        <v>2.7149999999999999</v>
      </c>
      <c r="J294" t="s">
        <v>6</v>
      </c>
      <c r="K294" t="str">
        <f>IFERROR(IFERROR(IF(K$5='Conceptos Desglosados'!$H$4,VLOOKUP($A294,dormitorios,2,0),IF(K$5='Conceptos Desglosados'!$H$5,VLOOKUP($A294,comedor,2,0),IF(K$5='Conceptos Desglosados'!$H$6,VLOOKUP($A294,alojamiento,2,0),IF(K$5='Conceptos Desglosados'!$H$7,VLOOKUP($A294,sanidad,2,0),IF(K$5='Conceptos Desglosados'!$H$8,VLOOKUP($A294,servicios,2,0),IF(K$5='Conceptos Desglosados'!$H$9,VLOOKUP($A294,comyaloj,2,0),IF(K$5='Conceptos Desglosados'!$H$10,VLOOKUP($A294,comandancia,2,0),IF(K$5='Conceptos Desglosados'!$H$11,VLOOKUP($A294,mantenimiento,2,0),IF(K$5='Conceptos Desglosados'!$H$12,VLOOKUP($A294,serestatal,2,0),IF(K$5='Conceptos Desglosados'!$H$13,VLOOKUP($A294,conferencias,2,0),"")))))))))),"")*K$3,"")</f>
        <v/>
      </c>
      <c r="L294" t="str">
        <f>IFERROR(IFERROR(IF(L$5='Conceptos Desglosados'!$H$4,VLOOKUP($A294,dormitorios,2,0),IF(L$5='Conceptos Desglosados'!$H$5,VLOOKUP($A294,comedor,2,0),IF(L$5='Conceptos Desglosados'!$H$6,VLOOKUP($A294,alojamiento,2,0),IF(L$5='Conceptos Desglosados'!$H$7,VLOOKUP($A294,sanidad,2,0),IF(L$5='Conceptos Desglosados'!$H$8,VLOOKUP($A294,servicios,2,0),IF(L$5='Conceptos Desglosados'!$H$9,VLOOKUP($A294,comyaloj,2,0),IF(L$5='Conceptos Desglosados'!$H$10,VLOOKUP($A294,comandancia,2,0),IF(L$5='Conceptos Desglosados'!$H$11,VLOOKUP($A294,mantenimiento,2,0),IF(L$5='Conceptos Desglosados'!$H$12,VLOOKUP($A294,serestatal,2,0),IF(L$5='Conceptos Desglosados'!$H$13,VLOOKUP($A294,conferencias,2,0),"")))))))))),"")*L$3,"")</f>
        <v/>
      </c>
      <c r="M294" t="str">
        <f>IFERROR(IFERROR(IF(M$5='Conceptos Desglosados'!$H$4,VLOOKUP($A294,dormitorios,2,0),IF(M$5='Conceptos Desglosados'!$H$5,VLOOKUP($A294,comedor,2,0),IF(M$5='Conceptos Desglosados'!$H$6,VLOOKUP($A294,alojamiento,2,0),IF(M$5='Conceptos Desglosados'!$H$7,VLOOKUP($A294,sanidad,2,0),IF(M$5='Conceptos Desglosados'!$H$8,VLOOKUP($A294,servicios,2,0),IF(M$5='Conceptos Desglosados'!$H$9,VLOOKUP($A294,comyaloj,2,0),IF(M$5='Conceptos Desglosados'!$H$10,VLOOKUP($A294,comandancia,2,0),IF(M$5='Conceptos Desglosados'!$H$11,VLOOKUP($A294,mantenimiento,2,0),IF(M$5='Conceptos Desglosados'!$H$12,VLOOKUP($A294,serestatal,2,0),IF(M$5='Conceptos Desglosados'!$H$13,VLOOKUP($A294,conferencias,2,0),"")))))))))),"")*M$3,"")</f>
        <v/>
      </c>
      <c r="O294">
        <f>SUM(K294:M294)</f>
        <v>0</v>
      </c>
    </row>
    <row r="295" spans="1:15" x14ac:dyDescent="0.35">
      <c r="A295">
        <v>290</v>
      </c>
      <c r="B295" t="s">
        <v>10</v>
      </c>
      <c r="C295" t="s">
        <v>906</v>
      </c>
      <c r="D295" t="s">
        <v>907</v>
      </c>
      <c r="E295" t="s">
        <v>908</v>
      </c>
      <c r="F295" t="s">
        <v>511</v>
      </c>
      <c r="G295" t="s">
        <v>0</v>
      </c>
      <c r="H295">
        <v>1.0900000000000001</v>
      </c>
      <c r="I295">
        <v>2.7149999999999999</v>
      </c>
      <c r="J295" t="s">
        <v>6</v>
      </c>
      <c r="K295" t="str">
        <f>IFERROR(IFERROR(IF(K$5='Conceptos Desglosados'!$H$4,VLOOKUP($A295,dormitorios,2,0),IF(K$5='Conceptos Desglosados'!$H$5,VLOOKUP($A295,comedor,2,0),IF(K$5='Conceptos Desglosados'!$H$6,VLOOKUP($A295,alojamiento,2,0),IF(K$5='Conceptos Desglosados'!$H$7,VLOOKUP($A295,sanidad,2,0),IF(K$5='Conceptos Desglosados'!$H$8,VLOOKUP($A295,servicios,2,0),IF(K$5='Conceptos Desglosados'!$H$9,VLOOKUP($A295,comyaloj,2,0),IF(K$5='Conceptos Desglosados'!$H$10,VLOOKUP($A295,comandancia,2,0),IF(K$5='Conceptos Desglosados'!$H$11,VLOOKUP($A295,mantenimiento,2,0),IF(K$5='Conceptos Desglosados'!$H$12,VLOOKUP($A295,serestatal,2,0),IF(K$5='Conceptos Desglosados'!$H$13,VLOOKUP($A295,conferencias,2,0),"")))))))))),"")*K$3,"")</f>
        <v/>
      </c>
      <c r="L295" t="str">
        <f>IFERROR(IFERROR(IF(L$5='Conceptos Desglosados'!$H$4,VLOOKUP($A295,dormitorios,2,0),IF(L$5='Conceptos Desglosados'!$H$5,VLOOKUP($A295,comedor,2,0),IF(L$5='Conceptos Desglosados'!$H$6,VLOOKUP($A295,alojamiento,2,0),IF(L$5='Conceptos Desglosados'!$H$7,VLOOKUP($A295,sanidad,2,0),IF(L$5='Conceptos Desglosados'!$H$8,VLOOKUP($A295,servicios,2,0),IF(L$5='Conceptos Desglosados'!$H$9,VLOOKUP($A295,comyaloj,2,0),IF(L$5='Conceptos Desglosados'!$H$10,VLOOKUP($A295,comandancia,2,0),IF(L$5='Conceptos Desglosados'!$H$11,VLOOKUP($A295,mantenimiento,2,0),IF(L$5='Conceptos Desglosados'!$H$12,VLOOKUP($A295,serestatal,2,0),IF(L$5='Conceptos Desglosados'!$H$13,VLOOKUP($A295,conferencias,2,0),"")))))))))),"")*L$3,"")</f>
        <v/>
      </c>
      <c r="M295" t="str">
        <f>IFERROR(IFERROR(IF(M$5='Conceptos Desglosados'!$H$4,VLOOKUP($A295,dormitorios,2,0),IF(M$5='Conceptos Desglosados'!$H$5,VLOOKUP($A295,comedor,2,0),IF(M$5='Conceptos Desglosados'!$H$6,VLOOKUP($A295,alojamiento,2,0),IF(M$5='Conceptos Desglosados'!$H$7,VLOOKUP($A295,sanidad,2,0),IF(M$5='Conceptos Desglosados'!$H$8,VLOOKUP($A295,servicios,2,0),IF(M$5='Conceptos Desglosados'!$H$9,VLOOKUP($A295,comyaloj,2,0),IF(M$5='Conceptos Desglosados'!$H$10,VLOOKUP($A295,comandancia,2,0),IF(M$5='Conceptos Desglosados'!$H$11,VLOOKUP($A295,mantenimiento,2,0),IF(M$5='Conceptos Desglosados'!$H$12,VLOOKUP($A295,serestatal,2,0),IF(M$5='Conceptos Desglosados'!$H$13,VLOOKUP($A295,conferencias,2,0),"")))))))))),"")*M$3,"")</f>
        <v/>
      </c>
      <c r="O295">
        <f>SUM(K295:M295)</f>
        <v>0</v>
      </c>
    </row>
    <row r="296" spans="1:15" x14ac:dyDescent="0.35">
      <c r="A296">
        <v>291</v>
      </c>
      <c r="B296" t="s">
        <v>10</v>
      </c>
      <c r="C296" t="s">
        <v>918</v>
      </c>
      <c r="D296" t="s">
        <v>909</v>
      </c>
      <c r="E296" t="s">
        <v>784</v>
      </c>
      <c r="F296" t="s">
        <v>511</v>
      </c>
      <c r="G296" t="s">
        <v>2</v>
      </c>
      <c r="H296">
        <v>1.99</v>
      </c>
      <c r="I296">
        <v>2.7149999999999999</v>
      </c>
      <c r="J296" t="s">
        <v>6</v>
      </c>
      <c r="K296" t="str">
        <f>IFERROR(IFERROR(IF(K$5='Conceptos Desglosados'!$H$4,VLOOKUP($A296,dormitorios,2,0),IF(K$5='Conceptos Desglosados'!$H$5,VLOOKUP($A296,comedor,2,0),IF(K$5='Conceptos Desglosados'!$H$6,VLOOKUP($A296,alojamiento,2,0),IF(K$5='Conceptos Desglosados'!$H$7,VLOOKUP($A296,sanidad,2,0),IF(K$5='Conceptos Desglosados'!$H$8,VLOOKUP($A296,servicios,2,0),IF(K$5='Conceptos Desglosados'!$H$9,VLOOKUP($A296,comyaloj,2,0),IF(K$5='Conceptos Desglosados'!$H$10,VLOOKUP($A296,comandancia,2,0),IF(K$5='Conceptos Desglosados'!$H$11,VLOOKUP($A296,mantenimiento,2,0),IF(K$5='Conceptos Desglosados'!$H$12,VLOOKUP($A296,serestatal,2,0),IF(K$5='Conceptos Desglosados'!$H$13,VLOOKUP($A296,conferencias,2,0),"")))))))))),"")*K$3,"")</f>
        <v/>
      </c>
      <c r="L296" t="str">
        <f>IFERROR(IFERROR(IF(L$5='Conceptos Desglosados'!$H$4,VLOOKUP($A296,dormitorios,2,0),IF(L$5='Conceptos Desglosados'!$H$5,VLOOKUP($A296,comedor,2,0),IF(L$5='Conceptos Desglosados'!$H$6,VLOOKUP($A296,alojamiento,2,0),IF(L$5='Conceptos Desglosados'!$H$7,VLOOKUP($A296,sanidad,2,0),IF(L$5='Conceptos Desglosados'!$H$8,VLOOKUP($A296,servicios,2,0),IF(L$5='Conceptos Desglosados'!$H$9,VLOOKUP($A296,comyaloj,2,0),IF(L$5='Conceptos Desglosados'!$H$10,VLOOKUP($A296,comandancia,2,0),IF(L$5='Conceptos Desglosados'!$H$11,VLOOKUP($A296,mantenimiento,2,0),IF(L$5='Conceptos Desglosados'!$H$12,VLOOKUP($A296,serestatal,2,0),IF(L$5='Conceptos Desglosados'!$H$13,VLOOKUP($A296,conferencias,2,0),"")))))))))),"")*L$3,"")</f>
        <v/>
      </c>
      <c r="M296" t="str">
        <f>IFERROR(IFERROR(IF(M$5='Conceptos Desglosados'!$H$4,VLOOKUP($A296,dormitorios,2,0),IF(M$5='Conceptos Desglosados'!$H$5,VLOOKUP($A296,comedor,2,0),IF(M$5='Conceptos Desglosados'!$H$6,VLOOKUP($A296,alojamiento,2,0),IF(M$5='Conceptos Desglosados'!$H$7,VLOOKUP($A296,sanidad,2,0),IF(M$5='Conceptos Desglosados'!$H$8,VLOOKUP($A296,servicios,2,0),IF(M$5='Conceptos Desglosados'!$H$9,VLOOKUP($A296,comyaloj,2,0),IF(M$5='Conceptos Desglosados'!$H$10,VLOOKUP($A296,comandancia,2,0),IF(M$5='Conceptos Desglosados'!$H$11,VLOOKUP($A296,mantenimiento,2,0),IF(M$5='Conceptos Desglosados'!$H$12,VLOOKUP($A296,serestatal,2,0),IF(M$5='Conceptos Desglosados'!$H$13,VLOOKUP($A296,conferencias,2,0),"")))))))))),"")*M$3,"")</f>
        <v/>
      </c>
      <c r="O296">
        <f>SUM(K296:M296)</f>
        <v>0</v>
      </c>
    </row>
    <row r="297" spans="1:15" x14ac:dyDescent="0.35">
      <c r="A297">
        <v>292</v>
      </c>
      <c r="B297" t="s">
        <v>10</v>
      </c>
      <c r="C297" t="s">
        <v>921</v>
      </c>
      <c r="D297" t="s">
        <v>919</v>
      </c>
      <c r="E297" t="s">
        <v>784</v>
      </c>
      <c r="F297" t="s">
        <v>511</v>
      </c>
      <c r="G297" t="s">
        <v>2</v>
      </c>
      <c r="H297">
        <v>1.31</v>
      </c>
      <c r="I297">
        <v>2.7149999999999999</v>
      </c>
      <c r="J297" t="s">
        <v>6</v>
      </c>
      <c r="K297" t="str">
        <f>IFERROR(IFERROR(IF(K$5='Conceptos Desglosados'!$H$4,VLOOKUP($A297,dormitorios,2,0),IF(K$5='Conceptos Desglosados'!$H$5,VLOOKUP($A297,comedor,2,0),IF(K$5='Conceptos Desglosados'!$H$6,VLOOKUP($A297,alojamiento,2,0),IF(K$5='Conceptos Desglosados'!$H$7,VLOOKUP($A297,sanidad,2,0),IF(K$5='Conceptos Desglosados'!$H$8,VLOOKUP($A297,servicios,2,0),IF(K$5='Conceptos Desglosados'!$H$9,VLOOKUP($A297,comyaloj,2,0),IF(K$5='Conceptos Desglosados'!$H$10,VLOOKUP($A297,comandancia,2,0),IF(K$5='Conceptos Desglosados'!$H$11,VLOOKUP($A297,mantenimiento,2,0),IF(K$5='Conceptos Desglosados'!$H$12,VLOOKUP($A297,serestatal,2,0),IF(K$5='Conceptos Desglosados'!$H$13,VLOOKUP($A297,conferencias,2,0),"")))))))))),"")*K$3,"")</f>
        <v/>
      </c>
      <c r="L297" t="str">
        <f>IFERROR(IFERROR(IF(L$5='Conceptos Desglosados'!$H$4,VLOOKUP($A297,dormitorios,2,0),IF(L$5='Conceptos Desglosados'!$H$5,VLOOKUP($A297,comedor,2,0),IF(L$5='Conceptos Desglosados'!$H$6,VLOOKUP($A297,alojamiento,2,0),IF(L$5='Conceptos Desglosados'!$H$7,VLOOKUP($A297,sanidad,2,0),IF(L$5='Conceptos Desglosados'!$H$8,VLOOKUP($A297,servicios,2,0),IF(L$5='Conceptos Desglosados'!$H$9,VLOOKUP($A297,comyaloj,2,0),IF(L$5='Conceptos Desglosados'!$H$10,VLOOKUP($A297,comandancia,2,0),IF(L$5='Conceptos Desglosados'!$H$11,VLOOKUP($A297,mantenimiento,2,0),IF(L$5='Conceptos Desglosados'!$H$12,VLOOKUP($A297,serestatal,2,0),IF(L$5='Conceptos Desglosados'!$H$13,VLOOKUP($A297,conferencias,2,0),"")))))))))),"")*L$3,"")</f>
        <v/>
      </c>
      <c r="M297" t="str">
        <f>IFERROR(IFERROR(IF(M$5='Conceptos Desglosados'!$H$4,VLOOKUP($A297,dormitorios,2,0),IF(M$5='Conceptos Desglosados'!$H$5,VLOOKUP($A297,comedor,2,0),IF(M$5='Conceptos Desglosados'!$H$6,VLOOKUP($A297,alojamiento,2,0),IF(M$5='Conceptos Desglosados'!$H$7,VLOOKUP($A297,sanidad,2,0),IF(M$5='Conceptos Desglosados'!$H$8,VLOOKUP($A297,servicios,2,0),IF(M$5='Conceptos Desglosados'!$H$9,VLOOKUP($A297,comyaloj,2,0),IF(M$5='Conceptos Desglosados'!$H$10,VLOOKUP($A297,comandancia,2,0),IF(M$5='Conceptos Desglosados'!$H$11,VLOOKUP($A297,mantenimiento,2,0),IF(M$5='Conceptos Desglosados'!$H$12,VLOOKUP($A297,serestatal,2,0),IF(M$5='Conceptos Desglosados'!$H$13,VLOOKUP($A297,conferencias,2,0),"")))))))))),"")*M$3,"")</f>
        <v/>
      </c>
      <c r="O297">
        <f>SUM(K297:M297)</f>
        <v>0</v>
      </c>
    </row>
    <row r="298" spans="1:15" x14ac:dyDescent="0.35">
      <c r="A298">
        <v>293</v>
      </c>
      <c r="B298" t="s">
        <v>10</v>
      </c>
      <c r="C298" t="s">
        <v>922</v>
      </c>
      <c r="D298" t="s">
        <v>920</v>
      </c>
      <c r="E298" t="s">
        <v>756</v>
      </c>
      <c r="F298" t="s">
        <v>511</v>
      </c>
      <c r="G298" t="s">
        <v>2</v>
      </c>
      <c r="H298">
        <v>1.31</v>
      </c>
      <c r="I298">
        <v>2.7149999999999999</v>
      </c>
      <c r="J298" t="s">
        <v>6</v>
      </c>
      <c r="K298" t="str">
        <f>IFERROR(IFERROR(IF(K$5='Conceptos Desglosados'!$H$4,VLOOKUP($A298,dormitorios,2,0),IF(K$5='Conceptos Desglosados'!$H$5,VLOOKUP($A298,comedor,2,0),IF(K$5='Conceptos Desglosados'!$H$6,VLOOKUP($A298,alojamiento,2,0),IF(K$5='Conceptos Desglosados'!$H$7,VLOOKUP($A298,sanidad,2,0),IF(K$5='Conceptos Desglosados'!$H$8,VLOOKUP($A298,servicios,2,0),IF(K$5='Conceptos Desglosados'!$H$9,VLOOKUP($A298,comyaloj,2,0),IF(K$5='Conceptos Desglosados'!$H$10,VLOOKUP($A298,comandancia,2,0),IF(K$5='Conceptos Desglosados'!$H$11,VLOOKUP($A298,mantenimiento,2,0),IF(K$5='Conceptos Desglosados'!$H$12,VLOOKUP($A298,serestatal,2,0),IF(K$5='Conceptos Desglosados'!$H$13,VLOOKUP($A298,conferencias,2,0),"")))))))))),"")*K$3,"")</f>
        <v/>
      </c>
      <c r="L298" t="str">
        <f>IFERROR(IFERROR(IF(L$5='Conceptos Desglosados'!$H$4,VLOOKUP($A298,dormitorios,2,0),IF(L$5='Conceptos Desglosados'!$H$5,VLOOKUP($A298,comedor,2,0),IF(L$5='Conceptos Desglosados'!$H$6,VLOOKUP($A298,alojamiento,2,0),IF(L$5='Conceptos Desglosados'!$H$7,VLOOKUP($A298,sanidad,2,0),IF(L$5='Conceptos Desglosados'!$H$8,VLOOKUP($A298,servicios,2,0),IF(L$5='Conceptos Desglosados'!$H$9,VLOOKUP($A298,comyaloj,2,0),IF(L$5='Conceptos Desglosados'!$H$10,VLOOKUP($A298,comandancia,2,0),IF(L$5='Conceptos Desglosados'!$H$11,VLOOKUP($A298,mantenimiento,2,0),IF(L$5='Conceptos Desglosados'!$H$12,VLOOKUP($A298,serestatal,2,0),IF(L$5='Conceptos Desglosados'!$H$13,VLOOKUP($A298,conferencias,2,0),"")))))))))),"")*L$3,"")</f>
        <v/>
      </c>
      <c r="M298" t="str">
        <f>IFERROR(IFERROR(IF(M$5='Conceptos Desglosados'!$H$4,VLOOKUP($A298,dormitorios,2,0),IF(M$5='Conceptos Desglosados'!$H$5,VLOOKUP($A298,comedor,2,0),IF(M$5='Conceptos Desglosados'!$H$6,VLOOKUP($A298,alojamiento,2,0),IF(M$5='Conceptos Desglosados'!$H$7,VLOOKUP($A298,sanidad,2,0),IF(M$5='Conceptos Desglosados'!$H$8,VLOOKUP($A298,servicios,2,0),IF(M$5='Conceptos Desglosados'!$H$9,VLOOKUP($A298,comyaloj,2,0),IF(M$5='Conceptos Desglosados'!$H$10,VLOOKUP($A298,comandancia,2,0),IF(M$5='Conceptos Desglosados'!$H$11,VLOOKUP($A298,mantenimiento,2,0),IF(M$5='Conceptos Desglosados'!$H$12,VLOOKUP($A298,serestatal,2,0),IF(M$5='Conceptos Desglosados'!$H$13,VLOOKUP($A298,conferencias,2,0),"")))))))))),"")*M$3,"")</f>
        <v/>
      </c>
      <c r="O298">
        <f>SUM(K298:M298)</f>
        <v>0</v>
      </c>
    </row>
    <row r="299" spans="1:15" x14ac:dyDescent="0.35">
      <c r="A299">
        <v>294</v>
      </c>
      <c r="B299" t="s">
        <v>10</v>
      </c>
      <c r="C299" t="s">
        <v>937</v>
      </c>
      <c r="D299" t="s">
        <v>938</v>
      </c>
      <c r="E299" t="s">
        <v>1062</v>
      </c>
      <c r="F299" t="s">
        <v>883</v>
      </c>
      <c r="G299" t="s">
        <v>0</v>
      </c>
      <c r="H299">
        <v>1.968</v>
      </c>
      <c r="I299">
        <v>2.7149999999999999</v>
      </c>
      <c r="J299" t="s">
        <v>6</v>
      </c>
      <c r="K299">
        <f>IFERROR(IFERROR(IF(K$5='Conceptos Desglosados'!$H$4,VLOOKUP($A299,dormitorios,2,0),IF(K$5='Conceptos Desglosados'!$H$5,VLOOKUP($A299,comedor,2,0),IF(K$5='Conceptos Desglosados'!$H$6,VLOOKUP($A299,alojamiento,2,0),IF(K$5='Conceptos Desglosados'!$H$7,VLOOKUP($A299,sanidad,2,0),IF(K$5='Conceptos Desglosados'!$H$8,VLOOKUP($A299,servicios,2,0),IF(K$5='Conceptos Desglosados'!$H$9,VLOOKUP($A299,comyaloj,2,0),IF(K$5='Conceptos Desglosados'!$H$10,VLOOKUP($A299,comandancia,2,0),IF(K$5='Conceptos Desglosados'!$H$11,VLOOKUP($A299,mantenimiento,2,0),IF(K$5='Conceptos Desglosados'!$H$12,VLOOKUP($A299,serestatal,2,0),IF(K$5='Conceptos Desglosados'!$H$13,VLOOKUP($A299,conferencias,2,0),"")))))))))),"")*K$3,"")</f>
        <v>6</v>
      </c>
      <c r="L299" t="str">
        <f>IFERROR(IFERROR(IF(L$5='Conceptos Desglosados'!$H$4,VLOOKUP($A299,dormitorios,2,0),IF(L$5='Conceptos Desglosados'!$H$5,VLOOKUP($A299,comedor,2,0),IF(L$5='Conceptos Desglosados'!$H$6,VLOOKUP($A299,alojamiento,2,0),IF(L$5='Conceptos Desglosados'!$H$7,VLOOKUP($A299,sanidad,2,0),IF(L$5='Conceptos Desglosados'!$H$8,VLOOKUP($A299,servicios,2,0),IF(L$5='Conceptos Desglosados'!$H$9,VLOOKUP($A299,comyaloj,2,0),IF(L$5='Conceptos Desglosados'!$H$10,VLOOKUP($A299,comandancia,2,0),IF(L$5='Conceptos Desglosados'!$H$11,VLOOKUP($A299,mantenimiento,2,0),IF(L$5='Conceptos Desglosados'!$H$12,VLOOKUP($A299,serestatal,2,0),IF(L$5='Conceptos Desglosados'!$H$13,VLOOKUP($A299,conferencias,2,0),"")))))))))),"")*L$3,"")</f>
        <v/>
      </c>
      <c r="M299" t="str">
        <f>IFERROR(IFERROR(IF(M$5='Conceptos Desglosados'!$H$4,VLOOKUP($A299,dormitorios,2,0),IF(M$5='Conceptos Desglosados'!$H$5,VLOOKUP($A299,comedor,2,0),IF(M$5='Conceptos Desglosados'!$H$6,VLOOKUP($A299,alojamiento,2,0),IF(M$5='Conceptos Desglosados'!$H$7,VLOOKUP($A299,sanidad,2,0),IF(M$5='Conceptos Desglosados'!$H$8,VLOOKUP($A299,servicios,2,0),IF(M$5='Conceptos Desglosados'!$H$9,VLOOKUP($A299,comyaloj,2,0),IF(M$5='Conceptos Desglosados'!$H$10,VLOOKUP($A299,comandancia,2,0),IF(M$5='Conceptos Desglosados'!$H$11,VLOOKUP($A299,mantenimiento,2,0),IF(M$5='Conceptos Desglosados'!$H$12,VLOOKUP($A299,serestatal,2,0),IF(M$5='Conceptos Desglosados'!$H$13,VLOOKUP($A299,conferencias,2,0),"")))))))))),"")*M$3,"")</f>
        <v/>
      </c>
      <c r="O299">
        <f>SUM(K299:M299)</f>
        <v>6</v>
      </c>
    </row>
    <row r="300" spans="1:15" x14ac:dyDescent="0.35">
      <c r="A300">
        <v>295</v>
      </c>
      <c r="B300" t="s">
        <v>10</v>
      </c>
      <c r="C300" t="s">
        <v>941</v>
      </c>
      <c r="D300" t="s">
        <v>942</v>
      </c>
      <c r="E300" t="s">
        <v>1063</v>
      </c>
      <c r="F300" t="s">
        <v>883</v>
      </c>
      <c r="G300" t="s">
        <v>0</v>
      </c>
      <c r="H300">
        <v>1.9159999999999999</v>
      </c>
      <c r="I300">
        <v>2.7149999999999999</v>
      </c>
      <c r="J300" t="s">
        <v>6</v>
      </c>
      <c r="K300">
        <f>IFERROR(IFERROR(IF(K$5='Conceptos Desglosados'!$H$4,VLOOKUP($A300,dormitorios,2,0),IF(K$5='Conceptos Desglosados'!$H$5,VLOOKUP($A300,comedor,2,0),IF(K$5='Conceptos Desglosados'!$H$6,VLOOKUP($A300,alojamiento,2,0),IF(K$5='Conceptos Desglosados'!$H$7,VLOOKUP($A300,sanidad,2,0),IF(K$5='Conceptos Desglosados'!$H$8,VLOOKUP($A300,servicios,2,0),IF(K$5='Conceptos Desglosados'!$H$9,VLOOKUP($A300,comyaloj,2,0),IF(K$5='Conceptos Desglosados'!$H$10,VLOOKUP($A300,comandancia,2,0),IF(K$5='Conceptos Desglosados'!$H$11,VLOOKUP($A300,mantenimiento,2,0),IF(K$5='Conceptos Desglosados'!$H$12,VLOOKUP($A300,serestatal,2,0),IF(K$5='Conceptos Desglosados'!$H$13,VLOOKUP($A300,conferencias,2,0),"")))))))))),"")*K$3,"")</f>
        <v>2</v>
      </c>
      <c r="L300" t="str">
        <f>IFERROR(IFERROR(IF(L$5='Conceptos Desglosados'!$H$4,VLOOKUP($A300,dormitorios,2,0),IF(L$5='Conceptos Desglosados'!$H$5,VLOOKUP($A300,comedor,2,0),IF(L$5='Conceptos Desglosados'!$H$6,VLOOKUP($A300,alojamiento,2,0),IF(L$5='Conceptos Desglosados'!$H$7,VLOOKUP($A300,sanidad,2,0),IF(L$5='Conceptos Desglosados'!$H$8,VLOOKUP($A300,servicios,2,0),IF(L$5='Conceptos Desglosados'!$H$9,VLOOKUP($A300,comyaloj,2,0),IF(L$5='Conceptos Desglosados'!$H$10,VLOOKUP($A300,comandancia,2,0),IF(L$5='Conceptos Desglosados'!$H$11,VLOOKUP($A300,mantenimiento,2,0),IF(L$5='Conceptos Desglosados'!$H$12,VLOOKUP($A300,serestatal,2,0),IF(L$5='Conceptos Desglosados'!$H$13,VLOOKUP($A300,conferencias,2,0),"")))))))))),"")*L$3,"")</f>
        <v/>
      </c>
      <c r="M300" t="str">
        <f>IFERROR(IFERROR(IF(M$5='Conceptos Desglosados'!$H$4,VLOOKUP($A300,dormitorios,2,0),IF(M$5='Conceptos Desglosados'!$H$5,VLOOKUP($A300,comedor,2,0),IF(M$5='Conceptos Desglosados'!$H$6,VLOOKUP($A300,alojamiento,2,0),IF(M$5='Conceptos Desglosados'!$H$7,VLOOKUP($A300,sanidad,2,0),IF(M$5='Conceptos Desglosados'!$H$8,VLOOKUP($A300,servicios,2,0),IF(M$5='Conceptos Desglosados'!$H$9,VLOOKUP($A300,comyaloj,2,0),IF(M$5='Conceptos Desglosados'!$H$10,VLOOKUP($A300,comandancia,2,0),IF(M$5='Conceptos Desglosados'!$H$11,VLOOKUP($A300,mantenimiento,2,0),IF(M$5='Conceptos Desglosados'!$H$12,VLOOKUP($A300,serestatal,2,0),IF(M$5='Conceptos Desglosados'!$H$13,VLOOKUP($A300,conferencias,2,0),"")))))))))),"")*M$3,"")</f>
        <v/>
      </c>
      <c r="O300">
        <f>SUM(K300:M300)</f>
        <v>2</v>
      </c>
    </row>
    <row r="301" spans="1:15" x14ac:dyDescent="0.35">
      <c r="A301">
        <v>296</v>
      </c>
      <c r="B301" t="s">
        <v>10</v>
      </c>
      <c r="C301" t="s">
        <v>949</v>
      </c>
      <c r="D301" t="s">
        <v>948</v>
      </c>
      <c r="E301" t="s">
        <v>1054</v>
      </c>
      <c r="F301" t="s">
        <v>511</v>
      </c>
      <c r="G301" t="s">
        <v>0</v>
      </c>
      <c r="H301">
        <v>1.9490000000000001</v>
      </c>
      <c r="I301">
        <v>2.7149999999999999</v>
      </c>
      <c r="J301" t="s">
        <v>6</v>
      </c>
      <c r="K301">
        <f>IFERROR(IFERROR(IF(K$5='Conceptos Desglosados'!$H$4,VLOOKUP($A301,dormitorios,2,0),IF(K$5='Conceptos Desglosados'!$H$5,VLOOKUP($A301,comedor,2,0),IF(K$5='Conceptos Desglosados'!$H$6,VLOOKUP($A301,alojamiento,2,0),IF(K$5='Conceptos Desglosados'!$H$7,VLOOKUP($A301,sanidad,2,0),IF(K$5='Conceptos Desglosados'!$H$8,VLOOKUP($A301,servicios,2,0),IF(K$5='Conceptos Desglosados'!$H$9,VLOOKUP($A301,comyaloj,2,0),IF(K$5='Conceptos Desglosados'!$H$10,VLOOKUP($A301,comandancia,2,0),IF(K$5='Conceptos Desglosados'!$H$11,VLOOKUP($A301,mantenimiento,2,0),IF(K$5='Conceptos Desglosados'!$H$12,VLOOKUP($A301,serestatal,2,0),IF(K$5='Conceptos Desglosados'!$H$13,VLOOKUP($A301,conferencias,2,0),"")))))))))),"")*K$3,"")</f>
        <v>2</v>
      </c>
      <c r="L301" t="str">
        <f>IFERROR(IFERROR(IF(L$5='Conceptos Desglosados'!$H$4,VLOOKUP($A301,dormitorios,2,0),IF(L$5='Conceptos Desglosados'!$H$5,VLOOKUP($A301,comedor,2,0),IF(L$5='Conceptos Desglosados'!$H$6,VLOOKUP($A301,alojamiento,2,0),IF(L$5='Conceptos Desglosados'!$H$7,VLOOKUP($A301,sanidad,2,0),IF(L$5='Conceptos Desglosados'!$H$8,VLOOKUP($A301,servicios,2,0),IF(L$5='Conceptos Desglosados'!$H$9,VLOOKUP($A301,comyaloj,2,0),IF(L$5='Conceptos Desglosados'!$H$10,VLOOKUP($A301,comandancia,2,0),IF(L$5='Conceptos Desglosados'!$H$11,VLOOKUP($A301,mantenimiento,2,0),IF(L$5='Conceptos Desglosados'!$H$12,VLOOKUP($A301,serestatal,2,0),IF(L$5='Conceptos Desglosados'!$H$13,VLOOKUP($A301,conferencias,2,0),"")))))))))),"")*L$3,"")</f>
        <v/>
      </c>
      <c r="M301" t="str">
        <f>IFERROR(IFERROR(IF(M$5='Conceptos Desglosados'!$H$4,VLOOKUP($A301,dormitorios,2,0),IF(M$5='Conceptos Desglosados'!$H$5,VLOOKUP($A301,comedor,2,0),IF(M$5='Conceptos Desglosados'!$H$6,VLOOKUP($A301,alojamiento,2,0),IF(M$5='Conceptos Desglosados'!$H$7,VLOOKUP($A301,sanidad,2,0),IF(M$5='Conceptos Desglosados'!$H$8,VLOOKUP($A301,servicios,2,0),IF(M$5='Conceptos Desglosados'!$H$9,VLOOKUP($A301,comyaloj,2,0),IF(M$5='Conceptos Desglosados'!$H$10,VLOOKUP($A301,comandancia,2,0),IF(M$5='Conceptos Desglosados'!$H$11,VLOOKUP($A301,mantenimiento,2,0),IF(M$5='Conceptos Desglosados'!$H$12,VLOOKUP($A301,serestatal,2,0),IF(M$5='Conceptos Desglosados'!$H$13,VLOOKUP($A301,conferencias,2,0),"")))))))))),"")*M$3,"")</f>
        <v/>
      </c>
      <c r="O301">
        <f>SUM(K301:M301)</f>
        <v>2</v>
      </c>
    </row>
    <row r="302" spans="1:15" x14ac:dyDescent="0.35">
      <c r="A302">
        <v>297</v>
      </c>
      <c r="B302" t="s">
        <v>10</v>
      </c>
      <c r="C302" t="s">
        <v>950</v>
      </c>
      <c r="D302" t="s">
        <v>951</v>
      </c>
      <c r="E302" t="s">
        <v>1102</v>
      </c>
      <c r="F302" t="s">
        <v>883</v>
      </c>
      <c r="G302" t="s">
        <v>2</v>
      </c>
      <c r="H302">
        <v>1.9990000000000001</v>
      </c>
      <c r="I302">
        <v>2.7149999999999999</v>
      </c>
      <c r="J302" t="s">
        <v>6</v>
      </c>
      <c r="K302">
        <f>IFERROR(IFERROR(IF(K$5='Conceptos Desglosados'!$H$4,VLOOKUP($A302,dormitorios,2,0),IF(K$5='Conceptos Desglosados'!$H$5,VLOOKUP($A302,comedor,2,0),IF(K$5='Conceptos Desglosados'!$H$6,VLOOKUP($A302,alojamiento,2,0),IF(K$5='Conceptos Desglosados'!$H$7,VLOOKUP($A302,sanidad,2,0),IF(K$5='Conceptos Desglosados'!$H$8,VLOOKUP($A302,servicios,2,0),IF(K$5='Conceptos Desglosados'!$H$9,VLOOKUP($A302,comyaloj,2,0),IF(K$5='Conceptos Desglosados'!$H$10,VLOOKUP($A302,comandancia,2,0),IF(K$5='Conceptos Desglosados'!$H$11,VLOOKUP($A302,mantenimiento,2,0),IF(K$5='Conceptos Desglosados'!$H$12,VLOOKUP($A302,serestatal,2,0),IF(K$5='Conceptos Desglosados'!$H$13,VLOOKUP($A302,conferencias,2,0),"")))))))))),"")*K$3,"")</f>
        <v>2</v>
      </c>
      <c r="L302" t="str">
        <f>IFERROR(IFERROR(IF(L$5='Conceptos Desglosados'!$H$4,VLOOKUP($A302,dormitorios,2,0),IF(L$5='Conceptos Desglosados'!$H$5,VLOOKUP($A302,comedor,2,0),IF(L$5='Conceptos Desglosados'!$H$6,VLOOKUP($A302,alojamiento,2,0),IF(L$5='Conceptos Desglosados'!$H$7,VLOOKUP($A302,sanidad,2,0),IF(L$5='Conceptos Desglosados'!$H$8,VLOOKUP($A302,servicios,2,0),IF(L$5='Conceptos Desglosados'!$H$9,VLOOKUP($A302,comyaloj,2,0),IF(L$5='Conceptos Desglosados'!$H$10,VLOOKUP($A302,comandancia,2,0),IF(L$5='Conceptos Desglosados'!$H$11,VLOOKUP($A302,mantenimiento,2,0),IF(L$5='Conceptos Desglosados'!$H$12,VLOOKUP($A302,serestatal,2,0),IF(L$5='Conceptos Desglosados'!$H$13,VLOOKUP($A302,conferencias,2,0),"")))))))))),"")*L$3,"")</f>
        <v/>
      </c>
      <c r="M302" t="str">
        <f>IFERROR(IFERROR(IF(M$5='Conceptos Desglosados'!$H$4,VLOOKUP($A302,dormitorios,2,0),IF(M$5='Conceptos Desglosados'!$H$5,VLOOKUP($A302,comedor,2,0),IF(M$5='Conceptos Desglosados'!$H$6,VLOOKUP($A302,alojamiento,2,0),IF(M$5='Conceptos Desglosados'!$H$7,VLOOKUP($A302,sanidad,2,0),IF(M$5='Conceptos Desglosados'!$H$8,VLOOKUP($A302,servicios,2,0),IF(M$5='Conceptos Desglosados'!$H$9,VLOOKUP($A302,comyaloj,2,0),IF(M$5='Conceptos Desglosados'!$H$10,VLOOKUP($A302,comandancia,2,0),IF(M$5='Conceptos Desglosados'!$H$11,VLOOKUP($A302,mantenimiento,2,0),IF(M$5='Conceptos Desglosados'!$H$12,VLOOKUP($A302,serestatal,2,0),IF(M$5='Conceptos Desglosados'!$H$13,VLOOKUP($A302,conferencias,2,0),"")))))))))),"")*M$3,"")</f>
        <v/>
      </c>
      <c r="O302">
        <f>SUM(K302:M302)</f>
        <v>2</v>
      </c>
    </row>
    <row r="303" spans="1:15" x14ac:dyDescent="0.35">
      <c r="A303">
        <v>298</v>
      </c>
      <c r="B303" t="s">
        <v>10</v>
      </c>
      <c r="C303" t="s">
        <v>953</v>
      </c>
      <c r="D303" t="s">
        <v>952</v>
      </c>
      <c r="E303" t="s">
        <v>1055</v>
      </c>
      <c r="F303" t="s">
        <v>511</v>
      </c>
      <c r="G303" t="s">
        <v>0</v>
      </c>
      <c r="H303">
        <v>1.069</v>
      </c>
      <c r="I303">
        <v>2.7149999999999999</v>
      </c>
      <c r="J303" t="s">
        <v>6</v>
      </c>
      <c r="K303">
        <f>IFERROR(IFERROR(IF(K$5='Conceptos Desglosados'!$H$4,VLOOKUP($A303,dormitorios,2,0),IF(K$5='Conceptos Desglosados'!$H$5,VLOOKUP($A303,comedor,2,0),IF(K$5='Conceptos Desglosados'!$H$6,VLOOKUP($A303,alojamiento,2,0),IF(K$5='Conceptos Desglosados'!$H$7,VLOOKUP($A303,sanidad,2,0),IF(K$5='Conceptos Desglosados'!$H$8,VLOOKUP($A303,servicios,2,0),IF(K$5='Conceptos Desglosados'!$H$9,VLOOKUP($A303,comyaloj,2,0),IF(K$5='Conceptos Desglosados'!$H$10,VLOOKUP($A303,comandancia,2,0),IF(K$5='Conceptos Desglosados'!$H$11,VLOOKUP($A303,mantenimiento,2,0),IF(K$5='Conceptos Desglosados'!$H$12,VLOOKUP($A303,serestatal,2,0),IF(K$5='Conceptos Desglosados'!$H$13,VLOOKUP($A303,conferencias,2,0),"")))))))))),"")*K$3,"")</f>
        <v>2</v>
      </c>
      <c r="L303" t="str">
        <f>IFERROR(IFERROR(IF(L$5='Conceptos Desglosados'!$H$4,VLOOKUP($A303,dormitorios,2,0),IF(L$5='Conceptos Desglosados'!$H$5,VLOOKUP($A303,comedor,2,0),IF(L$5='Conceptos Desglosados'!$H$6,VLOOKUP($A303,alojamiento,2,0),IF(L$5='Conceptos Desglosados'!$H$7,VLOOKUP($A303,sanidad,2,0),IF(L$5='Conceptos Desglosados'!$H$8,VLOOKUP($A303,servicios,2,0),IF(L$5='Conceptos Desglosados'!$H$9,VLOOKUP($A303,comyaloj,2,0),IF(L$5='Conceptos Desglosados'!$H$10,VLOOKUP($A303,comandancia,2,0),IF(L$5='Conceptos Desglosados'!$H$11,VLOOKUP($A303,mantenimiento,2,0),IF(L$5='Conceptos Desglosados'!$H$12,VLOOKUP($A303,serestatal,2,0),IF(L$5='Conceptos Desglosados'!$H$13,VLOOKUP($A303,conferencias,2,0),"")))))))))),"")*L$3,"")</f>
        <v/>
      </c>
      <c r="M303" t="str">
        <f>IFERROR(IFERROR(IF(M$5='Conceptos Desglosados'!$H$4,VLOOKUP($A303,dormitorios,2,0),IF(M$5='Conceptos Desglosados'!$H$5,VLOOKUP($A303,comedor,2,0),IF(M$5='Conceptos Desglosados'!$H$6,VLOOKUP($A303,alojamiento,2,0),IF(M$5='Conceptos Desglosados'!$H$7,VLOOKUP($A303,sanidad,2,0),IF(M$5='Conceptos Desglosados'!$H$8,VLOOKUP($A303,servicios,2,0),IF(M$5='Conceptos Desglosados'!$H$9,VLOOKUP($A303,comyaloj,2,0),IF(M$5='Conceptos Desglosados'!$H$10,VLOOKUP($A303,comandancia,2,0),IF(M$5='Conceptos Desglosados'!$H$11,VLOOKUP($A303,mantenimiento,2,0),IF(M$5='Conceptos Desglosados'!$H$12,VLOOKUP($A303,serestatal,2,0),IF(M$5='Conceptos Desglosados'!$H$13,VLOOKUP($A303,conferencias,2,0),"")))))))))),"")*M$3,"")</f>
        <v/>
      </c>
      <c r="O303">
        <f>SUM(K303:M303)</f>
        <v>2</v>
      </c>
    </row>
    <row r="304" spans="1:15" x14ac:dyDescent="0.35">
      <c r="A304">
        <v>299</v>
      </c>
      <c r="B304" t="s">
        <v>10</v>
      </c>
      <c r="C304" t="s">
        <v>962</v>
      </c>
      <c r="D304" t="s">
        <v>961</v>
      </c>
      <c r="E304" t="s">
        <v>1063</v>
      </c>
      <c r="F304" t="s">
        <v>883</v>
      </c>
      <c r="G304" t="s">
        <v>2</v>
      </c>
      <c r="H304">
        <v>2.0059999999999998</v>
      </c>
      <c r="I304">
        <v>2.7149999999999999</v>
      </c>
      <c r="J304" t="s">
        <v>6</v>
      </c>
      <c r="K304">
        <f>IFERROR(IFERROR(IF(K$5='Conceptos Desglosados'!$H$4,VLOOKUP($A304,dormitorios,2,0),IF(K$5='Conceptos Desglosados'!$H$5,VLOOKUP($A304,comedor,2,0),IF(K$5='Conceptos Desglosados'!$H$6,VLOOKUP($A304,alojamiento,2,0),IF(K$5='Conceptos Desglosados'!$H$7,VLOOKUP($A304,sanidad,2,0),IF(K$5='Conceptos Desglosados'!$H$8,VLOOKUP($A304,servicios,2,0),IF(K$5='Conceptos Desglosados'!$H$9,VLOOKUP($A304,comyaloj,2,0),IF(K$5='Conceptos Desglosados'!$H$10,VLOOKUP($A304,comandancia,2,0),IF(K$5='Conceptos Desglosados'!$H$11,VLOOKUP($A304,mantenimiento,2,0),IF(K$5='Conceptos Desglosados'!$H$12,VLOOKUP($A304,serestatal,2,0),IF(K$5='Conceptos Desglosados'!$H$13,VLOOKUP($A304,conferencias,2,0),"")))))))))),"")*K$3,"")</f>
        <v>2</v>
      </c>
      <c r="L304" t="str">
        <f>IFERROR(IFERROR(IF(L$5='Conceptos Desglosados'!$H$4,VLOOKUP($A304,dormitorios,2,0),IF(L$5='Conceptos Desglosados'!$H$5,VLOOKUP($A304,comedor,2,0),IF(L$5='Conceptos Desglosados'!$H$6,VLOOKUP($A304,alojamiento,2,0),IF(L$5='Conceptos Desglosados'!$H$7,VLOOKUP($A304,sanidad,2,0),IF(L$5='Conceptos Desglosados'!$H$8,VLOOKUP($A304,servicios,2,0),IF(L$5='Conceptos Desglosados'!$H$9,VLOOKUP($A304,comyaloj,2,0),IF(L$5='Conceptos Desglosados'!$H$10,VLOOKUP($A304,comandancia,2,0),IF(L$5='Conceptos Desglosados'!$H$11,VLOOKUP($A304,mantenimiento,2,0),IF(L$5='Conceptos Desglosados'!$H$12,VLOOKUP($A304,serestatal,2,0),IF(L$5='Conceptos Desglosados'!$H$13,VLOOKUP($A304,conferencias,2,0),"")))))))))),"")*L$3,"")</f>
        <v/>
      </c>
      <c r="M304" t="str">
        <f>IFERROR(IFERROR(IF(M$5='Conceptos Desglosados'!$H$4,VLOOKUP($A304,dormitorios,2,0),IF(M$5='Conceptos Desglosados'!$H$5,VLOOKUP($A304,comedor,2,0),IF(M$5='Conceptos Desglosados'!$H$6,VLOOKUP($A304,alojamiento,2,0),IF(M$5='Conceptos Desglosados'!$H$7,VLOOKUP($A304,sanidad,2,0),IF(M$5='Conceptos Desglosados'!$H$8,VLOOKUP($A304,servicios,2,0),IF(M$5='Conceptos Desglosados'!$H$9,VLOOKUP($A304,comyaloj,2,0),IF(M$5='Conceptos Desglosados'!$H$10,VLOOKUP($A304,comandancia,2,0),IF(M$5='Conceptos Desglosados'!$H$11,VLOOKUP($A304,mantenimiento,2,0),IF(M$5='Conceptos Desglosados'!$H$12,VLOOKUP($A304,serestatal,2,0),IF(M$5='Conceptos Desglosados'!$H$13,VLOOKUP($A304,conferencias,2,0),"")))))))))),"")*M$3,"")</f>
        <v/>
      </c>
      <c r="O304">
        <f>SUM(K304:M304)</f>
        <v>2</v>
      </c>
    </row>
    <row r="305" spans="1:15" x14ac:dyDescent="0.35">
      <c r="A305">
        <v>300</v>
      </c>
      <c r="B305" t="s">
        <v>10</v>
      </c>
      <c r="C305" t="s">
        <v>990</v>
      </c>
      <c r="D305" t="s">
        <v>991</v>
      </c>
      <c r="E305" t="s">
        <v>1063</v>
      </c>
      <c r="F305" t="s">
        <v>883</v>
      </c>
      <c r="G305" t="s">
        <v>0</v>
      </c>
      <c r="H305">
        <v>1.903</v>
      </c>
      <c r="I305">
        <v>2.7149999999999999</v>
      </c>
      <c r="J305" t="s">
        <v>6</v>
      </c>
      <c r="K305">
        <f>IFERROR(IFERROR(IF(K$5='Conceptos Desglosados'!$H$4,VLOOKUP($A305,dormitorios,2,0),IF(K$5='Conceptos Desglosados'!$H$5,VLOOKUP($A305,comedor,2,0),IF(K$5='Conceptos Desglosados'!$H$6,VLOOKUP($A305,alojamiento,2,0),IF(K$5='Conceptos Desglosados'!$H$7,VLOOKUP($A305,sanidad,2,0),IF(K$5='Conceptos Desglosados'!$H$8,VLOOKUP($A305,servicios,2,0),IF(K$5='Conceptos Desglosados'!$H$9,VLOOKUP($A305,comyaloj,2,0),IF(K$5='Conceptos Desglosados'!$H$10,VLOOKUP($A305,comandancia,2,0),IF(K$5='Conceptos Desglosados'!$H$11,VLOOKUP($A305,mantenimiento,2,0),IF(K$5='Conceptos Desglosados'!$H$12,VLOOKUP($A305,serestatal,2,0),IF(K$5='Conceptos Desglosados'!$H$13,VLOOKUP($A305,conferencias,2,0),"")))))))))),"")*K$3,"")</f>
        <v>2</v>
      </c>
      <c r="L305" t="str">
        <f>IFERROR(IFERROR(IF(L$5='Conceptos Desglosados'!$H$4,VLOOKUP($A305,dormitorios,2,0),IF(L$5='Conceptos Desglosados'!$H$5,VLOOKUP($A305,comedor,2,0),IF(L$5='Conceptos Desglosados'!$H$6,VLOOKUP($A305,alojamiento,2,0),IF(L$5='Conceptos Desglosados'!$H$7,VLOOKUP($A305,sanidad,2,0),IF(L$5='Conceptos Desglosados'!$H$8,VLOOKUP($A305,servicios,2,0),IF(L$5='Conceptos Desglosados'!$H$9,VLOOKUP($A305,comyaloj,2,0),IF(L$5='Conceptos Desglosados'!$H$10,VLOOKUP($A305,comandancia,2,0),IF(L$5='Conceptos Desglosados'!$H$11,VLOOKUP($A305,mantenimiento,2,0),IF(L$5='Conceptos Desglosados'!$H$12,VLOOKUP($A305,serestatal,2,0),IF(L$5='Conceptos Desglosados'!$H$13,VLOOKUP($A305,conferencias,2,0),"")))))))))),"")*L$3,"")</f>
        <v/>
      </c>
      <c r="M305" t="str">
        <f>IFERROR(IFERROR(IF(M$5='Conceptos Desglosados'!$H$4,VLOOKUP($A305,dormitorios,2,0),IF(M$5='Conceptos Desglosados'!$H$5,VLOOKUP($A305,comedor,2,0),IF(M$5='Conceptos Desglosados'!$H$6,VLOOKUP($A305,alojamiento,2,0),IF(M$5='Conceptos Desglosados'!$H$7,VLOOKUP($A305,sanidad,2,0),IF(M$5='Conceptos Desglosados'!$H$8,VLOOKUP($A305,servicios,2,0),IF(M$5='Conceptos Desglosados'!$H$9,VLOOKUP($A305,comyaloj,2,0),IF(M$5='Conceptos Desglosados'!$H$10,VLOOKUP($A305,comandancia,2,0),IF(M$5='Conceptos Desglosados'!$H$11,VLOOKUP($A305,mantenimiento,2,0),IF(M$5='Conceptos Desglosados'!$H$12,VLOOKUP($A305,serestatal,2,0),IF(M$5='Conceptos Desglosados'!$H$13,VLOOKUP($A305,conferencias,2,0),"")))))))))),"")*M$3,"")</f>
        <v/>
      </c>
      <c r="O305">
        <f>SUM(K305:M305)</f>
        <v>2</v>
      </c>
    </row>
    <row r="306" spans="1:15" x14ac:dyDescent="0.35">
      <c r="A306">
        <v>301</v>
      </c>
      <c r="B306" t="s">
        <v>10</v>
      </c>
      <c r="C306" t="s">
        <v>1019</v>
      </c>
      <c r="D306" t="s">
        <v>1005</v>
      </c>
      <c r="E306" t="s">
        <v>1004</v>
      </c>
      <c r="F306" t="s">
        <v>511</v>
      </c>
      <c r="G306" t="s">
        <v>2</v>
      </c>
      <c r="H306">
        <v>1.9530000000000001</v>
      </c>
      <c r="I306">
        <v>2.7149999999999999</v>
      </c>
      <c r="J306" t="s">
        <v>6</v>
      </c>
      <c r="K306" t="str">
        <f>IFERROR(IFERROR(IF(K$5='Conceptos Desglosados'!$H$4,VLOOKUP($A306,dormitorios,2,0),IF(K$5='Conceptos Desglosados'!$H$5,VLOOKUP($A306,comedor,2,0),IF(K$5='Conceptos Desglosados'!$H$6,VLOOKUP($A306,alojamiento,2,0),IF(K$5='Conceptos Desglosados'!$H$7,VLOOKUP($A306,sanidad,2,0),IF(K$5='Conceptos Desglosados'!$H$8,VLOOKUP($A306,servicios,2,0),IF(K$5='Conceptos Desglosados'!$H$9,VLOOKUP($A306,comyaloj,2,0),IF(K$5='Conceptos Desglosados'!$H$10,VLOOKUP($A306,comandancia,2,0),IF(K$5='Conceptos Desglosados'!$H$11,VLOOKUP($A306,mantenimiento,2,0),IF(K$5='Conceptos Desglosados'!$H$12,VLOOKUP($A306,serestatal,2,0),IF(K$5='Conceptos Desglosados'!$H$13,VLOOKUP($A306,conferencias,2,0),"")))))))))),"")*K$3,"")</f>
        <v/>
      </c>
      <c r="L306" t="str">
        <f>IFERROR(IFERROR(IF(L$5='Conceptos Desglosados'!$H$4,VLOOKUP($A306,dormitorios,2,0),IF(L$5='Conceptos Desglosados'!$H$5,VLOOKUP($A306,comedor,2,0),IF(L$5='Conceptos Desglosados'!$H$6,VLOOKUP($A306,alojamiento,2,0),IF(L$5='Conceptos Desglosados'!$H$7,VLOOKUP($A306,sanidad,2,0),IF(L$5='Conceptos Desglosados'!$H$8,VLOOKUP($A306,servicios,2,0),IF(L$5='Conceptos Desglosados'!$H$9,VLOOKUP($A306,comyaloj,2,0),IF(L$5='Conceptos Desglosados'!$H$10,VLOOKUP($A306,comandancia,2,0),IF(L$5='Conceptos Desglosados'!$H$11,VLOOKUP($A306,mantenimiento,2,0),IF(L$5='Conceptos Desglosados'!$H$12,VLOOKUP($A306,serestatal,2,0),IF(L$5='Conceptos Desglosados'!$H$13,VLOOKUP($A306,conferencias,2,0),"")))))))))),"")*L$3,"")</f>
        <v/>
      </c>
      <c r="M306" t="str">
        <f>IFERROR(IFERROR(IF(M$5='Conceptos Desglosados'!$H$4,VLOOKUP($A306,dormitorios,2,0),IF(M$5='Conceptos Desglosados'!$H$5,VLOOKUP($A306,comedor,2,0),IF(M$5='Conceptos Desglosados'!$H$6,VLOOKUP($A306,alojamiento,2,0),IF(M$5='Conceptos Desglosados'!$H$7,VLOOKUP($A306,sanidad,2,0),IF(M$5='Conceptos Desglosados'!$H$8,VLOOKUP($A306,servicios,2,0),IF(M$5='Conceptos Desglosados'!$H$9,VLOOKUP($A306,comyaloj,2,0),IF(M$5='Conceptos Desglosados'!$H$10,VLOOKUP($A306,comandancia,2,0),IF(M$5='Conceptos Desglosados'!$H$11,VLOOKUP($A306,mantenimiento,2,0),IF(M$5='Conceptos Desglosados'!$H$12,VLOOKUP($A306,serestatal,2,0),IF(M$5='Conceptos Desglosados'!$H$13,VLOOKUP($A306,conferencias,2,0),"")))))))))),"")*M$3,"")</f>
        <v/>
      </c>
      <c r="O306">
        <f>SUM(K306:M306)</f>
        <v>0</v>
      </c>
    </row>
    <row r="307" spans="1:15" x14ac:dyDescent="0.35">
      <c r="A307">
        <v>302</v>
      </c>
      <c r="B307" t="s">
        <v>10</v>
      </c>
      <c r="C307" t="s">
        <v>1020</v>
      </c>
      <c r="D307" t="s">
        <v>1007</v>
      </c>
      <c r="E307" t="s">
        <v>1006</v>
      </c>
      <c r="F307" t="s">
        <v>511</v>
      </c>
      <c r="G307" t="s">
        <v>2</v>
      </c>
      <c r="H307">
        <v>1.9530000000000001</v>
      </c>
      <c r="I307">
        <v>2.7149999999999999</v>
      </c>
      <c r="J307" t="s">
        <v>6</v>
      </c>
      <c r="K307" t="str">
        <f>IFERROR(IFERROR(IF(K$5='Conceptos Desglosados'!$H$4,VLOOKUP($A307,dormitorios,2,0),IF(K$5='Conceptos Desglosados'!$H$5,VLOOKUP($A307,comedor,2,0),IF(K$5='Conceptos Desglosados'!$H$6,VLOOKUP($A307,alojamiento,2,0),IF(K$5='Conceptos Desglosados'!$H$7,VLOOKUP($A307,sanidad,2,0),IF(K$5='Conceptos Desglosados'!$H$8,VLOOKUP($A307,servicios,2,0),IF(K$5='Conceptos Desglosados'!$H$9,VLOOKUP($A307,comyaloj,2,0),IF(K$5='Conceptos Desglosados'!$H$10,VLOOKUP($A307,comandancia,2,0),IF(K$5='Conceptos Desglosados'!$H$11,VLOOKUP($A307,mantenimiento,2,0),IF(K$5='Conceptos Desglosados'!$H$12,VLOOKUP($A307,serestatal,2,0),IF(K$5='Conceptos Desglosados'!$H$13,VLOOKUP($A307,conferencias,2,0),"")))))))))),"")*K$3,"")</f>
        <v/>
      </c>
      <c r="L307" t="str">
        <f>IFERROR(IFERROR(IF(L$5='Conceptos Desglosados'!$H$4,VLOOKUP($A307,dormitorios,2,0),IF(L$5='Conceptos Desglosados'!$H$5,VLOOKUP($A307,comedor,2,0),IF(L$5='Conceptos Desglosados'!$H$6,VLOOKUP($A307,alojamiento,2,0),IF(L$5='Conceptos Desglosados'!$H$7,VLOOKUP($A307,sanidad,2,0),IF(L$5='Conceptos Desglosados'!$H$8,VLOOKUP($A307,servicios,2,0),IF(L$5='Conceptos Desglosados'!$H$9,VLOOKUP($A307,comyaloj,2,0),IF(L$5='Conceptos Desglosados'!$H$10,VLOOKUP($A307,comandancia,2,0),IF(L$5='Conceptos Desglosados'!$H$11,VLOOKUP($A307,mantenimiento,2,0),IF(L$5='Conceptos Desglosados'!$H$12,VLOOKUP($A307,serestatal,2,0),IF(L$5='Conceptos Desglosados'!$H$13,VLOOKUP($A307,conferencias,2,0),"")))))))))),"")*L$3,"")</f>
        <v/>
      </c>
      <c r="M307" t="str">
        <f>IFERROR(IFERROR(IF(M$5='Conceptos Desglosados'!$H$4,VLOOKUP($A307,dormitorios,2,0),IF(M$5='Conceptos Desglosados'!$H$5,VLOOKUP($A307,comedor,2,0),IF(M$5='Conceptos Desglosados'!$H$6,VLOOKUP($A307,alojamiento,2,0),IF(M$5='Conceptos Desglosados'!$H$7,VLOOKUP($A307,sanidad,2,0),IF(M$5='Conceptos Desglosados'!$H$8,VLOOKUP($A307,servicios,2,0),IF(M$5='Conceptos Desglosados'!$H$9,VLOOKUP($A307,comyaloj,2,0),IF(M$5='Conceptos Desglosados'!$H$10,VLOOKUP($A307,comandancia,2,0),IF(M$5='Conceptos Desglosados'!$H$11,VLOOKUP($A307,mantenimiento,2,0),IF(M$5='Conceptos Desglosados'!$H$12,VLOOKUP($A307,serestatal,2,0),IF(M$5='Conceptos Desglosados'!$H$13,VLOOKUP($A307,conferencias,2,0),"")))))))))),"")*M$3,"")</f>
        <v/>
      </c>
      <c r="O307">
        <f>SUM(K307:M307)</f>
        <v>0</v>
      </c>
    </row>
    <row r="308" spans="1:15" x14ac:dyDescent="0.35">
      <c r="A308">
        <v>303</v>
      </c>
      <c r="B308" t="s">
        <v>10</v>
      </c>
      <c r="C308" t="s">
        <v>1021</v>
      </c>
      <c r="D308" t="s">
        <v>1009</v>
      </c>
      <c r="E308" t="s">
        <v>1008</v>
      </c>
      <c r="F308" t="s">
        <v>667</v>
      </c>
      <c r="G308" t="s">
        <v>0</v>
      </c>
      <c r="H308">
        <v>2</v>
      </c>
      <c r="I308">
        <v>2.7149999999999999</v>
      </c>
      <c r="J308" t="s">
        <v>6</v>
      </c>
      <c r="K308" t="str">
        <f>IFERROR(IFERROR(IF(K$5='Conceptos Desglosados'!$H$4,VLOOKUP($A308,dormitorios,2,0),IF(K$5='Conceptos Desglosados'!$H$5,VLOOKUP($A308,comedor,2,0),IF(K$5='Conceptos Desglosados'!$H$6,VLOOKUP($A308,alojamiento,2,0),IF(K$5='Conceptos Desglosados'!$H$7,VLOOKUP($A308,sanidad,2,0),IF(K$5='Conceptos Desglosados'!$H$8,VLOOKUP($A308,servicios,2,0),IF(K$5='Conceptos Desglosados'!$H$9,VLOOKUP($A308,comyaloj,2,0),IF(K$5='Conceptos Desglosados'!$H$10,VLOOKUP($A308,comandancia,2,0),IF(K$5='Conceptos Desglosados'!$H$11,VLOOKUP($A308,mantenimiento,2,0),IF(K$5='Conceptos Desglosados'!$H$12,VLOOKUP($A308,serestatal,2,0),IF(K$5='Conceptos Desglosados'!$H$13,VLOOKUP($A308,conferencias,2,0),"")))))))))),"")*K$3,"")</f>
        <v/>
      </c>
      <c r="L308" t="str">
        <f>IFERROR(IFERROR(IF(L$5='Conceptos Desglosados'!$H$4,VLOOKUP($A308,dormitorios,2,0),IF(L$5='Conceptos Desglosados'!$H$5,VLOOKUP($A308,comedor,2,0),IF(L$5='Conceptos Desglosados'!$H$6,VLOOKUP($A308,alojamiento,2,0),IF(L$5='Conceptos Desglosados'!$H$7,VLOOKUP($A308,sanidad,2,0),IF(L$5='Conceptos Desglosados'!$H$8,VLOOKUP($A308,servicios,2,0),IF(L$5='Conceptos Desglosados'!$H$9,VLOOKUP($A308,comyaloj,2,0),IF(L$5='Conceptos Desglosados'!$H$10,VLOOKUP($A308,comandancia,2,0),IF(L$5='Conceptos Desglosados'!$H$11,VLOOKUP($A308,mantenimiento,2,0),IF(L$5='Conceptos Desglosados'!$H$12,VLOOKUP($A308,serestatal,2,0),IF(L$5='Conceptos Desglosados'!$H$13,VLOOKUP($A308,conferencias,2,0),"")))))))))),"")*L$3,"")</f>
        <v/>
      </c>
      <c r="M308" t="str">
        <f>IFERROR(IFERROR(IF(M$5='Conceptos Desglosados'!$H$4,VLOOKUP($A308,dormitorios,2,0),IF(M$5='Conceptos Desglosados'!$H$5,VLOOKUP($A308,comedor,2,0),IF(M$5='Conceptos Desglosados'!$H$6,VLOOKUP($A308,alojamiento,2,0),IF(M$5='Conceptos Desglosados'!$H$7,VLOOKUP($A308,sanidad,2,0),IF(M$5='Conceptos Desglosados'!$H$8,VLOOKUP($A308,servicios,2,0),IF(M$5='Conceptos Desglosados'!$H$9,VLOOKUP($A308,comyaloj,2,0),IF(M$5='Conceptos Desglosados'!$H$10,VLOOKUP($A308,comandancia,2,0),IF(M$5='Conceptos Desglosados'!$H$11,VLOOKUP($A308,mantenimiento,2,0),IF(M$5='Conceptos Desglosados'!$H$12,VLOOKUP($A308,serestatal,2,0),IF(M$5='Conceptos Desglosados'!$H$13,VLOOKUP($A308,conferencias,2,0),"")))))))))),"")*M$3,"")</f>
        <v/>
      </c>
      <c r="O308">
        <f>SUM(K308:M308)</f>
        <v>0</v>
      </c>
    </row>
    <row r="309" spans="1:15" x14ac:dyDescent="0.35">
      <c r="A309">
        <v>304</v>
      </c>
      <c r="B309" t="s">
        <v>10</v>
      </c>
      <c r="C309" t="s">
        <v>1022</v>
      </c>
      <c r="D309" t="s">
        <v>1010</v>
      </c>
      <c r="E309" t="s">
        <v>1013</v>
      </c>
      <c r="F309" t="s">
        <v>1011</v>
      </c>
      <c r="G309" t="s">
        <v>1012</v>
      </c>
      <c r="H309">
        <v>1.974</v>
      </c>
      <c r="I309">
        <v>2.7149999999999999</v>
      </c>
      <c r="J309" t="s">
        <v>6</v>
      </c>
      <c r="K309" t="str">
        <f>IFERROR(IFERROR(IF(K$5='Conceptos Desglosados'!$H$4,VLOOKUP($A309,dormitorios,2,0),IF(K$5='Conceptos Desglosados'!$H$5,VLOOKUP($A309,comedor,2,0),IF(K$5='Conceptos Desglosados'!$H$6,VLOOKUP($A309,alojamiento,2,0),IF(K$5='Conceptos Desglosados'!$H$7,VLOOKUP($A309,sanidad,2,0),IF(K$5='Conceptos Desglosados'!$H$8,VLOOKUP($A309,servicios,2,0),IF(K$5='Conceptos Desglosados'!$H$9,VLOOKUP($A309,comyaloj,2,0),IF(K$5='Conceptos Desglosados'!$H$10,VLOOKUP($A309,comandancia,2,0),IF(K$5='Conceptos Desglosados'!$H$11,VLOOKUP($A309,mantenimiento,2,0),IF(K$5='Conceptos Desglosados'!$H$12,VLOOKUP($A309,serestatal,2,0),IF(K$5='Conceptos Desglosados'!$H$13,VLOOKUP($A309,conferencias,2,0),"")))))))))),"")*K$3,"")</f>
        <v/>
      </c>
      <c r="L309" t="str">
        <f>IFERROR(IFERROR(IF(L$5='Conceptos Desglosados'!$H$4,VLOOKUP($A309,dormitorios,2,0),IF(L$5='Conceptos Desglosados'!$H$5,VLOOKUP($A309,comedor,2,0),IF(L$5='Conceptos Desglosados'!$H$6,VLOOKUP($A309,alojamiento,2,0),IF(L$5='Conceptos Desglosados'!$H$7,VLOOKUP($A309,sanidad,2,0),IF(L$5='Conceptos Desglosados'!$H$8,VLOOKUP($A309,servicios,2,0),IF(L$5='Conceptos Desglosados'!$H$9,VLOOKUP($A309,comyaloj,2,0),IF(L$5='Conceptos Desglosados'!$H$10,VLOOKUP($A309,comandancia,2,0),IF(L$5='Conceptos Desglosados'!$H$11,VLOOKUP($A309,mantenimiento,2,0),IF(L$5='Conceptos Desglosados'!$H$12,VLOOKUP($A309,serestatal,2,0),IF(L$5='Conceptos Desglosados'!$H$13,VLOOKUP($A309,conferencias,2,0),"")))))))))),"")*L$3,"")</f>
        <v/>
      </c>
      <c r="M309" t="str">
        <f>IFERROR(IFERROR(IF(M$5='Conceptos Desglosados'!$H$4,VLOOKUP($A309,dormitorios,2,0),IF(M$5='Conceptos Desglosados'!$H$5,VLOOKUP($A309,comedor,2,0),IF(M$5='Conceptos Desglosados'!$H$6,VLOOKUP($A309,alojamiento,2,0),IF(M$5='Conceptos Desglosados'!$H$7,VLOOKUP($A309,sanidad,2,0),IF(M$5='Conceptos Desglosados'!$H$8,VLOOKUP($A309,servicios,2,0),IF(M$5='Conceptos Desglosados'!$H$9,VLOOKUP($A309,comyaloj,2,0),IF(M$5='Conceptos Desglosados'!$H$10,VLOOKUP($A309,comandancia,2,0),IF(M$5='Conceptos Desglosados'!$H$11,VLOOKUP($A309,mantenimiento,2,0),IF(M$5='Conceptos Desglosados'!$H$12,VLOOKUP($A309,serestatal,2,0),IF(M$5='Conceptos Desglosados'!$H$13,VLOOKUP($A309,conferencias,2,0),"")))))))))),"")*M$3,"")</f>
        <v/>
      </c>
      <c r="O309">
        <f>SUM(K309:M309)</f>
        <v>0</v>
      </c>
    </row>
    <row r="310" spans="1:15" x14ac:dyDescent="0.35">
      <c r="A310">
        <v>305</v>
      </c>
      <c r="B310" t="s">
        <v>10</v>
      </c>
      <c r="C310" t="s">
        <v>1023</v>
      </c>
      <c r="D310" t="s">
        <v>1014</v>
      </c>
      <c r="E310" t="s">
        <v>1004</v>
      </c>
      <c r="F310" t="s">
        <v>1011</v>
      </c>
      <c r="G310" t="s">
        <v>0</v>
      </c>
      <c r="H310">
        <v>2.0449999999999999</v>
      </c>
      <c r="I310">
        <v>2.7149999999999999</v>
      </c>
      <c r="J310" t="s">
        <v>6</v>
      </c>
      <c r="K310" t="str">
        <f>IFERROR(IFERROR(IF(K$5='Conceptos Desglosados'!$H$4,VLOOKUP($A310,dormitorios,2,0),IF(K$5='Conceptos Desglosados'!$H$5,VLOOKUP($A310,comedor,2,0),IF(K$5='Conceptos Desglosados'!$H$6,VLOOKUP($A310,alojamiento,2,0),IF(K$5='Conceptos Desglosados'!$H$7,VLOOKUP($A310,sanidad,2,0),IF(K$5='Conceptos Desglosados'!$H$8,VLOOKUP($A310,servicios,2,0),IF(K$5='Conceptos Desglosados'!$H$9,VLOOKUP($A310,comyaloj,2,0),IF(K$5='Conceptos Desglosados'!$H$10,VLOOKUP($A310,comandancia,2,0),IF(K$5='Conceptos Desglosados'!$H$11,VLOOKUP($A310,mantenimiento,2,0),IF(K$5='Conceptos Desglosados'!$H$12,VLOOKUP($A310,serestatal,2,0),IF(K$5='Conceptos Desglosados'!$H$13,VLOOKUP($A310,conferencias,2,0),"")))))))))),"")*K$3,"")</f>
        <v/>
      </c>
      <c r="L310" t="str">
        <f>IFERROR(IFERROR(IF(L$5='Conceptos Desglosados'!$H$4,VLOOKUP($A310,dormitorios,2,0),IF(L$5='Conceptos Desglosados'!$H$5,VLOOKUP($A310,comedor,2,0),IF(L$5='Conceptos Desglosados'!$H$6,VLOOKUP($A310,alojamiento,2,0),IF(L$5='Conceptos Desglosados'!$H$7,VLOOKUP($A310,sanidad,2,0),IF(L$5='Conceptos Desglosados'!$H$8,VLOOKUP($A310,servicios,2,0),IF(L$5='Conceptos Desglosados'!$H$9,VLOOKUP($A310,comyaloj,2,0),IF(L$5='Conceptos Desglosados'!$H$10,VLOOKUP($A310,comandancia,2,0),IF(L$5='Conceptos Desglosados'!$H$11,VLOOKUP($A310,mantenimiento,2,0),IF(L$5='Conceptos Desglosados'!$H$12,VLOOKUP($A310,serestatal,2,0),IF(L$5='Conceptos Desglosados'!$H$13,VLOOKUP($A310,conferencias,2,0),"")))))))))),"")*L$3,"")</f>
        <v/>
      </c>
      <c r="M310" t="str">
        <f>IFERROR(IFERROR(IF(M$5='Conceptos Desglosados'!$H$4,VLOOKUP($A310,dormitorios,2,0),IF(M$5='Conceptos Desglosados'!$H$5,VLOOKUP($A310,comedor,2,0),IF(M$5='Conceptos Desglosados'!$H$6,VLOOKUP($A310,alojamiento,2,0),IF(M$5='Conceptos Desglosados'!$H$7,VLOOKUP($A310,sanidad,2,0),IF(M$5='Conceptos Desglosados'!$H$8,VLOOKUP($A310,servicios,2,0),IF(M$5='Conceptos Desglosados'!$H$9,VLOOKUP($A310,comyaloj,2,0),IF(M$5='Conceptos Desglosados'!$H$10,VLOOKUP($A310,comandancia,2,0),IF(M$5='Conceptos Desglosados'!$H$11,VLOOKUP($A310,mantenimiento,2,0),IF(M$5='Conceptos Desglosados'!$H$12,VLOOKUP($A310,serestatal,2,0),IF(M$5='Conceptos Desglosados'!$H$13,VLOOKUP($A310,conferencias,2,0),"")))))))))),"")*M$3,"")</f>
        <v/>
      </c>
      <c r="O310">
        <f>SUM(K310:M310)</f>
        <v>0</v>
      </c>
    </row>
    <row r="311" spans="1:15" x14ac:dyDescent="0.35">
      <c r="A311">
        <v>306</v>
      </c>
      <c r="B311" t="s">
        <v>10</v>
      </c>
      <c r="C311" t="s">
        <v>1024</v>
      </c>
      <c r="D311" t="s">
        <v>1016</v>
      </c>
      <c r="E311" t="s">
        <v>1015</v>
      </c>
      <c r="F311" t="s">
        <v>511</v>
      </c>
      <c r="G311" t="s">
        <v>0</v>
      </c>
      <c r="H311">
        <v>2.0449999999999999</v>
      </c>
      <c r="I311">
        <v>2.7149999999999999</v>
      </c>
      <c r="J311" t="s">
        <v>6</v>
      </c>
      <c r="K311" t="str">
        <f>IFERROR(IFERROR(IF(K$5='Conceptos Desglosados'!$H$4,VLOOKUP($A311,dormitorios,2,0),IF(K$5='Conceptos Desglosados'!$H$5,VLOOKUP($A311,comedor,2,0),IF(K$5='Conceptos Desglosados'!$H$6,VLOOKUP($A311,alojamiento,2,0),IF(K$5='Conceptos Desglosados'!$H$7,VLOOKUP($A311,sanidad,2,0),IF(K$5='Conceptos Desglosados'!$H$8,VLOOKUP($A311,servicios,2,0),IF(K$5='Conceptos Desglosados'!$H$9,VLOOKUP($A311,comyaloj,2,0),IF(K$5='Conceptos Desglosados'!$H$10,VLOOKUP($A311,comandancia,2,0),IF(K$5='Conceptos Desglosados'!$H$11,VLOOKUP($A311,mantenimiento,2,0),IF(K$5='Conceptos Desglosados'!$H$12,VLOOKUP($A311,serestatal,2,0),IF(K$5='Conceptos Desglosados'!$H$13,VLOOKUP($A311,conferencias,2,0),"")))))))))),"")*K$3,"")</f>
        <v/>
      </c>
      <c r="L311" t="str">
        <f>IFERROR(IFERROR(IF(L$5='Conceptos Desglosados'!$H$4,VLOOKUP($A311,dormitorios,2,0),IF(L$5='Conceptos Desglosados'!$H$5,VLOOKUP($A311,comedor,2,0),IF(L$5='Conceptos Desglosados'!$H$6,VLOOKUP($A311,alojamiento,2,0),IF(L$5='Conceptos Desglosados'!$H$7,VLOOKUP($A311,sanidad,2,0),IF(L$5='Conceptos Desglosados'!$H$8,VLOOKUP($A311,servicios,2,0),IF(L$5='Conceptos Desglosados'!$H$9,VLOOKUP($A311,comyaloj,2,0),IF(L$5='Conceptos Desglosados'!$H$10,VLOOKUP($A311,comandancia,2,0),IF(L$5='Conceptos Desglosados'!$H$11,VLOOKUP($A311,mantenimiento,2,0),IF(L$5='Conceptos Desglosados'!$H$12,VLOOKUP($A311,serestatal,2,0),IF(L$5='Conceptos Desglosados'!$H$13,VLOOKUP($A311,conferencias,2,0),"")))))))))),"")*L$3,"")</f>
        <v/>
      </c>
      <c r="M311" t="str">
        <f>IFERROR(IFERROR(IF(M$5='Conceptos Desglosados'!$H$4,VLOOKUP($A311,dormitorios,2,0),IF(M$5='Conceptos Desglosados'!$H$5,VLOOKUP($A311,comedor,2,0),IF(M$5='Conceptos Desglosados'!$H$6,VLOOKUP($A311,alojamiento,2,0),IF(M$5='Conceptos Desglosados'!$H$7,VLOOKUP($A311,sanidad,2,0),IF(M$5='Conceptos Desglosados'!$H$8,VLOOKUP($A311,servicios,2,0),IF(M$5='Conceptos Desglosados'!$H$9,VLOOKUP($A311,comyaloj,2,0),IF(M$5='Conceptos Desglosados'!$H$10,VLOOKUP($A311,comandancia,2,0),IF(M$5='Conceptos Desglosados'!$H$11,VLOOKUP($A311,mantenimiento,2,0),IF(M$5='Conceptos Desglosados'!$H$12,VLOOKUP($A311,serestatal,2,0),IF(M$5='Conceptos Desglosados'!$H$13,VLOOKUP($A311,conferencias,2,0),"")))))))))),"")*M$3,"")</f>
        <v/>
      </c>
      <c r="O311">
        <f>SUM(K311:M311)</f>
        <v>0</v>
      </c>
    </row>
    <row r="312" spans="1:15" x14ac:dyDescent="0.35">
      <c r="A312">
        <v>307</v>
      </c>
      <c r="B312" t="s">
        <v>10</v>
      </c>
      <c r="C312" t="s">
        <v>1025</v>
      </c>
      <c r="D312" t="s">
        <v>1018</v>
      </c>
      <c r="E312" t="s">
        <v>1017</v>
      </c>
      <c r="F312" t="s">
        <v>511</v>
      </c>
      <c r="G312" t="s">
        <v>0</v>
      </c>
      <c r="H312">
        <v>1.972</v>
      </c>
      <c r="I312">
        <v>2.7149999999999999</v>
      </c>
      <c r="J312" t="s">
        <v>6</v>
      </c>
      <c r="K312" t="str">
        <f>IFERROR(IFERROR(IF(K$5='Conceptos Desglosados'!$H$4,VLOOKUP($A312,dormitorios,2,0),IF(K$5='Conceptos Desglosados'!$H$5,VLOOKUP($A312,comedor,2,0),IF(K$5='Conceptos Desglosados'!$H$6,VLOOKUP($A312,alojamiento,2,0),IF(K$5='Conceptos Desglosados'!$H$7,VLOOKUP($A312,sanidad,2,0),IF(K$5='Conceptos Desglosados'!$H$8,VLOOKUP($A312,servicios,2,0),IF(K$5='Conceptos Desglosados'!$H$9,VLOOKUP($A312,comyaloj,2,0),IF(K$5='Conceptos Desglosados'!$H$10,VLOOKUP($A312,comandancia,2,0),IF(K$5='Conceptos Desglosados'!$H$11,VLOOKUP($A312,mantenimiento,2,0),IF(K$5='Conceptos Desglosados'!$H$12,VLOOKUP($A312,serestatal,2,0),IF(K$5='Conceptos Desglosados'!$H$13,VLOOKUP($A312,conferencias,2,0),"")))))))))),"")*K$3,"")</f>
        <v/>
      </c>
      <c r="L312" t="str">
        <f>IFERROR(IFERROR(IF(L$5='Conceptos Desglosados'!$H$4,VLOOKUP($A312,dormitorios,2,0),IF(L$5='Conceptos Desglosados'!$H$5,VLOOKUP($A312,comedor,2,0),IF(L$5='Conceptos Desglosados'!$H$6,VLOOKUP($A312,alojamiento,2,0),IF(L$5='Conceptos Desglosados'!$H$7,VLOOKUP($A312,sanidad,2,0),IF(L$5='Conceptos Desglosados'!$H$8,VLOOKUP($A312,servicios,2,0),IF(L$5='Conceptos Desglosados'!$H$9,VLOOKUP($A312,comyaloj,2,0),IF(L$5='Conceptos Desglosados'!$H$10,VLOOKUP($A312,comandancia,2,0),IF(L$5='Conceptos Desglosados'!$H$11,VLOOKUP($A312,mantenimiento,2,0),IF(L$5='Conceptos Desglosados'!$H$12,VLOOKUP($A312,serestatal,2,0),IF(L$5='Conceptos Desglosados'!$H$13,VLOOKUP($A312,conferencias,2,0),"")))))))))),"")*L$3,"")</f>
        <v/>
      </c>
      <c r="M312" t="str">
        <f>IFERROR(IFERROR(IF(M$5='Conceptos Desglosados'!$H$4,VLOOKUP($A312,dormitorios,2,0),IF(M$5='Conceptos Desglosados'!$H$5,VLOOKUP($A312,comedor,2,0),IF(M$5='Conceptos Desglosados'!$H$6,VLOOKUP($A312,alojamiento,2,0),IF(M$5='Conceptos Desglosados'!$H$7,VLOOKUP($A312,sanidad,2,0),IF(M$5='Conceptos Desglosados'!$H$8,VLOOKUP($A312,servicios,2,0),IF(M$5='Conceptos Desglosados'!$H$9,VLOOKUP($A312,comyaloj,2,0),IF(M$5='Conceptos Desglosados'!$H$10,VLOOKUP($A312,comandancia,2,0),IF(M$5='Conceptos Desglosados'!$H$11,VLOOKUP($A312,mantenimiento,2,0),IF(M$5='Conceptos Desglosados'!$H$12,VLOOKUP($A312,serestatal,2,0),IF(M$5='Conceptos Desglosados'!$H$13,VLOOKUP($A312,conferencias,2,0),"")))))))))),"")*M$3,"")</f>
        <v/>
      </c>
      <c r="O312">
        <f>SUM(K312:M312)</f>
        <v>0</v>
      </c>
    </row>
    <row r="313" spans="1:15" x14ac:dyDescent="0.35">
      <c r="A313">
        <v>308</v>
      </c>
      <c r="B313" t="s">
        <v>10</v>
      </c>
      <c r="C313" t="s">
        <v>1033</v>
      </c>
      <c r="D313" t="s">
        <v>1034</v>
      </c>
      <c r="E313" t="s">
        <v>1035</v>
      </c>
      <c r="F313" t="s">
        <v>883</v>
      </c>
      <c r="G313" t="s">
        <v>0</v>
      </c>
      <c r="H313">
        <v>1.974</v>
      </c>
      <c r="I313">
        <v>2.7149999999999999</v>
      </c>
      <c r="J313" t="s">
        <v>6</v>
      </c>
      <c r="K313" t="str">
        <f>IFERROR(IFERROR(IF(K$5='Conceptos Desglosados'!$H$4,VLOOKUP($A313,dormitorios,2,0),IF(K$5='Conceptos Desglosados'!$H$5,VLOOKUP($A313,comedor,2,0),IF(K$5='Conceptos Desglosados'!$H$6,VLOOKUP($A313,alojamiento,2,0),IF(K$5='Conceptos Desglosados'!$H$7,VLOOKUP($A313,sanidad,2,0),IF(K$5='Conceptos Desglosados'!$H$8,VLOOKUP($A313,servicios,2,0),IF(K$5='Conceptos Desglosados'!$H$9,VLOOKUP($A313,comyaloj,2,0),IF(K$5='Conceptos Desglosados'!$H$10,VLOOKUP($A313,comandancia,2,0),IF(K$5='Conceptos Desglosados'!$H$11,VLOOKUP($A313,mantenimiento,2,0),IF(K$5='Conceptos Desglosados'!$H$12,VLOOKUP($A313,serestatal,2,0),IF(K$5='Conceptos Desglosados'!$H$13,VLOOKUP($A313,conferencias,2,0),"")))))))))),"")*K$3,"")</f>
        <v/>
      </c>
      <c r="L313" t="str">
        <f>IFERROR(IFERROR(IF(L$5='Conceptos Desglosados'!$H$4,VLOOKUP($A313,dormitorios,2,0),IF(L$5='Conceptos Desglosados'!$H$5,VLOOKUP($A313,comedor,2,0),IF(L$5='Conceptos Desglosados'!$H$6,VLOOKUP($A313,alojamiento,2,0),IF(L$5='Conceptos Desglosados'!$H$7,VLOOKUP($A313,sanidad,2,0),IF(L$5='Conceptos Desglosados'!$H$8,VLOOKUP($A313,servicios,2,0),IF(L$5='Conceptos Desglosados'!$H$9,VLOOKUP($A313,comyaloj,2,0),IF(L$5='Conceptos Desglosados'!$H$10,VLOOKUP($A313,comandancia,2,0),IF(L$5='Conceptos Desglosados'!$H$11,VLOOKUP($A313,mantenimiento,2,0),IF(L$5='Conceptos Desglosados'!$H$12,VLOOKUP($A313,serestatal,2,0),IF(L$5='Conceptos Desglosados'!$H$13,VLOOKUP($A313,conferencias,2,0),"")))))))))),"")*L$3,"")</f>
        <v/>
      </c>
      <c r="M313" t="str">
        <f>IFERROR(IFERROR(IF(M$5='Conceptos Desglosados'!$H$4,VLOOKUP($A313,dormitorios,2,0),IF(M$5='Conceptos Desglosados'!$H$5,VLOOKUP($A313,comedor,2,0),IF(M$5='Conceptos Desglosados'!$H$6,VLOOKUP($A313,alojamiento,2,0),IF(M$5='Conceptos Desglosados'!$H$7,VLOOKUP($A313,sanidad,2,0),IF(M$5='Conceptos Desglosados'!$H$8,VLOOKUP($A313,servicios,2,0),IF(M$5='Conceptos Desglosados'!$H$9,VLOOKUP($A313,comyaloj,2,0),IF(M$5='Conceptos Desglosados'!$H$10,VLOOKUP($A313,comandancia,2,0),IF(M$5='Conceptos Desglosados'!$H$11,VLOOKUP($A313,mantenimiento,2,0),IF(M$5='Conceptos Desglosados'!$H$12,VLOOKUP($A313,serestatal,2,0),IF(M$5='Conceptos Desglosados'!$H$13,VLOOKUP($A313,conferencias,2,0),"")))))))))),"")*M$3,"")</f>
        <v/>
      </c>
      <c r="O313">
        <f>SUM(K313:M313)</f>
        <v>0</v>
      </c>
    </row>
    <row r="314" spans="1:15" x14ac:dyDescent="0.35">
      <c r="A314">
        <v>309</v>
      </c>
      <c r="B314" t="s">
        <v>10</v>
      </c>
      <c r="C314" t="s">
        <v>1040</v>
      </c>
      <c r="D314" t="s">
        <v>1038</v>
      </c>
      <c r="E314" t="s">
        <v>1039</v>
      </c>
      <c r="F314" t="s">
        <v>511</v>
      </c>
      <c r="G314" t="s">
        <v>0</v>
      </c>
      <c r="H314">
        <v>1.9219999999999999</v>
      </c>
      <c r="I314">
        <v>2.7149999999999999</v>
      </c>
      <c r="J314" t="s">
        <v>6</v>
      </c>
      <c r="K314" t="str">
        <f>IFERROR(IFERROR(IF(K$5='Conceptos Desglosados'!$H$4,VLOOKUP($A314,dormitorios,2,0),IF(K$5='Conceptos Desglosados'!$H$5,VLOOKUP($A314,comedor,2,0),IF(K$5='Conceptos Desglosados'!$H$6,VLOOKUP($A314,alojamiento,2,0),IF(K$5='Conceptos Desglosados'!$H$7,VLOOKUP($A314,sanidad,2,0),IF(K$5='Conceptos Desglosados'!$H$8,VLOOKUP($A314,servicios,2,0),IF(K$5='Conceptos Desglosados'!$H$9,VLOOKUP($A314,comyaloj,2,0),IF(K$5='Conceptos Desglosados'!$H$10,VLOOKUP($A314,comandancia,2,0),IF(K$5='Conceptos Desglosados'!$H$11,VLOOKUP($A314,mantenimiento,2,0),IF(K$5='Conceptos Desglosados'!$H$12,VLOOKUP($A314,serestatal,2,0),IF(K$5='Conceptos Desglosados'!$H$13,VLOOKUP($A314,conferencias,2,0),"")))))))))),"")*K$3,"")</f>
        <v/>
      </c>
      <c r="L314" t="str">
        <f>IFERROR(IFERROR(IF(L$5='Conceptos Desglosados'!$H$4,VLOOKUP($A314,dormitorios,2,0),IF(L$5='Conceptos Desglosados'!$H$5,VLOOKUP($A314,comedor,2,0),IF(L$5='Conceptos Desglosados'!$H$6,VLOOKUP($A314,alojamiento,2,0),IF(L$5='Conceptos Desglosados'!$H$7,VLOOKUP($A314,sanidad,2,0),IF(L$5='Conceptos Desglosados'!$H$8,VLOOKUP($A314,servicios,2,0),IF(L$5='Conceptos Desglosados'!$H$9,VLOOKUP($A314,comyaloj,2,0),IF(L$5='Conceptos Desglosados'!$H$10,VLOOKUP($A314,comandancia,2,0),IF(L$5='Conceptos Desglosados'!$H$11,VLOOKUP($A314,mantenimiento,2,0),IF(L$5='Conceptos Desglosados'!$H$12,VLOOKUP($A314,serestatal,2,0),IF(L$5='Conceptos Desglosados'!$H$13,VLOOKUP($A314,conferencias,2,0),"")))))))))),"")*L$3,"")</f>
        <v/>
      </c>
      <c r="M314">
        <f>IFERROR(IFERROR(IF(M$5='Conceptos Desglosados'!$H$4,VLOOKUP($A314,dormitorios,2,0),IF(M$5='Conceptos Desglosados'!$H$5,VLOOKUP($A314,comedor,2,0),IF(M$5='Conceptos Desglosados'!$H$6,VLOOKUP($A314,alojamiento,2,0),IF(M$5='Conceptos Desglosados'!$H$7,VLOOKUP($A314,sanidad,2,0),IF(M$5='Conceptos Desglosados'!$H$8,VLOOKUP($A314,servicios,2,0),IF(M$5='Conceptos Desglosados'!$H$9,VLOOKUP($A314,comyaloj,2,0),IF(M$5='Conceptos Desglosados'!$H$10,VLOOKUP($A314,comandancia,2,0),IF(M$5='Conceptos Desglosados'!$H$11,VLOOKUP($A314,mantenimiento,2,0),IF(M$5='Conceptos Desglosados'!$H$12,VLOOKUP($A314,serestatal,2,0),IF(M$5='Conceptos Desglosados'!$H$13,VLOOKUP($A314,conferencias,2,0),"")))))))))),"")*M$3,"")</f>
        <v>4</v>
      </c>
      <c r="O314">
        <f>SUM(K314:M314)</f>
        <v>4</v>
      </c>
    </row>
    <row r="315" spans="1:15" x14ac:dyDescent="0.35">
      <c r="A315">
        <v>310</v>
      </c>
      <c r="B315" t="s">
        <v>10</v>
      </c>
      <c r="C315" t="s">
        <v>1040</v>
      </c>
      <c r="D315" t="s">
        <v>1053</v>
      </c>
      <c r="E315" t="s">
        <v>1052</v>
      </c>
      <c r="F315" t="s">
        <v>667</v>
      </c>
      <c r="G315" t="s">
        <v>0</v>
      </c>
      <c r="H315">
        <v>2.0459999999999998</v>
      </c>
      <c r="I315">
        <v>2.7149999999999999</v>
      </c>
      <c r="J315" t="s">
        <v>6</v>
      </c>
      <c r="K315" t="str">
        <f>IFERROR(IFERROR(IF(K$5='Conceptos Desglosados'!$H$4,VLOOKUP($A315,dormitorios,2,0),IF(K$5='Conceptos Desglosados'!$H$5,VLOOKUP($A315,comedor,2,0),IF(K$5='Conceptos Desglosados'!$H$6,VLOOKUP($A315,alojamiento,2,0),IF(K$5='Conceptos Desglosados'!$H$7,VLOOKUP($A315,sanidad,2,0),IF(K$5='Conceptos Desglosados'!$H$8,VLOOKUP($A315,servicios,2,0),IF(K$5='Conceptos Desglosados'!$H$9,VLOOKUP($A315,comyaloj,2,0),IF(K$5='Conceptos Desglosados'!$H$10,VLOOKUP($A315,comandancia,2,0),IF(K$5='Conceptos Desglosados'!$H$11,VLOOKUP($A315,mantenimiento,2,0),IF(K$5='Conceptos Desglosados'!$H$12,VLOOKUP($A315,serestatal,2,0),IF(K$5='Conceptos Desglosados'!$H$13,VLOOKUP($A315,conferencias,2,0),"")))))))))),"")*K$3,"")</f>
        <v/>
      </c>
      <c r="L315" t="str">
        <f>IFERROR(IFERROR(IF(L$5='Conceptos Desglosados'!$H$4,VLOOKUP($A315,dormitorios,2,0),IF(L$5='Conceptos Desglosados'!$H$5,VLOOKUP($A315,comedor,2,0),IF(L$5='Conceptos Desglosados'!$H$6,VLOOKUP($A315,alojamiento,2,0),IF(L$5='Conceptos Desglosados'!$H$7,VLOOKUP($A315,sanidad,2,0),IF(L$5='Conceptos Desglosados'!$H$8,VLOOKUP($A315,servicios,2,0),IF(L$5='Conceptos Desglosados'!$H$9,VLOOKUP($A315,comyaloj,2,0),IF(L$5='Conceptos Desglosados'!$H$10,VLOOKUP($A315,comandancia,2,0),IF(L$5='Conceptos Desglosados'!$H$11,VLOOKUP($A315,mantenimiento,2,0),IF(L$5='Conceptos Desglosados'!$H$12,VLOOKUP($A315,serestatal,2,0),IF(L$5='Conceptos Desglosados'!$H$13,VLOOKUP($A315,conferencias,2,0),"")))))))))),"")*L$3,"")</f>
        <v/>
      </c>
      <c r="M315" t="str">
        <f>IFERROR(IFERROR(IF(M$5='Conceptos Desglosados'!$H$4,VLOOKUP($A315,dormitorios,2,0),IF(M$5='Conceptos Desglosados'!$H$5,VLOOKUP($A315,comedor,2,0),IF(M$5='Conceptos Desglosados'!$H$6,VLOOKUP($A315,alojamiento,2,0),IF(M$5='Conceptos Desglosados'!$H$7,VLOOKUP($A315,sanidad,2,0),IF(M$5='Conceptos Desglosados'!$H$8,VLOOKUP($A315,servicios,2,0),IF(M$5='Conceptos Desglosados'!$H$9,VLOOKUP($A315,comyaloj,2,0),IF(M$5='Conceptos Desglosados'!$H$10,VLOOKUP($A315,comandancia,2,0),IF(M$5='Conceptos Desglosados'!$H$11,VLOOKUP($A315,mantenimiento,2,0),IF(M$5='Conceptos Desglosados'!$H$12,VLOOKUP($A315,serestatal,2,0),IF(M$5='Conceptos Desglosados'!$H$13,VLOOKUP($A315,conferencias,2,0),"")))))))))),"")*M$3,"")</f>
        <v/>
      </c>
      <c r="O315">
        <f>SUM(K315:M315)</f>
        <v>0</v>
      </c>
    </row>
    <row r="316" spans="1:15" x14ac:dyDescent="0.35">
      <c r="A316">
        <v>311</v>
      </c>
      <c r="B316" t="s">
        <v>10</v>
      </c>
      <c r="C316" t="s">
        <v>1069</v>
      </c>
      <c r="D316" t="s">
        <v>1068</v>
      </c>
      <c r="E316" t="s">
        <v>1067</v>
      </c>
      <c r="F316" t="s">
        <v>1011</v>
      </c>
      <c r="G316" t="s">
        <v>0</v>
      </c>
      <c r="H316">
        <v>1.9490000000000001</v>
      </c>
      <c r="I316">
        <v>2.7149999999999999</v>
      </c>
      <c r="J316" t="s">
        <v>6</v>
      </c>
      <c r="K316" t="str">
        <f>IFERROR(IFERROR(IF(K$5='Conceptos Desglosados'!$H$4,VLOOKUP($A316,dormitorios,2,0),IF(K$5='Conceptos Desglosados'!$H$5,VLOOKUP($A316,comedor,2,0),IF(K$5='Conceptos Desglosados'!$H$6,VLOOKUP($A316,alojamiento,2,0),IF(K$5='Conceptos Desglosados'!$H$7,VLOOKUP($A316,sanidad,2,0),IF(K$5='Conceptos Desglosados'!$H$8,VLOOKUP($A316,servicios,2,0),IF(K$5='Conceptos Desglosados'!$H$9,VLOOKUP($A316,comyaloj,2,0),IF(K$5='Conceptos Desglosados'!$H$10,VLOOKUP($A316,comandancia,2,0),IF(K$5='Conceptos Desglosados'!$H$11,VLOOKUP($A316,mantenimiento,2,0),IF(K$5='Conceptos Desglosados'!$H$12,VLOOKUP($A316,serestatal,2,0),IF(K$5='Conceptos Desglosados'!$H$13,VLOOKUP($A316,conferencias,2,0),"")))))))))),"")*K$3,"")</f>
        <v/>
      </c>
      <c r="L316" t="str">
        <f>IFERROR(IFERROR(IF(L$5='Conceptos Desglosados'!$H$4,VLOOKUP($A316,dormitorios,2,0),IF(L$5='Conceptos Desglosados'!$H$5,VLOOKUP($A316,comedor,2,0),IF(L$5='Conceptos Desglosados'!$H$6,VLOOKUP($A316,alojamiento,2,0),IF(L$5='Conceptos Desglosados'!$H$7,VLOOKUP($A316,sanidad,2,0),IF(L$5='Conceptos Desglosados'!$H$8,VLOOKUP($A316,servicios,2,0),IF(L$5='Conceptos Desglosados'!$H$9,VLOOKUP($A316,comyaloj,2,0),IF(L$5='Conceptos Desglosados'!$H$10,VLOOKUP($A316,comandancia,2,0),IF(L$5='Conceptos Desglosados'!$H$11,VLOOKUP($A316,mantenimiento,2,0),IF(L$5='Conceptos Desglosados'!$H$12,VLOOKUP($A316,serestatal,2,0),IF(L$5='Conceptos Desglosados'!$H$13,VLOOKUP($A316,conferencias,2,0),"")))))))))),"")*L$3,"")</f>
        <v/>
      </c>
      <c r="M316" t="str">
        <f>IFERROR(IFERROR(IF(M$5='Conceptos Desglosados'!$H$4,VLOOKUP($A316,dormitorios,2,0),IF(M$5='Conceptos Desglosados'!$H$5,VLOOKUP($A316,comedor,2,0),IF(M$5='Conceptos Desglosados'!$H$6,VLOOKUP($A316,alojamiento,2,0),IF(M$5='Conceptos Desglosados'!$H$7,VLOOKUP($A316,sanidad,2,0),IF(M$5='Conceptos Desglosados'!$H$8,VLOOKUP($A316,servicios,2,0),IF(M$5='Conceptos Desglosados'!$H$9,VLOOKUP($A316,comyaloj,2,0),IF(M$5='Conceptos Desglosados'!$H$10,VLOOKUP($A316,comandancia,2,0),IF(M$5='Conceptos Desglosados'!$H$11,VLOOKUP($A316,mantenimiento,2,0),IF(M$5='Conceptos Desglosados'!$H$12,VLOOKUP($A316,serestatal,2,0),IF(M$5='Conceptos Desglosados'!$H$13,VLOOKUP($A316,conferencias,2,0),"")))))))))),"")*M$3,"")</f>
        <v/>
      </c>
      <c r="O316">
        <f>SUM(K316:M316)</f>
        <v>0</v>
      </c>
    </row>
    <row r="317" spans="1:15" x14ac:dyDescent="0.35">
      <c r="A317">
        <v>312</v>
      </c>
      <c r="B317" t="s">
        <v>10</v>
      </c>
      <c r="C317" t="s">
        <v>1072</v>
      </c>
      <c r="D317" t="s">
        <v>1070</v>
      </c>
      <c r="E317" t="s">
        <v>1071</v>
      </c>
      <c r="F317" t="s">
        <v>883</v>
      </c>
      <c r="G317" t="s">
        <v>0</v>
      </c>
      <c r="H317">
        <v>2.02</v>
      </c>
      <c r="I317">
        <v>2.7149999999999999</v>
      </c>
      <c r="J317" t="s">
        <v>6</v>
      </c>
      <c r="K317" t="str">
        <f>IFERROR(IFERROR(IF(K$5='Conceptos Desglosados'!$H$4,VLOOKUP($A317,dormitorios,2,0),IF(K$5='Conceptos Desglosados'!$H$5,VLOOKUP($A317,comedor,2,0),IF(K$5='Conceptos Desglosados'!$H$6,VLOOKUP($A317,alojamiento,2,0),IF(K$5='Conceptos Desglosados'!$H$7,VLOOKUP($A317,sanidad,2,0),IF(K$5='Conceptos Desglosados'!$H$8,VLOOKUP($A317,servicios,2,0),IF(K$5='Conceptos Desglosados'!$H$9,VLOOKUP($A317,comyaloj,2,0),IF(K$5='Conceptos Desglosados'!$H$10,VLOOKUP($A317,comandancia,2,0),IF(K$5='Conceptos Desglosados'!$H$11,VLOOKUP($A317,mantenimiento,2,0),IF(K$5='Conceptos Desglosados'!$H$12,VLOOKUP($A317,serestatal,2,0),IF(K$5='Conceptos Desglosados'!$H$13,VLOOKUP($A317,conferencias,2,0),"")))))))))),"")*K$3,"")</f>
        <v/>
      </c>
      <c r="L317">
        <f>IFERROR(IFERROR(IF(L$5='Conceptos Desglosados'!$H$4,VLOOKUP($A317,dormitorios,2,0),IF(L$5='Conceptos Desglosados'!$H$5,VLOOKUP($A317,comedor,2,0),IF(L$5='Conceptos Desglosados'!$H$6,VLOOKUP($A317,alojamiento,2,0),IF(L$5='Conceptos Desglosados'!$H$7,VLOOKUP($A317,sanidad,2,0),IF(L$5='Conceptos Desglosados'!$H$8,VLOOKUP($A317,servicios,2,0),IF(L$5='Conceptos Desglosados'!$H$9,VLOOKUP($A317,comyaloj,2,0),IF(L$5='Conceptos Desglosados'!$H$10,VLOOKUP($A317,comandancia,2,0),IF(L$5='Conceptos Desglosados'!$H$11,VLOOKUP($A317,mantenimiento,2,0),IF(L$5='Conceptos Desglosados'!$H$12,VLOOKUP($A317,serestatal,2,0),IF(L$5='Conceptos Desglosados'!$H$13,VLOOKUP($A317,conferencias,2,0),"")))))))))),"")*L$3,"")</f>
        <v>1</v>
      </c>
      <c r="M317" t="str">
        <f>IFERROR(IFERROR(IF(M$5='Conceptos Desglosados'!$H$4,VLOOKUP($A317,dormitorios,2,0),IF(M$5='Conceptos Desglosados'!$H$5,VLOOKUP($A317,comedor,2,0),IF(M$5='Conceptos Desglosados'!$H$6,VLOOKUP($A317,alojamiento,2,0),IF(M$5='Conceptos Desglosados'!$H$7,VLOOKUP($A317,sanidad,2,0),IF(M$5='Conceptos Desglosados'!$H$8,VLOOKUP($A317,servicios,2,0),IF(M$5='Conceptos Desglosados'!$H$9,VLOOKUP($A317,comyaloj,2,0),IF(M$5='Conceptos Desglosados'!$H$10,VLOOKUP($A317,comandancia,2,0),IF(M$5='Conceptos Desglosados'!$H$11,VLOOKUP($A317,mantenimiento,2,0),IF(M$5='Conceptos Desglosados'!$H$12,VLOOKUP($A317,serestatal,2,0),IF(M$5='Conceptos Desglosados'!$H$13,VLOOKUP($A317,conferencias,2,0),"")))))))))),"")*M$3,"")</f>
        <v/>
      </c>
      <c r="O317">
        <f>SUM(K317:M317)</f>
        <v>1</v>
      </c>
    </row>
    <row r="318" spans="1:15" x14ac:dyDescent="0.35">
      <c r="A318">
        <v>313</v>
      </c>
      <c r="B318" t="s">
        <v>10</v>
      </c>
      <c r="C318" t="s">
        <v>1074</v>
      </c>
      <c r="D318" t="s">
        <v>1073</v>
      </c>
      <c r="E318" t="s">
        <v>992</v>
      </c>
      <c r="F318" t="s">
        <v>883</v>
      </c>
      <c r="G318" t="s">
        <v>0</v>
      </c>
      <c r="H318">
        <v>2.02</v>
      </c>
      <c r="I318">
        <v>2.7149999999999999</v>
      </c>
      <c r="J318" t="s">
        <v>6</v>
      </c>
      <c r="K318" t="str">
        <f>IFERROR(IFERROR(IF(K$5='Conceptos Desglosados'!$H$4,VLOOKUP($A318,dormitorios,2,0),IF(K$5='Conceptos Desglosados'!$H$5,VLOOKUP($A318,comedor,2,0),IF(K$5='Conceptos Desglosados'!$H$6,VLOOKUP($A318,alojamiento,2,0),IF(K$5='Conceptos Desglosados'!$H$7,VLOOKUP($A318,sanidad,2,0),IF(K$5='Conceptos Desglosados'!$H$8,VLOOKUP($A318,servicios,2,0),IF(K$5='Conceptos Desglosados'!$H$9,VLOOKUP($A318,comyaloj,2,0),IF(K$5='Conceptos Desglosados'!$H$10,VLOOKUP($A318,comandancia,2,0),IF(K$5='Conceptos Desglosados'!$H$11,VLOOKUP($A318,mantenimiento,2,0),IF(K$5='Conceptos Desglosados'!$H$12,VLOOKUP($A318,serestatal,2,0),IF(K$5='Conceptos Desglosados'!$H$13,VLOOKUP($A318,conferencias,2,0),"")))))))))),"")*K$3,"")</f>
        <v/>
      </c>
      <c r="L318" t="str">
        <f>IFERROR(IFERROR(IF(L$5='Conceptos Desglosados'!$H$4,VLOOKUP($A318,dormitorios,2,0),IF(L$5='Conceptos Desglosados'!$H$5,VLOOKUP($A318,comedor,2,0),IF(L$5='Conceptos Desglosados'!$H$6,VLOOKUP($A318,alojamiento,2,0),IF(L$5='Conceptos Desglosados'!$H$7,VLOOKUP($A318,sanidad,2,0),IF(L$5='Conceptos Desglosados'!$H$8,VLOOKUP($A318,servicios,2,0),IF(L$5='Conceptos Desglosados'!$H$9,VLOOKUP($A318,comyaloj,2,0),IF(L$5='Conceptos Desglosados'!$H$10,VLOOKUP($A318,comandancia,2,0),IF(L$5='Conceptos Desglosados'!$H$11,VLOOKUP($A318,mantenimiento,2,0),IF(L$5='Conceptos Desglosados'!$H$12,VLOOKUP($A318,serestatal,2,0),IF(L$5='Conceptos Desglosados'!$H$13,VLOOKUP($A318,conferencias,2,0),"")))))))))),"")*L$3,"")</f>
        <v/>
      </c>
      <c r="M318" t="str">
        <f>IFERROR(IFERROR(IF(M$5='Conceptos Desglosados'!$H$4,VLOOKUP($A318,dormitorios,2,0),IF(M$5='Conceptos Desglosados'!$H$5,VLOOKUP($A318,comedor,2,0),IF(M$5='Conceptos Desglosados'!$H$6,VLOOKUP($A318,alojamiento,2,0),IF(M$5='Conceptos Desglosados'!$H$7,VLOOKUP($A318,sanidad,2,0),IF(M$5='Conceptos Desglosados'!$H$8,VLOOKUP($A318,servicios,2,0),IF(M$5='Conceptos Desglosados'!$H$9,VLOOKUP($A318,comyaloj,2,0),IF(M$5='Conceptos Desglosados'!$H$10,VLOOKUP($A318,comandancia,2,0),IF(M$5='Conceptos Desglosados'!$H$11,VLOOKUP($A318,mantenimiento,2,0),IF(M$5='Conceptos Desglosados'!$H$12,VLOOKUP($A318,serestatal,2,0),IF(M$5='Conceptos Desglosados'!$H$13,VLOOKUP($A318,conferencias,2,0),"")))))))))),"")*M$3,"")</f>
        <v/>
      </c>
      <c r="O318">
        <f>SUM(K318:M318)</f>
        <v>0</v>
      </c>
    </row>
    <row r="319" spans="1:15" x14ac:dyDescent="0.35">
      <c r="A319">
        <v>314</v>
      </c>
      <c r="B319" t="s">
        <v>10</v>
      </c>
      <c r="C319" t="s">
        <v>1077</v>
      </c>
      <c r="D319" t="s">
        <v>1075</v>
      </c>
      <c r="E319" t="s">
        <v>1076</v>
      </c>
      <c r="F319" t="s">
        <v>883</v>
      </c>
      <c r="G319" t="s">
        <v>0</v>
      </c>
      <c r="H319">
        <v>2.02</v>
      </c>
      <c r="I319">
        <v>2.7149999999999999</v>
      </c>
      <c r="J319" t="s">
        <v>6</v>
      </c>
      <c r="K319">
        <f>IFERROR(IFERROR(IF(K$5='Conceptos Desglosados'!$H$4,VLOOKUP($A319,dormitorios,2,0),IF(K$5='Conceptos Desglosados'!$H$5,VLOOKUP($A319,comedor,2,0),IF(K$5='Conceptos Desglosados'!$H$6,VLOOKUP($A319,alojamiento,2,0),IF(K$5='Conceptos Desglosados'!$H$7,VLOOKUP($A319,sanidad,2,0),IF(K$5='Conceptos Desglosados'!$H$8,VLOOKUP($A319,servicios,2,0),IF(K$5='Conceptos Desglosados'!$H$9,VLOOKUP($A319,comyaloj,2,0),IF(K$5='Conceptos Desglosados'!$H$10,VLOOKUP($A319,comandancia,2,0),IF(K$5='Conceptos Desglosados'!$H$11,VLOOKUP($A319,mantenimiento,2,0),IF(K$5='Conceptos Desglosados'!$H$12,VLOOKUP($A319,serestatal,2,0),IF(K$5='Conceptos Desglosados'!$H$13,VLOOKUP($A319,conferencias,2,0),"")))))))))),"")*K$3,"")</f>
        <v>2</v>
      </c>
      <c r="L319" t="str">
        <f>IFERROR(IFERROR(IF(L$5='Conceptos Desglosados'!$H$4,VLOOKUP($A319,dormitorios,2,0),IF(L$5='Conceptos Desglosados'!$H$5,VLOOKUP($A319,comedor,2,0),IF(L$5='Conceptos Desglosados'!$H$6,VLOOKUP($A319,alojamiento,2,0),IF(L$5='Conceptos Desglosados'!$H$7,VLOOKUP($A319,sanidad,2,0),IF(L$5='Conceptos Desglosados'!$H$8,VLOOKUP($A319,servicios,2,0),IF(L$5='Conceptos Desglosados'!$H$9,VLOOKUP($A319,comyaloj,2,0),IF(L$5='Conceptos Desglosados'!$H$10,VLOOKUP($A319,comandancia,2,0),IF(L$5='Conceptos Desglosados'!$H$11,VLOOKUP($A319,mantenimiento,2,0),IF(L$5='Conceptos Desglosados'!$H$12,VLOOKUP($A319,serestatal,2,0),IF(L$5='Conceptos Desglosados'!$H$13,VLOOKUP($A319,conferencias,2,0),"")))))))))),"")*L$3,"")</f>
        <v/>
      </c>
      <c r="M319" t="str">
        <f>IFERROR(IFERROR(IF(M$5='Conceptos Desglosados'!$H$4,VLOOKUP($A319,dormitorios,2,0),IF(M$5='Conceptos Desglosados'!$H$5,VLOOKUP($A319,comedor,2,0),IF(M$5='Conceptos Desglosados'!$H$6,VLOOKUP($A319,alojamiento,2,0),IF(M$5='Conceptos Desglosados'!$H$7,VLOOKUP($A319,sanidad,2,0),IF(M$5='Conceptos Desglosados'!$H$8,VLOOKUP($A319,servicios,2,0),IF(M$5='Conceptos Desglosados'!$H$9,VLOOKUP($A319,comyaloj,2,0),IF(M$5='Conceptos Desglosados'!$H$10,VLOOKUP($A319,comandancia,2,0),IF(M$5='Conceptos Desglosados'!$H$11,VLOOKUP($A319,mantenimiento,2,0),IF(M$5='Conceptos Desglosados'!$H$12,VLOOKUP($A319,serestatal,2,0),IF(M$5='Conceptos Desglosados'!$H$13,VLOOKUP($A319,conferencias,2,0),"")))))))))),"")*M$3,"")</f>
        <v/>
      </c>
      <c r="O319">
        <f>SUM(K319:M319)</f>
        <v>2</v>
      </c>
    </row>
    <row r="320" spans="1:15" x14ac:dyDescent="0.35">
      <c r="A320">
        <v>315</v>
      </c>
      <c r="B320" t="s">
        <v>10</v>
      </c>
      <c r="C320" t="s">
        <v>1079</v>
      </c>
      <c r="D320" t="s">
        <v>1078</v>
      </c>
      <c r="E320" t="s">
        <v>1063</v>
      </c>
      <c r="F320" t="s">
        <v>883</v>
      </c>
      <c r="G320" t="s">
        <v>0</v>
      </c>
      <c r="H320">
        <v>1.968</v>
      </c>
      <c r="I320">
        <v>2.7149999999999999</v>
      </c>
      <c r="J320" t="s">
        <v>6</v>
      </c>
      <c r="K320" t="str">
        <f>IFERROR(IFERROR(IF(K$5='Conceptos Desglosados'!$H$4,VLOOKUP($A320,dormitorios,2,0),IF(K$5='Conceptos Desglosados'!$H$5,VLOOKUP($A320,comedor,2,0),IF(K$5='Conceptos Desglosados'!$H$6,VLOOKUP($A320,alojamiento,2,0),IF(K$5='Conceptos Desglosados'!$H$7,VLOOKUP($A320,sanidad,2,0),IF(K$5='Conceptos Desglosados'!$H$8,VLOOKUP($A320,servicios,2,0),IF(K$5='Conceptos Desglosados'!$H$9,VLOOKUP($A320,comyaloj,2,0),IF(K$5='Conceptos Desglosados'!$H$10,VLOOKUP($A320,comandancia,2,0),IF(K$5='Conceptos Desglosados'!$H$11,VLOOKUP($A320,mantenimiento,2,0),IF(K$5='Conceptos Desglosados'!$H$12,VLOOKUP($A320,serestatal,2,0),IF(K$5='Conceptos Desglosados'!$H$13,VLOOKUP($A320,conferencias,2,0),"")))))))))),"")*K$3,"")</f>
        <v/>
      </c>
      <c r="L320" t="str">
        <f>IFERROR(IFERROR(IF(L$5='Conceptos Desglosados'!$H$4,VLOOKUP($A320,dormitorios,2,0),IF(L$5='Conceptos Desglosados'!$H$5,VLOOKUP($A320,comedor,2,0),IF(L$5='Conceptos Desglosados'!$H$6,VLOOKUP($A320,alojamiento,2,0),IF(L$5='Conceptos Desglosados'!$H$7,VLOOKUP($A320,sanidad,2,0),IF(L$5='Conceptos Desglosados'!$H$8,VLOOKUP($A320,servicios,2,0),IF(L$5='Conceptos Desglosados'!$H$9,VLOOKUP($A320,comyaloj,2,0),IF(L$5='Conceptos Desglosados'!$H$10,VLOOKUP($A320,comandancia,2,0),IF(L$5='Conceptos Desglosados'!$H$11,VLOOKUP($A320,mantenimiento,2,0),IF(L$5='Conceptos Desglosados'!$H$12,VLOOKUP($A320,serestatal,2,0),IF(L$5='Conceptos Desglosados'!$H$13,VLOOKUP($A320,conferencias,2,0),"")))))))))),"")*L$3,"")</f>
        <v/>
      </c>
      <c r="M320" t="str">
        <f>IFERROR(IFERROR(IF(M$5='Conceptos Desglosados'!$H$4,VLOOKUP($A320,dormitorios,2,0),IF(M$5='Conceptos Desglosados'!$H$5,VLOOKUP($A320,comedor,2,0),IF(M$5='Conceptos Desglosados'!$H$6,VLOOKUP($A320,alojamiento,2,0),IF(M$5='Conceptos Desglosados'!$H$7,VLOOKUP($A320,sanidad,2,0),IF(M$5='Conceptos Desglosados'!$H$8,VLOOKUP($A320,servicios,2,0),IF(M$5='Conceptos Desglosados'!$H$9,VLOOKUP($A320,comyaloj,2,0),IF(M$5='Conceptos Desglosados'!$H$10,VLOOKUP($A320,comandancia,2,0),IF(M$5='Conceptos Desglosados'!$H$11,VLOOKUP($A320,mantenimiento,2,0),IF(M$5='Conceptos Desglosados'!$H$12,VLOOKUP($A320,serestatal,2,0),IF(M$5='Conceptos Desglosados'!$H$13,VLOOKUP($A320,conferencias,2,0),"")))))))))),"")*M$3,"")</f>
        <v/>
      </c>
      <c r="O320">
        <f>SUM(K320:M320)</f>
        <v>0</v>
      </c>
    </row>
    <row r="321" spans="1:15" x14ac:dyDescent="0.35">
      <c r="A321">
        <v>316</v>
      </c>
      <c r="B321" t="s">
        <v>10</v>
      </c>
      <c r="C321" t="s">
        <v>1080</v>
      </c>
      <c r="D321" t="s">
        <v>1081</v>
      </c>
      <c r="E321" t="s">
        <v>1062</v>
      </c>
      <c r="F321" t="s">
        <v>883</v>
      </c>
      <c r="G321" t="s">
        <v>0</v>
      </c>
      <c r="H321">
        <v>1.9159999999999999</v>
      </c>
      <c r="I321">
        <v>2.7149999999999999</v>
      </c>
      <c r="J321" t="s">
        <v>6</v>
      </c>
      <c r="K321" t="str">
        <f>IFERROR(IFERROR(IF(K$5='Conceptos Desglosados'!$H$4,VLOOKUP($A321,dormitorios,2,0),IF(K$5='Conceptos Desglosados'!$H$5,VLOOKUP($A321,comedor,2,0),IF(K$5='Conceptos Desglosados'!$H$6,VLOOKUP($A321,alojamiento,2,0),IF(K$5='Conceptos Desglosados'!$H$7,VLOOKUP($A321,sanidad,2,0),IF(K$5='Conceptos Desglosados'!$H$8,VLOOKUP($A321,servicios,2,0),IF(K$5='Conceptos Desglosados'!$H$9,VLOOKUP($A321,comyaloj,2,0),IF(K$5='Conceptos Desglosados'!$H$10,VLOOKUP($A321,comandancia,2,0),IF(K$5='Conceptos Desglosados'!$H$11,VLOOKUP($A321,mantenimiento,2,0),IF(K$5='Conceptos Desglosados'!$H$12,VLOOKUP($A321,serestatal,2,0),IF(K$5='Conceptos Desglosados'!$H$13,VLOOKUP($A321,conferencias,2,0),"")))))))))),"")*K$3,"")</f>
        <v/>
      </c>
      <c r="L321" t="str">
        <f>IFERROR(IFERROR(IF(L$5='Conceptos Desglosados'!$H$4,VLOOKUP($A321,dormitorios,2,0),IF(L$5='Conceptos Desglosados'!$H$5,VLOOKUP($A321,comedor,2,0),IF(L$5='Conceptos Desglosados'!$H$6,VLOOKUP($A321,alojamiento,2,0),IF(L$5='Conceptos Desglosados'!$H$7,VLOOKUP($A321,sanidad,2,0),IF(L$5='Conceptos Desglosados'!$H$8,VLOOKUP($A321,servicios,2,0),IF(L$5='Conceptos Desglosados'!$H$9,VLOOKUP($A321,comyaloj,2,0),IF(L$5='Conceptos Desglosados'!$H$10,VLOOKUP($A321,comandancia,2,0),IF(L$5='Conceptos Desglosados'!$H$11,VLOOKUP($A321,mantenimiento,2,0),IF(L$5='Conceptos Desglosados'!$H$12,VLOOKUP($A321,serestatal,2,0),IF(L$5='Conceptos Desglosados'!$H$13,VLOOKUP($A321,conferencias,2,0),"")))))))))),"")*L$3,"")</f>
        <v/>
      </c>
      <c r="M321" t="str">
        <f>IFERROR(IFERROR(IF(M$5='Conceptos Desglosados'!$H$4,VLOOKUP($A321,dormitorios,2,0),IF(M$5='Conceptos Desglosados'!$H$5,VLOOKUP($A321,comedor,2,0),IF(M$5='Conceptos Desglosados'!$H$6,VLOOKUP($A321,alojamiento,2,0),IF(M$5='Conceptos Desglosados'!$H$7,VLOOKUP($A321,sanidad,2,0),IF(M$5='Conceptos Desglosados'!$H$8,VLOOKUP($A321,servicios,2,0),IF(M$5='Conceptos Desglosados'!$H$9,VLOOKUP($A321,comyaloj,2,0),IF(M$5='Conceptos Desglosados'!$H$10,VLOOKUP($A321,comandancia,2,0),IF(M$5='Conceptos Desglosados'!$H$11,VLOOKUP($A321,mantenimiento,2,0),IF(M$5='Conceptos Desglosados'!$H$12,VLOOKUP($A321,serestatal,2,0),IF(M$5='Conceptos Desglosados'!$H$13,VLOOKUP($A321,conferencias,2,0),"")))))))))),"")*M$3,"")</f>
        <v/>
      </c>
      <c r="O321">
        <f>SUM(K321:M321)</f>
        <v>0</v>
      </c>
    </row>
    <row r="322" spans="1:15" x14ac:dyDescent="0.35">
      <c r="A322">
        <v>317</v>
      </c>
      <c r="B322" t="s">
        <v>10</v>
      </c>
      <c r="C322" t="s">
        <v>1082</v>
      </c>
      <c r="D322" t="s">
        <v>1083</v>
      </c>
      <c r="E322" t="s">
        <v>1063</v>
      </c>
      <c r="F322" t="s">
        <v>883</v>
      </c>
      <c r="G322" t="s">
        <v>0</v>
      </c>
      <c r="H322">
        <v>1.07</v>
      </c>
      <c r="I322">
        <v>2.7149999999999999</v>
      </c>
      <c r="J322" t="s">
        <v>6</v>
      </c>
      <c r="K322" t="str">
        <f>IFERROR(IFERROR(IF(K$5='Conceptos Desglosados'!$H$4,VLOOKUP($A322,dormitorios,2,0),IF(K$5='Conceptos Desglosados'!$H$5,VLOOKUP($A322,comedor,2,0),IF(K$5='Conceptos Desglosados'!$H$6,VLOOKUP($A322,alojamiento,2,0),IF(K$5='Conceptos Desglosados'!$H$7,VLOOKUP($A322,sanidad,2,0),IF(K$5='Conceptos Desglosados'!$H$8,VLOOKUP($A322,servicios,2,0),IF(K$5='Conceptos Desglosados'!$H$9,VLOOKUP($A322,comyaloj,2,0),IF(K$5='Conceptos Desglosados'!$H$10,VLOOKUP($A322,comandancia,2,0),IF(K$5='Conceptos Desglosados'!$H$11,VLOOKUP($A322,mantenimiento,2,0),IF(K$5='Conceptos Desglosados'!$H$12,VLOOKUP($A322,serestatal,2,0),IF(K$5='Conceptos Desglosados'!$H$13,VLOOKUP($A322,conferencias,2,0),"")))))))))),"")*K$3,"")</f>
        <v/>
      </c>
      <c r="L322" t="str">
        <f>IFERROR(IFERROR(IF(L$5='Conceptos Desglosados'!$H$4,VLOOKUP($A322,dormitorios,2,0),IF(L$5='Conceptos Desglosados'!$H$5,VLOOKUP($A322,comedor,2,0),IF(L$5='Conceptos Desglosados'!$H$6,VLOOKUP($A322,alojamiento,2,0),IF(L$5='Conceptos Desglosados'!$H$7,VLOOKUP($A322,sanidad,2,0),IF(L$5='Conceptos Desglosados'!$H$8,VLOOKUP($A322,servicios,2,0),IF(L$5='Conceptos Desglosados'!$H$9,VLOOKUP($A322,comyaloj,2,0),IF(L$5='Conceptos Desglosados'!$H$10,VLOOKUP($A322,comandancia,2,0),IF(L$5='Conceptos Desglosados'!$H$11,VLOOKUP($A322,mantenimiento,2,0),IF(L$5='Conceptos Desglosados'!$H$12,VLOOKUP($A322,serestatal,2,0),IF(L$5='Conceptos Desglosados'!$H$13,VLOOKUP($A322,conferencias,2,0),"")))))))))),"")*L$3,"")</f>
        <v/>
      </c>
      <c r="M322" t="str">
        <f>IFERROR(IFERROR(IF(M$5='Conceptos Desglosados'!$H$4,VLOOKUP($A322,dormitorios,2,0),IF(M$5='Conceptos Desglosados'!$H$5,VLOOKUP($A322,comedor,2,0),IF(M$5='Conceptos Desglosados'!$H$6,VLOOKUP($A322,alojamiento,2,0),IF(M$5='Conceptos Desglosados'!$H$7,VLOOKUP($A322,sanidad,2,0),IF(M$5='Conceptos Desglosados'!$H$8,VLOOKUP($A322,servicios,2,0),IF(M$5='Conceptos Desglosados'!$H$9,VLOOKUP($A322,comyaloj,2,0),IF(M$5='Conceptos Desglosados'!$H$10,VLOOKUP($A322,comandancia,2,0),IF(M$5='Conceptos Desglosados'!$H$11,VLOOKUP($A322,mantenimiento,2,0),IF(M$5='Conceptos Desglosados'!$H$12,VLOOKUP($A322,serestatal,2,0),IF(M$5='Conceptos Desglosados'!$H$13,VLOOKUP($A322,conferencias,2,0),"")))))))))),"")*M$3,"")</f>
        <v/>
      </c>
      <c r="O322">
        <f>SUM(K322:M322)</f>
        <v>0</v>
      </c>
    </row>
    <row r="323" spans="1:15" x14ac:dyDescent="0.35">
      <c r="A323">
        <v>318</v>
      </c>
      <c r="B323" t="s">
        <v>10</v>
      </c>
      <c r="C323" t="s">
        <v>1084</v>
      </c>
      <c r="D323" t="s">
        <v>1085</v>
      </c>
      <c r="E323" t="s">
        <v>1062</v>
      </c>
      <c r="F323" t="s">
        <v>883</v>
      </c>
      <c r="G323" t="s">
        <v>0</v>
      </c>
      <c r="H323">
        <v>2.09</v>
      </c>
      <c r="I323">
        <v>2.7149999999999999</v>
      </c>
      <c r="J323" t="s">
        <v>6</v>
      </c>
      <c r="K323" t="str">
        <f>IFERROR(IFERROR(IF(K$5='Conceptos Desglosados'!$H$4,VLOOKUP($A323,dormitorios,2,0),IF(K$5='Conceptos Desglosados'!$H$5,VLOOKUP($A323,comedor,2,0),IF(K$5='Conceptos Desglosados'!$H$6,VLOOKUP($A323,alojamiento,2,0),IF(K$5='Conceptos Desglosados'!$H$7,VLOOKUP($A323,sanidad,2,0),IF(K$5='Conceptos Desglosados'!$H$8,VLOOKUP($A323,servicios,2,0),IF(K$5='Conceptos Desglosados'!$H$9,VLOOKUP($A323,comyaloj,2,0),IF(K$5='Conceptos Desglosados'!$H$10,VLOOKUP($A323,comandancia,2,0),IF(K$5='Conceptos Desglosados'!$H$11,VLOOKUP($A323,mantenimiento,2,0),IF(K$5='Conceptos Desglosados'!$H$12,VLOOKUP($A323,serestatal,2,0),IF(K$5='Conceptos Desglosados'!$H$13,VLOOKUP($A323,conferencias,2,0),"")))))))))),"")*K$3,"")</f>
        <v/>
      </c>
      <c r="L323" t="str">
        <f>IFERROR(IFERROR(IF(L$5='Conceptos Desglosados'!$H$4,VLOOKUP($A323,dormitorios,2,0),IF(L$5='Conceptos Desglosados'!$H$5,VLOOKUP($A323,comedor,2,0),IF(L$5='Conceptos Desglosados'!$H$6,VLOOKUP($A323,alojamiento,2,0),IF(L$5='Conceptos Desglosados'!$H$7,VLOOKUP($A323,sanidad,2,0),IF(L$5='Conceptos Desglosados'!$H$8,VLOOKUP($A323,servicios,2,0),IF(L$5='Conceptos Desglosados'!$H$9,VLOOKUP($A323,comyaloj,2,0),IF(L$5='Conceptos Desglosados'!$H$10,VLOOKUP($A323,comandancia,2,0),IF(L$5='Conceptos Desglosados'!$H$11,VLOOKUP($A323,mantenimiento,2,0),IF(L$5='Conceptos Desglosados'!$H$12,VLOOKUP($A323,serestatal,2,0),IF(L$5='Conceptos Desglosados'!$H$13,VLOOKUP($A323,conferencias,2,0),"")))))))))),"")*L$3,"")</f>
        <v/>
      </c>
      <c r="M323" t="str">
        <f>IFERROR(IFERROR(IF(M$5='Conceptos Desglosados'!$H$4,VLOOKUP($A323,dormitorios,2,0),IF(M$5='Conceptos Desglosados'!$H$5,VLOOKUP($A323,comedor,2,0),IF(M$5='Conceptos Desglosados'!$H$6,VLOOKUP($A323,alojamiento,2,0),IF(M$5='Conceptos Desglosados'!$H$7,VLOOKUP($A323,sanidad,2,0),IF(M$5='Conceptos Desglosados'!$H$8,VLOOKUP($A323,servicios,2,0),IF(M$5='Conceptos Desglosados'!$H$9,VLOOKUP($A323,comyaloj,2,0),IF(M$5='Conceptos Desglosados'!$H$10,VLOOKUP($A323,comandancia,2,0),IF(M$5='Conceptos Desglosados'!$H$11,VLOOKUP($A323,mantenimiento,2,0),IF(M$5='Conceptos Desglosados'!$H$12,VLOOKUP($A323,serestatal,2,0),IF(M$5='Conceptos Desglosados'!$H$13,VLOOKUP($A323,conferencias,2,0),"")))))))))),"")*M$3,"")</f>
        <v/>
      </c>
      <c r="O323">
        <f>SUM(K323:M323)</f>
        <v>0</v>
      </c>
    </row>
    <row r="324" spans="1:15" x14ac:dyDescent="0.35">
      <c r="A324">
        <v>319</v>
      </c>
      <c r="B324" t="s">
        <v>10</v>
      </c>
      <c r="C324" t="s">
        <v>1086</v>
      </c>
      <c r="D324" t="s">
        <v>1087</v>
      </c>
      <c r="E324" t="s">
        <v>1063</v>
      </c>
      <c r="F324" t="s">
        <v>883</v>
      </c>
      <c r="G324" t="s">
        <v>0</v>
      </c>
      <c r="H324">
        <v>2.0419999999999998</v>
      </c>
      <c r="I324">
        <v>2.7149999999999999</v>
      </c>
      <c r="J324" t="s">
        <v>6</v>
      </c>
      <c r="K324" t="str">
        <f>IFERROR(IFERROR(IF(K$5='Conceptos Desglosados'!$H$4,VLOOKUP($A324,dormitorios,2,0),IF(K$5='Conceptos Desglosados'!$H$5,VLOOKUP($A324,comedor,2,0),IF(K$5='Conceptos Desglosados'!$H$6,VLOOKUP($A324,alojamiento,2,0),IF(K$5='Conceptos Desglosados'!$H$7,VLOOKUP($A324,sanidad,2,0),IF(K$5='Conceptos Desglosados'!$H$8,VLOOKUP($A324,servicios,2,0),IF(K$5='Conceptos Desglosados'!$H$9,VLOOKUP($A324,comyaloj,2,0),IF(K$5='Conceptos Desglosados'!$H$10,VLOOKUP($A324,comandancia,2,0),IF(K$5='Conceptos Desglosados'!$H$11,VLOOKUP($A324,mantenimiento,2,0),IF(K$5='Conceptos Desglosados'!$H$12,VLOOKUP($A324,serestatal,2,0),IF(K$5='Conceptos Desglosados'!$H$13,VLOOKUP($A324,conferencias,2,0),"")))))))))),"")*K$3,"")</f>
        <v/>
      </c>
      <c r="L324" t="str">
        <f>IFERROR(IFERROR(IF(L$5='Conceptos Desglosados'!$H$4,VLOOKUP($A324,dormitorios,2,0),IF(L$5='Conceptos Desglosados'!$H$5,VLOOKUP($A324,comedor,2,0),IF(L$5='Conceptos Desglosados'!$H$6,VLOOKUP($A324,alojamiento,2,0),IF(L$5='Conceptos Desglosados'!$H$7,VLOOKUP($A324,sanidad,2,0),IF(L$5='Conceptos Desglosados'!$H$8,VLOOKUP($A324,servicios,2,0),IF(L$5='Conceptos Desglosados'!$H$9,VLOOKUP($A324,comyaloj,2,0),IF(L$5='Conceptos Desglosados'!$H$10,VLOOKUP($A324,comandancia,2,0),IF(L$5='Conceptos Desglosados'!$H$11,VLOOKUP($A324,mantenimiento,2,0),IF(L$5='Conceptos Desglosados'!$H$12,VLOOKUP($A324,serestatal,2,0),IF(L$5='Conceptos Desglosados'!$H$13,VLOOKUP($A324,conferencias,2,0),"")))))))))),"")*L$3,"")</f>
        <v/>
      </c>
      <c r="M324">
        <f>IFERROR(IFERROR(IF(M$5='Conceptos Desglosados'!$H$4,VLOOKUP($A324,dormitorios,2,0),IF(M$5='Conceptos Desglosados'!$H$5,VLOOKUP($A324,comedor,2,0),IF(M$5='Conceptos Desglosados'!$H$6,VLOOKUP($A324,alojamiento,2,0),IF(M$5='Conceptos Desglosados'!$H$7,VLOOKUP($A324,sanidad,2,0),IF(M$5='Conceptos Desglosados'!$H$8,VLOOKUP($A324,servicios,2,0),IF(M$5='Conceptos Desglosados'!$H$9,VLOOKUP($A324,comyaloj,2,0),IF(M$5='Conceptos Desglosados'!$H$10,VLOOKUP($A324,comandancia,2,0),IF(M$5='Conceptos Desglosados'!$H$11,VLOOKUP($A324,mantenimiento,2,0),IF(M$5='Conceptos Desglosados'!$H$12,VLOOKUP($A324,serestatal,2,0),IF(M$5='Conceptos Desglosados'!$H$13,VLOOKUP($A324,conferencias,2,0),"")))))))))),"")*M$3,"")</f>
        <v>4</v>
      </c>
      <c r="O324">
        <f>SUM(K324:M324)</f>
        <v>4</v>
      </c>
    </row>
    <row r="325" spans="1:15" x14ac:dyDescent="0.35">
      <c r="A325">
        <v>320</v>
      </c>
      <c r="B325" t="s">
        <v>10</v>
      </c>
      <c r="C325" t="s">
        <v>1088</v>
      </c>
      <c r="D325" t="s">
        <v>1089</v>
      </c>
      <c r="E325" t="s">
        <v>1055</v>
      </c>
      <c r="F325" t="s">
        <v>1011</v>
      </c>
      <c r="G325" t="s">
        <v>0</v>
      </c>
      <c r="H325">
        <v>2.0369999999999999</v>
      </c>
      <c r="I325">
        <v>2.7149999999999999</v>
      </c>
      <c r="J325" t="s">
        <v>6</v>
      </c>
      <c r="K325" t="str">
        <f>IFERROR(IFERROR(IF(K$5='Conceptos Desglosados'!$H$4,VLOOKUP($A325,dormitorios,2,0),IF(K$5='Conceptos Desglosados'!$H$5,VLOOKUP($A325,comedor,2,0),IF(K$5='Conceptos Desglosados'!$H$6,VLOOKUP($A325,alojamiento,2,0),IF(K$5='Conceptos Desglosados'!$H$7,VLOOKUP($A325,sanidad,2,0),IF(K$5='Conceptos Desglosados'!$H$8,VLOOKUP($A325,servicios,2,0),IF(K$5='Conceptos Desglosados'!$H$9,VLOOKUP($A325,comyaloj,2,0),IF(K$5='Conceptos Desglosados'!$H$10,VLOOKUP($A325,comandancia,2,0),IF(K$5='Conceptos Desglosados'!$H$11,VLOOKUP($A325,mantenimiento,2,0),IF(K$5='Conceptos Desglosados'!$H$12,VLOOKUP($A325,serestatal,2,0),IF(K$5='Conceptos Desglosados'!$H$13,VLOOKUP($A325,conferencias,2,0),"")))))))))),"")*K$3,"")</f>
        <v/>
      </c>
      <c r="L325" t="str">
        <f>IFERROR(IFERROR(IF(L$5='Conceptos Desglosados'!$H$4,VLOOKUP($A325,dormitorios,2,0),IF(L$5='Conceptos Desglosados'!$H$5,VLOOKUP($A325,comedor,2,0),IF(L$5='Conceptos Desglosados'!$H$6,VLOOKUP($A325,alojamiento,2,0),IF(L$5='Conceptos Desglosados'!$H$7,VLOOKUP($A325,sanidad,2,0),IF(L$5='Conceptos Desglosados'!$H$8,VLOOKUP($A325,servicios,2,0),IF(L$5='Conceptos Desglosados'!$H$9,VLOOKUP($A325,comyaloj,2,0),IF(L$5='Conceptos Desglosados'!$H$10,VLOOKUP($A325,comandancia,2,0),IF(L$5='Conceptos Desglosados'!$H$11,VLOOKUP($A325,mantenimiento,2,0),IF(L$5='Conceptos Desglosados'!$H$12,VLOOKUP($A325,serestatal,2,0),IF(L$5='Conceptos Desglosados'!$H$13,VLOOKUP($A325,conferencias,2,0),"")))))))))),"")*L$3,"")</f>
        <v/>
      </c>
      <c r="M325" t="str">
        <f>IFERROR(IFERROR(IF(M$5='Conceptos Desglosados'!$H$4,VLOOKUP($A325,dormitorios,2,0),IF(M$5='Conceptos Desglosados'!$H$5,VLOOKUP($A325,comedor,2,0),IF(M$5='Conceptos Desglosados'!$H$6,VLOOKUP($A325,alojamiento,2,0),IF(M$5='Conceptos Desglosados'!$H$7,VLOOKUP($A325,sanidad,2,0),IF(M$5='Conceptos Desglosados'!$H$8,VLOOKUP($A325,servicios,2,0),IF(M$5='Conceptos Desglosados'!$H$9,VLOOKUP($A325,comyaloj,2,0),IF(M$5='Conceptos Desglosados'!$H$10,VLOOKUP($A325,comandancia,2,0),IF(M$5='Conceptos Desglosados'!$H$11,VLOOKUP($A325,mantenimiento,2,0),IF(M$5='Conceptos Desglosados'!$H$12,VLOOKUP($A325,serestatal,2,0),IF(M$5='Conceptos Desglosados'!$H$13,VLOOKUP($A325,conferencias,2,0),"")))))))))),"")*M$3,"")</f>
        <v/>
      </c>
      <c r="O325">
        <f>SUM(K325:M325)</f>
        <v>0</v>
      </c>
    </row>
    <row r="326" spans="1:15" x14ac:dyDescent="0.35">
      <c r="A326">
        <v>321</v>
      </c>
      <c r="B326" t="s">
        <v>10</v>
      </c>
      <c r="C326" t="s">
        <v>1097</v>
      </c>
      <c r="D326" t="s">
        <v>1096</v>
      </c>
      <c r="E326" t="s">
        <v>1095</v>
      </c>
      <c r="F326" t="s">
        <v>1011</v>
      </c>
      <c r="G326" t="s">
        <v>2</v>
      </c>
      <c r="H326">
        <v>1.974</v>
      </c>
      <c r="I326">
        <v>2.7149999999999999</v>
      </c>
      <c r="J326" t="s">
        <v>6</v>
      </c>
      <c r="K326" t="str">
        <f>IFERROR(IFERROR(IF(K$5='Conceptos Desglosados'!$H$4,VLOOKUP($A326,dormitorios,2,0),IF(K$5='Conceptos Desglosados'!$H$5,VLOOKUP($A326,comedor,2,0),IF(K$5='Conceptos Desglosados'!$H$6,VLOOKUP($A326,alojamiento,2,0),IF(K$5='Conceptos Desglosados'!$H$7,VLOOKUP($A326,sanidad,2,0),IF(K$5='Conceptos Desglosados'!$H$8,VLOOKUP($A326,servicios,2,0),IF(K$5='Conceptos Desglosados'!$H$9,VLOOKUP($A326,comyaloj,2,0),IF(K$5='Conceptos Desglosados'!$H$10,VLOOKUP($A326,comandancia,2,0),IF(K$5='Conceptos Desglosados'!$H$11,VLOOKUP($A326,mantenimiento,2,0),IF(K$5='Conceptos Desglosados'!$H$12,VLOOKUP($A326,serestatal,2,0),IF(K$5='Conceptos Desglosados'!$H$13,VLOOKUP($A326,conferencias,2,0),"")))))))))),"")*K$3,"")</f>
        <v/>
      </c>
      <c r="L326" t="str">
        <f>IFERROR(IFERROR(IF(L$5='Conceptos Desglosados'!$H$4,VLOOKUP($A326,dormitorios,2,0),IF(L$5='Conceptos Desglosados'!$H$5,VLOOKUP($A326,comedor,2,0),IF(L$5='Conceptos Desglosados'!$H$6,VLOOKUP($A326,alojamiento,2,0),IF(L$5='Conceptos Desglosados'!$H$7,VLOOKUP($A326,sanidad,2,0),IF(L$5='Conceptos Desglosados'!$H$8,VLOOKUP($A326,servicios,2,0),IF(L$5='Conceptos Desglosados'!$H$9,VLOOKUP($A326,comyaloj,2,0),IF(L$5='Conceptos Desglosados'!$H$10,VLOOKUP($A326,comandancia,2,0),IF(L$5='Conceptos Desglosados'!$H$11,VLOOKUP($A326,mantenimiento,2,0),IF(L$5='Conceptos Desglosados'!$H$12,VLOOKUP($A326,serestatal,2,0),IF(L$5='Conceptos Desglosados'!$H$13,VLOOKUP($A326,conferencias,2,0),"")))))))))),"")*L$3,"")</f>
        <v/>
      </c>
      <c r="M326" t="str">
        <f>IFERROR(IFERROR(IF(M$5='Conceptos Desglosados'!$H$4,VLOOKUP($A326,dormitorios,2,0),IF(M$5='Conceptos Desglosados'!$H$5,VLOOKUP($A326,comedor,2,0),IF(M$5='Conceptos Desglosados'!$H$6,VLOOKUP($A326,alojamiento,2,0),IF(M$5='Conceptos Desglosados'!$H$7,VLOOKUP($A326,sanidad,2,0),IF(M$5='Conceptos Desglosados'!$H$8,VLOOKUP($A326,servicios,2,0),IF(M$5='Conceptos Desglosados'!$H$9,VLOOKUP($A326,comyaloj,2,0),IF(M$5='Conceptos Desglosados'!$H$10,VLOOKUP($A326,comandancia,2,0),IF(M$5='Conceptos Desglosados'!$H$11,VLOOKUP($A326,mantenimiento,2,0),IF(M$5='Conceptos Desglosados'!$H$12,VLOOKUP($A326,serestatal,2,0),IF(M$5='Conceptos Desglosados'!$H$13,VLOOKUP($A326,conferencias,2,0),"")))))))))),"")*M$3,"")</f>
        <v/>
      </c>
      <c r="O326">
        <f>SUM(K326:M326)</f>
        <v>0</v>
      </c>
    </row>
    <row r="327" spans="1:15" x14ac:dyDescent="0.35">
      <c r="A327">
        <v>322</v>
      </c>
      <c r="B327" t="s">
        <v>10</v>
      </c>
      <c r="C327" t="s">
        <v>1103</v>
      </c>
      <c r="D327" t="s">
        <v>1104</v>
      </c>
      <c r="E327" t="s">
        <v>1105</v>
      </c>
      <c r="F327" t="s">
        <v>667</v>
      </c>
      <c r="G327" t="s">
        <v>2</v>
      </c>
      <c r="H327">
        <v>1.597</v>
      </c>
      <c r="I327">
        <v>2.7149999999999999</v>
      </c>
      <c r="J327" t="s">
        <v>6</v>
      </c>
      <c r="K327" t="str">
        <f>IFERROR(IFERROR(IF(K$5='Conceptos Desglosados'!$H$4,VLOOKUP($A327,dormitorios,2,0),IF(K$5='Conceptos Desglosados'!$H$5,VLOOKUP($A327,comedor,2,0),IF(K$5='Conceptos Desglosados'!$H$6,VLOOKUP($A327,alojamiento,2,0),IF(K$5='Conceptos Desglosados'!$H$7,VLOOKUP($A327,sanidad,2,0),IF(K$5='Conceptos Desglosados'!$H$8,VLOOKUP($A327,servicios,2,0),IF(K$5='Conceptos Desglosados'!$H$9,VLOOKUP($A327,comyaloj,2,0),IF(K$5='Conceptos Desglosados'!$H$10,VLOOKUP($A327,comandancia,2,0),IF(K$5='Conceptos Desglosados'!$H$11,VLOOKUP($A327,mantenimiento,2,0),IF(K$5='Conceptos Desglosados'!$H$12,VLOOKUP($A327,serestatal,2,0),IF(K$5='Conceptos Desglosados'!$H$13,VLOOKUP($A327,conferencias,2,0),"")))))))))),"")*K$3,"")</f>
        <v/>
      </c>
      <c r="L327" t="str">
        <f>IFERROR(IFERROR(IF(L$5='Conceptos Desglosados'!$H$4,VLOOKUP($A327,dormitorios,2,0),IF(L$5='Conceptos Desglosados'!$H$5,VLOOKUP($A327,comedor,2,0),IF(L$5='Conceptos Desglosados'!$H$6,VLOOKUP($A327,alojamiento,2,0),IF(L$5='Conceptos Desglosados'!$H$7,VLOOKUP($A327,sanidad,2,0),IF(L$5='Conceptos Desglosados'!$H$8,VLOOKUP($A327,servicios,2,0),IF(L$5='Conceptos Desglosados'!$H$9,VLOOKUP($A327,comyaloj,2,0),IF(L$5='Conceptos Desglosados'!$H$10,VLOOKUP($A327,comandancia,2,0),IF(L$5='Conceptos Desglosados'!$H$11,VLOOKUP($A327,mantenimiento,2,0),IF(L$5='Conceptos Desglosados'!$H$12,VLOOKUP($A327,serestatal,2,0),IF(L$5='Conceptos Desglosados'!$H$13,VLOOKUP($A327,conferencias,2,0),"")))))))))),"")*L$3,"")</f>
        <v/>
      </c>
      <c r="M327" t="str">
        <f>IFERROR(IFERROR(IF(M$5='Conceptos Desglosados'!$H$4,VLOOKUP($A327,dormitorios,2,0),IF(M$5='Conceptos Desglosados'!$H$5,VLOOKUP($A327,comedor,2,0),IF(M$5='Conceptos Desglosados'!$H$6,VLOOKUP($A327,alojamiento,2,0),IF(M$5='Conceptos Desglosados'!$H$7,VLOOKUP($A327,sanidad,2,0),IF(M$5='Conceptos Desglosados'!$H$8,VLOOKUP($A327,servicios,2,0),IF(M$5='Conceptos Desglosados'!$H$9,VLOOKUP($A327,comyaloj,2,0),IF(M$5='Conceptos Desglosados'!$H$10,VLOOKUP($A327,comandancia,2,0),IF(M$5='Conceptos Desglosados'!$H$11,VLOOKUP($A327,mantenimiento,2,0),IF(M$5='Conceptos Desglosados'!$H$12,VLOOKUP($A327,serestatal,2,0),IF(M$5='Conceptos Desglosados'!$H$13,VLOOKUP($A327,conferencias,2,0),"")))))))))),"")*M$3,"")</f>
        <v/>
      </c>
      <c r="O327">
        <f>SUM(K327:M327)</f>
        <v>0</v>
      </c>
    </row>
    <row r="328" spans="1:15" x14ac:dyDescent="0.35">
      <c r="A328">
        <v>323</v>
      </c>
      <c r="B328" t="s">
        <v>10</v>
      </c>
      <c r="C328" t="s">
        <v>1143</v>
      </c>
      <c r="D328" t="s">
        <v>1144</v>
      </c>
      <c r="E328" t="s">
        <v>1063</v>
      </c>
      <c r="F328" t="s">
        <v>883</v>
      </c>
      <c r="G328" t="s">
        <v>0</v>
      </c>
      <c r="H328">
        <v>2.1</v>
      </c>
      <c r="I328">
        <v>2.7149999999999999</v>
      </c>
      <c r="J328" t="s">
        <v>6</v>
      </c>
      <c r="K328" t="str">
        <f>IFERROR(IFERROR(IF(K$5='Conceptos Desglosados'!$H$4,VLOOKUP($A328,dormitorios,2,0),IF(K$5='Conceptos Desglosados'!$H$5,VLOOKUP($A328,comedor,2,0),IF(K$5='Conceptos Desglosados'!$H$6,VLOOKUP($A328,alojamiento,2,0),IF(K$5='Conceptos Desglosados'!$H$7,VLOOKUP($A328,sanidad,2,0),IF(K$5='Conceptos Desglosados'!$H$8,VLOOKUP($A328,servicios,2,0),IF(K$5='Conceptos Desglosados'!$H$9,VLOOKUP($A328,comyaloj,2,0),IF(K$5='Conceptos Desglosados'!$H$10,VLOOKUP($A328,comandancia,2,0),IF(K$5='Conceptos Desglosados'!$H$11,VLOOKUP($A328,mantenimiento,2,0),IF(K$5='Conceptos Desglosados'!$H$12,VLOOKUP($A328,serestatal,2,0),IF(K$5='Conceptos Desglosados'!$H$13,VLOOKUP($A328,conferencias,2,0),"")))))))))),"")*K$3,"")</f>
        <v/>
      </c>
      <c r="L328" t="str">
        <f>IFERROR(IFERROR(IF(L$5='Conceptos Desglosados'!$H$4,VLOOKUP($A328,dormitorios,2,0),IF(L$5='Conceptos Desglosados'!$H$5,VLOOKUP($A328,comedor,2,0),IF(L$5='Conceptos Desglosados'!$H$6,VLOOKUP($A328,alojamiento,2,0),IF(L$5='Conceptos Desglosados'!$H$7,VLOOKUP($A328,sanidad,2,0),IF(L$5='Conceptos Desglosados'!$H$8,VLOOKUP($A328,servicios,2,0),IF(L$5='Conceptos Desglosados'!$H$9,VLOOKUP($A328,comyaloj,2,0),IF(L$5='Conceptos Desglosados'!$H$10,VLOOKUP($A328,comandancia,2,0),IF(L$5='Conceptos Desglosados'!$H$11,VLOOKUP($A328,mantenimiento,2,0),IF(L$5='Conceptos Desglosados'!$H$12,VLOOKUP($A328,serestatal,2,0),IF(L$5='Conceptos Desglosados'!$H$13,VLOOKUP($A328,conferencias,2,0),"")))))))))),"")*L$3,"")</f>
        <v/>
      </c>
      <c r="M328" t="str">
        <f>IFERROR(IFERROR(IF(M$5='Conceptos Desglosados'!$H$4,VLOOKUP($A328,dormitorios,2,0),IF(M$5='Conceptos Desglosados'!$H$5,VLOOKUP($A328,comedor,2,0),IF(M$5='Conceptos Desglosados'!$H$6,VLOOKUP($A328,alojamiento,2,0),IF(M$5='Conceptos Desglosados'!$H$7,VLOOKUP($A328,sanidad,2,0),IF(M$5='Conceptos Desglosados'!$H$8,VLOOKUP($A328,servicios,2,0),IF(M$5='Conceptos Desglosados'!$H$9,VLOOKUP($A328,comyaloj,2,0),IF(M$5='Conceptos Desglosados'!$H$10,VLOOKUP($A328,comandancia,2,0),IF(M$5='Conceptos Desglosados'!$H$11,VLOOKUP($A328,mantenimiento,2,0),IF(M$5='Conceptos Desglosados'!$H$12,VLOOKUP($A328,serestatal,2,0),IF(M$5='Conceptos Desglosados'!$H$13,VLOOKUP($A328,conferencias,2,0),"")))))))))),"")*M$3,"")</f>
        <v/>
      </c>
      <c r="O328">
        <f>SUM(K328:M328)</f>
        <v>0</v>
      </c>
    </row>
    <row r="329" spans="1:15" x14ac:dyDescent="0.35">
      <c r="A329">
        <v>324</v>
      </c>
      <c r="B329" t="s">
        <v>10</v>
      </c>
      <c r="C329" t="s">
        <v>1147</v>
      </c>
      <c r="D329" t="s">
        <v>1146</v>
      </c>
      <c r="E329" t="s">
        <v>1184</v>
      </c>
      <c r="F329" t="s">
        <v>1011</v>
      </c>
      <c r="G329" t="s">
        <v>0</v>
      </c>
      <c r="H329">
        <v>1.46</v>
      </c>
      <c r="I329">
        <v>2.7149999999999999</v>
      </c>
      <c r="J329" t="s">
        <v>6</v>
      </c>
      <c r="K329" t="str">
        <f>IFERROR(IFERROR(IF(K$5='Conceptos Desglosados'!$H$4,VLOOKUP($A329,dormitorios,2,0),IF(K$5='Conceptos Desglosados'!$H$5,VLOOKUP($A329,comedor,2,0),IF(K$5='Conceptos Desglosados'!$H$6,VLOOKUP($A329,alojamiento,2,0),IF(K$5='Conceptos Desglosados'!$H$7,VLOOKUP($A329,sanidad,2,0),IF(K$5='Conceptos Desglosados'!$H$8,VLOOKUP($A329,servicios,2,0),IF(K$5='Conceptos Desglosados'!$H$9,VLOOKUP($A329,comyaloj,2,0),IF(K$5='Conceptos Desglosados'!$H$10,VLOOKUP($A329,comandancia,2,0),IF(K$5='Conceptos Desglosados'!$H$11,VLOOKUP($A329,mantenimiento,2,0),IF(K$5='Conceptos Desglosados'!$H$12,VLOOKUP($A329,serestatal,2,0),IF(K$5='Conceptos Desglosados'!$H$13,VLOOKUP($A329,conferencias,2,0),"")))))))))),"")*K$3,"")</f>
        <v/>
      </c>
      <c r="L329" t="str">
        <f>IFERROR(IFERROR(IF(L$5='Conceptos Desglosados'!$H$4,VLOOKUP($A329,dormitorios,2,0),IF(L$5='Conceptos Desglosados'!$H$5,VLOOKUP($A329,comedor,2,0),IF(L$5='Conceptos Desglosados'!$H$6,VLOOKUP($A329,alojamiento,2,0),IF(L$5='Conceptos Desglosados'!$H$7,VLOOKUP($A329,sanidad,2,0),IF(L$5='Conceptos Desglosados'!$H$8,VLOOKUP($A329,servicios,2,0),IF(L$5='Conceptos Desglosados'!$H$9,VLOOKUP($A329,comyaloj,2,0),IF(L$5='Conceptos Desglosados'!$H$10,VLOOKUP($A329,comandancia,2,0),IF(L$5='Conceptos Desglosados'!$H$11,VLOOKUP($A329,mantenimiento,2,0),IF(L$5='Conceptos Desglosados'!$H$12,VLOOKUP($A329,serestatal,2,0),IF(L$5='Conceptos Desglosados'!$H$13,VLOOKUP($A329,conferencias,2,0),"")))))))))),"")*L$3,"")</f>
        <v/>
      </c>
      <c r="M329" t="str">
        <f>IFERROR(IFERROR(IF(M$5='Conceptos Desglosados'!$H$4,VLOOKUP($A329,dormitorios,2,0),IF(M$5='Conceptos Desglosados'!$H$5,VLOOKUP($A329,comedor,2,0),IF(M$5='Conceptos Desglosados'!$H$6,VLOOKUP($A329,alojamiento,2,0),IF(M$5='Conceptos Desglosados'!$H$7,VLOOKUP($A329,sanidad,2,0),IF(M$5='Conceptos Desglosados'!$H$8,VLOOKUP($A329,servicios,2,0),IF(M$5='Conceptos Desglosados'!$H$9,VLOOKUP($A329,comyaloj,2,0),IF(M$5='Conceptos Desglosados'!$H$10,VLOOKUP($A329,comandancia,2,0),IF(M$5='Conceptos Desglosados'!$H$11,VLOOKUP($A329,mantenimiento,2,0),IF(M$5='Conceptos Desglosados'!$H$12,VLOOKUP($A329,serestatal,2,0),IF(M$5='Conceptos Desglosados'!$H$13,VLOOKUP($A329,conferencias,2,0),"")))))))))),"")*M$3,"")</f>
        <v/>
      </c>
      <c r="O329">
        <f>SUM(K329:M329)</f>
        <v>0</v>
      </c>
    </row>
    <row r="330" spans="1:15" x14ac:dyDescent="0.35">
      <c r="A330">
        <v>325</v>
      </c>
      <c r="B330" t="s">
        <v>10</v>
      </c>
      <c r="C330" t="s">
        <v>1151</v>
      </c>
      <c r="D330" t="s">
        <v>1152</v>
      </c>
      <c r="E330" t="s">
        <v>1185</v>
      </c>
      <c r="F330" t="s">
        <v>1011</v>
      </c>
      <c r="G330" t="s">
        <v>0</v>
      </c>
      <c r="H330">
        <v>1.46</v>
      </c>
      <c r="I330">
        <v>2.7149999999999999</v>
      </c>
      <c r="J330" t="s">
        <v>6</v>
      </c>
      <c r="K330" t="str">
        <f>IFERROR(IFERROR(IF(K$5='Conceptos Desglosados'!$H$4,VLOOKUP($A330,dormitorios,2,0),IF(K$5='Conceptos Desglosados'!$H$5,VLOOKUP($A330,comedor,2,0),IF(K$5='Conceptos Desglosados'!$H$6,VLOOKUP($A330,alojamiento,2,0),IF(K$5='Conceptos Desglosados'!$H$7,VLOOKUP($A330,sanidad,2,0),IF(K$5='Conceptos Desglosados'!$H$8,VLOOKUP($A330,servicios,2,0),IF(K$5='Conceptos Desglosados'!$H$9,VLOOKUP($A330,comyaloj,2,0),IF(K$5='Conceptos Desglosados'!$H$10,VLOOKUP($A330,comandancia,2,0),IF(K$5='Conceptos Desglosados'!$H$11,VLOOKUP($A330,mantenimiento,2,0),IF(K$5='Conceptos Desglosados'!$H$12,VLOOKUP($A330,serestatal,2,0),IF(K$5='Conceptos Desglosados'!$H$13,VLOOKUP($A330,conferencias,2,0),"")))))))))),"")*K$3,"")</f>
        <v/>
      </c>
      <c r="L330" t="str">
        <f>IFERROR(IFERROR(IF(L$5='Conceptos Desglosados'!$H$4,VLOOKUP($A330,dormitorios,2,0),IF(L$5='Conceptos Desglosados'!$H$5,VLOOKUP($A330,comedor,2,0),IF(L$5='Conceptos Desglosados'!$H$6,VLOOKUP($A330,alojamiento,2,0),IF(L$5='Conceptos Desglosados'!$H$7,VLOOKUP($A330,sanidad,2,0),IF(L$5='Conceptos Desglosados'!$H$8,VLOOKUP($A330,servicios,2,0),IF(L$5='Conceptos Desglosados'!$H$9,VLOOKUP($A330,comyaloj,2,0),IF(L$5='Conceptos Desglosados'!$H$10,VLOOKUP($A330,comandancia,2,0),IF(L$5='Conceptos Desglosados'!$H$11,VLOOKUP($A330,mantenimiento,2,0),IF(L$5='Conceptos Desglosados'!$H$12,VLOOKUP($A330,serestatal,2,0),IF(L$5='Conceptos Desglosados'!$H$13,VLOOKUP($A330,conferencias,2,0),"")))))))))),"")*L$3,"")</f>
        <v/>
      </c>
      <c r="M330" t="str">
        <f>IFERROR(IFERROR(IF(M$5='Conceptos Desglosados'!$H$4,VLOOKUP($A330,dormitorios,2,0),IF(M$5='Conceptos Desglosados'!$H$5,VLOOKUP($A330,comedor,2,0),IF(M$5='Conceptos Desglosados'!$H$6,VLOOKUP($A330,alojamiento,2,0),IF(M$5='Conceptos Desglosados'!$H$7,VLOOKUP($A330,sanidad,2,0),IF(M$5='Conceptos Desglosados'!$H$8,VLOOKUP($A330,servicios,2,0),IF(M$5='Conceptos Desglosados'!$H$9,VLOOKUP($A330,comyaloj,2,0),IF(M$5='Conceptos Desglosados'!$H$10,VLOOKUP($A330,comandancia,2,0),IF(M$5='Conceptos Desglosados'!$H$11,VLOOKUP($A330,mantenimiento,2,0),IF(M$5='Conceptos Desglosados'!$H$12,VLOOKUP($A330,serestatal,2,0),IF(M$5='Conceptos Desglosados'!$H$13,VLOOKUP($A330,conferencias,2,0),"")))))))))),"")*M$3,"")</f>
        <v/>
      </c>
      <c r="O330">
        <f>SUM(K330:M330)</f>
        <v>0</v>
      </c>
    </row>
    <row r="331" spans="1:15" x14ac:dyDescent="0.35">
      <c r="A331">
        <v>326</v>
      </c>
      <c r="B331" t="s">
        <v>10</v>
      </c>
      <c r="C331" t="s">
        <v>1157</v>
      </c>
      <c r="D331" t="s">
        <v>1158</v>
      </c>
      <c r="E331" t="s">
        <v>1186</v>
      </c>
      <c r="F331" t="s">
        <v>1011</v>
      </c>
      <c r="G331" t="s">
        <v>2</v>
      </c>
      <c r="H331">
        <v>1.99</v>
      </c>
      <c r="I331">
        <v>2.7149999999999999</v>
      </c>
      <c r="J331" t="s">
        <v>6</v>
      </c>
      <c r="K331" t="str">
        <f>IFERROR(IFERROR(IF(K$5='Conceptos Desglosados'!$H$4,VLOOKUP($A331,dormitorios,2,0),IF(K$5='Conceptos Desglosados'!$H$5,VLOOKUP($A331,comedor,2,0),IF(K$5='Conceptos Desglosados'!$H$6,VLOOKUP($A331,alojamiento,2,0),IF(K$5='Conceptos Desglosados'!$H$7,VLOOKUP($A331,sanidad,2,0),IF(K$5='Conceptos Desglosados'!$H$8,VLOOKUP($A331,servicios,2,0),IF(K$5='Conceptos Desglosados'!$H$9,VLOOKUP($A331,comyaloj,2,0),IF(K$5='Conceptos Desglosados'!$H$10,VLOOKUP($A331,comandancia,2,0),IF(K$5='Conceptos Desglosados'!$H$11,VLOOKUP($A331,mantenimiento,2,0),IF(K$5='Conceptos Desglosados'!$H$12,VLOOKUP($A331,serestatal,2,0),IF(K$5='Conceptos Desglosados'!$H$13,VLOOKUP($A331,conferencias,2,0),"")))))))))),"")*K$3,"")</f>
        <v/>
      </c>
      <c r="L331" t="str">
        <f>IFERROR(IFERROR(IF(L$5='Conceptos Desglosados'!$H$4,VLOOKUP($A331,dormitorios,2,0),IF(L$5='Conceptos Desglosados'!$H$5,VLOOKUP($A331,comedor,2,0),IF(L$5='Conceptos Desglosados'!$H$6,VLOOKUP($A331,alojamiento,2,0),IF(L$5='Conceptos Desglosados'!$H$7,VLOOKUP($A331,sanidad,2,0),IF(L$5='Conceptos Desglosados'!$H$8,VLOOKUP($A331,servicios,2,0),IF(L$5='Conceptos Desglosados'!$H$9,VLOOKUP($A331,comyaloj,2,0),IF(L$5='Conceptos Desglosados'!$H$10,VLOOKUP($A331,comandancia,2,0),IF(L$5='Conceptos Desglosados'!$H$11,VLOOKUP($A331,mantenimiento,2,0),IF(L$5='Conceptos Desglosados'!$H$12,VLOOKUP($A331,serestatal,2,0),IF(L$5='Conceptos Desglosados'!$H$13,VLOOKUP($A331,conferencias,2,0),"")))))))))),"")*L$3,"")</f>
        <v/>
      </c>
      <c r="M331" t="str">
        <f>IFERROR(IFERROR(IF(M$5='Conceptos Desglosados'!$H$4,VLOOKUP($A331,dormitorios,2,0),IF(M$5='Conceptos Desglosados'!$H$5,VLOOKUP($A331,comedor,2,0),IF(M$5='Conceptos Desglosados'!$H$6,VLOOKUP($A331,alojamiento,2,0),IF(M$5='Conceptos Desglosados'!$H$7,VLOOKUP($A331,sanidad,2,0),IF(M$5='Conceptos Desglosados'!$H$8,VLOOKUP($A331,servicios,2,0),IF(M$5='Conceptos Desglosados'!$H$9,VLOOKUP($A331,comyaloj,2,0),IF(M$5='Conceptos Desglosados'!$H$10,VLOOKUP($A331,comandancia,2,0),IF(M$5='Conceptos Desglosados'!$H$11,VLOOKUP($A331,mantenimiento,2,0),IF(M$5='Conceptos Desglosados'!$H$12,VLOOKUP($A331,serestatal,2,0),IF(M$5='Conceptos Desglosados'!$H$13,VLOOKUP($A331,conferencias,2,0),"")))))))))),"")*M$3,"")</f>
        <v/>
      </c>
      <c r="O331">
        <f>SUM(K331:M331)</f>
        <v>0</v>
      </c>
    </row>
    <row r="332" spans="1:15" x14ac:dyDescent="0.35">
      <c r="A332">
        <v>327</v>
      </c>
      <c r="B332" t="s">
        <v>10</v>
      </c>
      <c r="C332" t="s">
        <v>1163</v>
      </c>
      <c r="D332" t="s">
        <v>1164</v>
      </c>
      <c r="E332" t="s">
        <v>1185</v>
      </c>
      <c r="F332" t="s">
        <v>1011</v>
      </c>
      <c r="G332" t="s">
        <v>0</v>
      </c>
      <c r="H332">
        <v>1.5089999999999999</v>
      </c>
      <c r="I332">
        <v>2.7149999999999999</v>
      </c>
      <c r="J332" t="s">
        <v>6</v>
      </c>
      <c r="K332" t="str">
        <f>IFERROR(IFERROR(IF(K$5='Conceptos Desglosados'!$H$4,VLOOKUP($A332,dormitorios,2,0),IF(K$5='Conceptos Desglosados'!$H$5,VLOOKUP($A332,comedor,2,0),IF(K$5='Conceptos Desglosados'!$H$6,VLOOKUP($A332,alojamiento,2,0),IF(K$5='Conceptos Desglosados'!$H$7,VLOOKUP($A332,sanidad,2,0),IF(K$5='Conceptos Desglosados'!$H$8,VLOOKUP($A332,servicios,2,0),IF(K$5='Conceptos Desglosados'!$H$9,VLOOKUP($A332,comyaloj,2,0),IF(K$5='Conceptos Desglosados'!$H$10,VLOOKUP($A332,comandancia,2,0),IF(K$5='Conceptos Desglosados'!$H$11,VLOOKUP($A332,mantenimiento,2,0),IF(K$5='Conceptos Desglosados'!$H$12,VLOOKUP($A332,serestatal,2,0),IF(K$5='Conceptos Desglosados'!$H$13,VLOOKUP($A332,conferencias,2,0),"")))))))))),"")*K$3,"")</f>
        <v/>
      </c>
      <c r="L332" t="str">
        <f>IFERROR(IFERROR(IF(L$5='Conceptos Desglosados'!$H$4,VLOOKUP($A332,dormitorios,2,0),IF(L$5='Conceptos Desglosados'!$H$5,VLOOKUP($A332,comedor,2,0),IF(L$5='Conceptos Desglosados'!$H$6,VLOOKUP($A332,alojamiento,2,0),IF(L$5='Conceptos Desglosados'!$H$7,VLOOKUP($A332,sanidad,2,0),IF(L$5='Conceptos Desglosados'!$H$8,VLOOKUP($A332,servicios,2,0),IF(L$5='Conceptos Desglosados'!$H$9,VLOOKUP($A332,comyaloj,2,0),IF(L$5='Conceptos Desglosados'!$H$10,VLOOKUP($A332,comandancia,2,0),IF(L$5='Conceptos Desglosados'!$H$11,VLOOKUP($A332,mantenimiento,2,0),IF(L$5='Conceptos Desglosados'!$H$12,VLOOKUP($A332,serestatal,2,0),IF(L$5='Conceptos Desglosados'!$H$13,VLOOKUP($A332,conferencias,2,0),"")))))))))),"")*L$3,"")</f>
        <v/>
      </c>
      <c r="M332" t="str">
        <f>IFERROR(IFERROR(IF(M$5='Conceptos Desglosados'!$H$4,VLOOKUP($A332,dormitorios,2,0),IF(M$5='Conceptos Desglosados'!$H$5,VLOOKUP($A332,comedor,2,0),IF(M$5='Conceptos Desglosados'!$H$6,VLOOKUP($A332,alojamiento,2,0),IF(M$5='Conceptos Desglosados'!$H$7,VLOOKUP($A332,sanidad,2,0),IF(M$5='Conceptos Desglosados'!$H$8,VLOOKUP($A332,servicios,2,0),IF(M$5='Conceptos Desglosados'!$H$9,VLOOKUP($A332,comyaloj,2,0),IF(M$5='Conceptos Desglosados'!$H$10,VLOOKUP($A332,comandancia,2,0),IF(M$5='Conceptos Desglosados'!$H$11,VLOOKUP($A332,mantenimiento,2,0),IF(M$5='Conceptos Desglosados'!$H$12,VLOOKUP($A332,serestatal,2,0),IF(M$5='Conceptos Desglosados'!$H$13,VLOOKUP($A332,conferencias,2,0),"")))))))))),"")*M$3,"")</f>
        <v/>
      </c>
      <c r="O332">
        <f>SUM(K332:M332)</f>
        <v>0</v>
      </c>
    </row>
    <row r="333" spans="1:15" x14ac:dyDescent="0.35">
      <c r="A333">
        <v>328</v>
      </c>
      <c r="B333" t="s">
        <v>10</v>
      </c>
      <c r="C333" t="s">
        <v>1173</v>
      </c>
      <c r="D333" t="s">
        <v>1174</v>
      </c>
      <c r="E333" t="s">
        <v>1063</v>
      </c>
      <c r="F333" t="s">
        <v>883</v>
      </c>
      <c r="G333" t="s">
        <v>0</v>
      </c>
      <c r="H333">
        <v>1.9159999999999999</v>
      </c>
      <c r="I333">
        <v>2.7149999999999999</v>
      </c>
      <c r="J333" t="s">
        <v>6</v>
      </c>
      <c r="K333" t="str">
        <f>IFERROR(IFERROR(IF(K$5='Conceptos Desglosados'!$H$4,VLOOKUP($A333,dormitorios,2,0),IF(K$5='Conceptos Desglosados'!$H$5,VLOOKUP($A333,comedor,2,0),IF(K$5='Conceptos Desglosados'!$H$6,VLOOKUP($A333,alojamiento,2,0),IF(K$5='Conceptos Desglosados'!$H$7,VLOOKUP($A333,sanidad,2,0),IF(K$5='Conceptos Desglosados'!$H$8,VLOOKUP($A333,servicios,2,0),IF(K$5='Conceptos Desglosados'!$H$9,VLOOKUP($A333,comyaloj,2,0),IF(K$5='Conceptos Desglosados'!$H$10,VLOOKUP($A333,comandancia,2,0),IF(K$5='Conceptos Desglosados'!$H$11,VLOOKUP($A333,mantenimiento,2,0),IF(K$5='Conceptos Desglosados'!$H$12,VLOOKUP($A333,serestatal,2,0),IF(K$5='Conceptos Desglosados'!$H$13,VLOOKUP($A333,conferencias,2,0),"")))))))))),"")*K$3,"")</f>
        <v/>
      </c>
      <c r="L333" t="str">
        <f>IFERROR(IFERROR(IF(L$5='Conceptos Desglosados'!$H$4,VLOOKUP($A333,dormitorios,2,0),IF(L$5='Conceptos Desglosados'!$H$5,VLOOKUP($A333,comedor,2,0),IF(L$5='Conceptos Desglosados'!$H$6,VLOOKUP($A333,alojamiento,2,0),IF(L$5='Conceptos Desglosados'!$H$7,VLOOKUP($A333,sanidad,2,0),IF(L$5='Conceptos Desglosados'!$H$8,VLOOKUP($A333,servicios,2,0),IF(L$5='Conceptos Desglosados'!$H$9,VLOOKUP($A333,comyaloj,2,0),IF(L$5='Conceptos Desglosados'!$H$10,VLOOKUP($A333,comandancia,2,0),IF(L$5='Conceptos Desglosados'!$H$11,VLOOKUP($A333,mantenimiento,2,0),IF(L$5='Conceptos Desglosados'!$H$12,VLOOKUP($A333,serestatal,2,0),IF(L$5='Conceptos Desglosados'!$H$13,VLOOKUP($A333,conferencias,2,0),"")))))))))),"")*L$3,"")</f>
        <v/>
      </c>
      <c r="M333" t="str">
        <f>IFERROR(IFERROR(IF(M$5='Conceptos Desglosados'!$H$4,VLOOKUP($A333,dormitorios,2,0),IF(M$5='Conceptos Desglosados'!$H$5,VLOOKUP($A333,comedor,2,0),IF(M$5='Conceptos Desglosados'!$H$6,VLOOKUP($A333,alojamiento,2,0),IF(M$5='Conceptos Desglosados'!$H$7,VLOOKUP($A333,sanidad,2,0),IF(M$5='Conceptos Desglosados'!$H$8,VLOOKUP($A333,servicios,2,0),IF(M$5='Conceptos Desglosados'!$H$9,VLOOKUP($A333,comyaloj,2,0),IF(M$5='Conceptos Desglosados'!$H$10,VLOOKUP($A333,comandancia,2,0),IF(M$5='Conceptos Desglosados'!$H$11,VLOOKUP($A333,mantenimiento,2,0),IF(M$5='Conceptos Desglosados'!$H$12,VLOOKUP($A333,serestatal,2,0),IF(M$5='Conceptos Desglosados'!$H$13,VLOOKUP($A333,conferencias,2,0),"")))))))))),"")*M$3,"")</f>
        <v/>
      </c>
      <c r="O333">
        <f>SUM(K333:M333)</f>
        <v>0</v>
      </c>
    </row>
    <row r="334" spans="1:15" x14ac:dyDescent="0.35">
      <c r="A334">
        <v>329</v>
      </c>
      <c r="B334" t="s">
        <v>10</v>
      </c>
      <c r="C334" t="s">
        <v>1175</v>
      </c>
      <c r="D334" t="s">
        <v>1176</v>
      </c>
      <c r="E334" t="s">
        <v>1063</v>
      </c>
      <c r="F334" t="s">
        <v>1127</v>
      </c>
      <c r="G334" t="s">
        <v>0</v>
      </c>
      <c r="H334">
        <v>1.968</v>
      </c>
      <c r="I334">
        <v>2.7149999999999999</v>
      </c>
      <c r="J334" t="s">
        <v>6</v>
      </c>
      <c r="K334" t="str">
        <f>IFERROR(IFERROR(IF(K$5='Conceptos Desglosados'!$H$4,VLOOKUP($A334,dormitorios,2,0),IF(K$5='Conceptos Desglosados'!$H$5,VLOOKUP($A334,comedor,2,0),IF(K$5='Conceptos Desglosados'!$H$6,VLOOKUP($A334,alojamiento,2,0),IF(K$5='Conceptos Desglosados'!$H$7,VLOOKUP($A334,sanidad,2,0),IF(K$5='Conceptos Desglosados'!$H$8,VLOOKUP($A334,servicios,2,0),IF(K$5='Conceptos Desglosados'!$H$9,VLOOKUP($A334,comyaloj,2,0),IF(K$5='Conceptos Desglosados'!$H$10,VLOOKUP($A334,comandancia,2,0),IF(K$5='Conceptos Desglosados'!$H$11,VLOOKUP($A334,mantenimiento,2,0),IF(K$5='Conceptos Desglosados'!$H$12,VLOOKUP($A334,serestatal,2,0),IF(K$5='Conceptos Desglosados'!$H$13,VLOOKUP($A334,conferencias,2,0),"")))))))))),"")*K$3,"")</f>
        <v/>
      </c>
      <c r="L334" t="str">
        <f>IFERROR(IFERROR(IF(L$5='Conceptos Desglosados'!$H$4,VLOOKUP($A334,dormitorios,2,0),IF(L$5='Conceptos Desglosados'!$H$5,VLOOKUP($A334,comedor,2,0),IF(L$5='Conceptos Desglosados'!$H$6,VLOOKUP($A334,alojamiento,2,0),IF(L$5='Conceptos Desglosados'!$H$7,VLOOKUP($A334,sanidad,2,0),IF(L$5='Conceptos Desglosados'!$H$8,VLOOKUP($A334,servicios,2,0),IF(L$5='Conceptos Desglosados'!$H$9,VLOOKUP($A334,comyaloj,2,0),IF(L$5='Conceptos Desglosados'!$H$10,VLOOKUP($A334,comandancia,2,0),IF(L$5='Conceptos Desglosados'!$H$11,VLOOKUP($A334,mantenimiento,2,0),IF(L$5='Conceptos Desglosados'!$H$12,VLOOKUP($A334,serestatal,2,0),IF(L$5='Conceptos Desglosados'!$H$13,VLOOKUP($A334,conferencias,2,0),"")))))))))),"")*L$3,"")</f>
        <v/>
      </c>
      <c r="M334" t="str">
        <f>IFERROR(IFERROR(IF(M$5='Conceptos Desglosados'!$H$4,VLOOKUP($A334,dormitorios,2,0),IF(M$5='Conceptos Desglosados'!$H$5,VLOOKUP($A334,comedor,2,0),IF(M$5='Conceptos Desglosados'!$H$6,VLOOKUP($A334,alojamiento,2,0),IF(M$5='Conceptos Desglosados'!$H$7,VLOOKUP($A334,sanidad,2,0),IF(M$5='Conceptos Desglosados'!$H$8,VLOOKUP($A334,servicios,2,0),IF(M$5='Conceptos Desglosados'!$H$9,VLOOKUP($A334,comyaloj,2,0),IF(M$5='Conceptos Desglosados'!$H$10,VLOOKUP($A334,comandancia,2,0),IF(M$5='Conceptos Desglosados'!$H$11,VLOOKUP($A334,mantenimiento,2,0),IF(M$5='Conceptos Desglosados'!$H$12,VLOOKUP($A334,serestatal,2,0),IF(M$5='Conceptos Desglosados'!$H$13,VLOOKUP($A334,conferencias,2,0),"")))))))))),"")*M$3,"")</f>
        <v/>
      </c>
      <c r="O334">
        <f>SUM(K334:M334)</f>
        <v>0</v>
      </c>
    </row>
    <row r="335" spans="1:15" x14ac:dyDescent="0.35">
      <c r="A335">
        <v>330</v>
      </c>
      <c r="B335" t="s">
        <v>10</v>
      </c>
      <c r="C335" t="s">
        <v>1182</v>
      </c>
      <c r="D335" t="s">
        <v>1222</v>
      </c>
      <c r="E335" t="s">
        <v>1062</v>
      </c>
      <c r="F335" t="s">
        <v>1127</v>
      </c>
      <c r="G335" t="s">
        <v>0</v>
      </c>
      <c r="H335">
        <v>2.02</v>
      </c>
      <c r="I335">
        <v>2.7149999999999999</v>
      </c>
      <c r="J335" t="s">
        <v>6</v>
      </c>
      <c r="K335" t="str">
        <f>IFERROR(IFERROR(IF(K$5='Conceptos Desglosados'!$H$4,VLOOKUP($A335,dormitorios,2,0),IF(K$5='Conceptos Desglosados'!$H$5,VLOOKUP($A335,comedor,2,0),IF(K$5='Conceptos Desglosados'!$H$6,VLOOKUP($A335,alojamiento,2,0),IF(K$5='Conceptos Desglosados'!$H$7,VLOOKUP($A335,sanidad,2,0),IF(K$5='Conceptos Desglosados'!$H$8,VLOOKUP($A335,servicios,2,0),IF(K$5='Conceptos Desglosados'!$H$9,VLOOKUP($A335,comyaloj,2,0),IF(K$5='Conceptos Desglosados'!$H$10,VLOOKUP($A335,comandancia,2,0),IF(K$5='Conceptos Desglosados'!$H$11,VLOOKUP($A335,mantenimiento,2,0),IF(K$5='Conceptos Desglosados'!$H$12,VLOOKUP($A335,serestatal,2,0),IF(K$5='Conceptos Desglosados'!$H$13,VLOOKUP($A335,conferencias,2,0),"")))))))))),"")*K$3,"")</f>
        <v/>
      </c>
      <c r="L335" t="str">
        <f>IFERROR(IFERROR(IF(L$5='Conceptos Desglosados'!$H$4,VLOOKUP($A335,dormitorios,2,0),IF(L$5='Conceptos Desglosados'!$H$5,VLOOKUP($A335,comedor,2,0),IF(L$5='Conceptos Desglosados'!$H$6,VLOOKUP($A335,alojamiento,2,0),IF(L$5='Conceptos Desglosados'!$H$7,VLOOKUP($A335,sanidad,2,0),IF(L$5='Conceptos Desglosados'!$H$8,VLOOKUP($A335,servicios,2,0),IF(L$5='Conceptos Desglosados'!$H$9,VLOOKUP($A335,comyaloj,2,0),IF(L$5='Conceptos Desglosados'!$H$10,VLOOKUP($A335,comandancia,2,0),IF(L$5='Conceptos Desglosados'!$H$11,VLOOKUP($A335,mantenimiento,2,0),IF(L$5='Conceptos Desglosados'!$H$12,VLOOKUP($A335,serestatal,2,0),IF(L$5='Conceptos Desglosados'!$H$13,VLOOKUP($A335,conferencias,2,0),"")))))))))),"")*L$3,"")</f>
        <v/>
      </c>
      <c r="M335" t="str">
        <f>IFERROR(IFERROR(IF(M$5='Conceptos Desglosados'!$H$4,VLOOKUP($A335,dormitorios,2,0),IF(M$5='Conceptos Desglosados'!$H$5,VLOOKUP($A335,comedor,2,0),IF(M$5='Conceptos Desglosados'!$H$6,VLOOKUP($A335,alojamiento,2,0),IF(M$5='Conceptos Desglosados'!$H$7,VLOOKUP($A335,sanidad,2,0),IF(M$5='Conceptos Desglosados'!$H$8,VLOOKUP($A335,servicios,2,0),IF(M$5='Conceptos Desglosados'!$H$9,VLOOKUP($A335,comyaloj,2,0),IF(M$5='Conceptos Desglosados'!$H$10,VLOOKUP($A335,comandancia,2,0),IF(M$5='Conceptos Desglosados'!$H$11,VLOOKUP($A335,mantenimiento,2,0),IF(M$5='Conceptos Desglosados'!$H$12,VLOOKUP($A335,serestatal,2,0),IF(M$5='Conceptos Desglosados'!$H$13,VLOOKUP($A335,conferencias,2,0),"")))))))))),"")*M$3,"")</f>
        <v/>
      </c>
      <c r="O335">
        <f>SUM(K335:M335)</f>
        <v>0</v>
      </c>
    </row>
    <row r="336" spans="1:15" x14ac:dyDescent="0.35">
      <c r="A336">
        <v>331</v>
      </c>
      <c r="B336" t="s">
        <v>10</v>
      </c>
      <c r="C336" t="s">
        <v>1183</v>
      </c>
      <c r="D336" t="s">
        <v>1223</v>
      </c>
      <c r="E336" t="s">
        <v>1187</v>
      </c>
      <c r="F336" t="s">
        <v>1127</v>
      </c>
      <c r="G336" t="s">
        <v>0</v>
      </c>
      <c r="H336">
        <v>2.09</v>
      </c>
      <c r="I336">
        <v>2.7149999999999999</v>
      </c>
      <c r="J336" t="s">
        <v>6</v>
      </c>
      <c r="K336" t="str">
        <f>IFERROR(IFERROR(IF(K$5='Conceptos Desglosados'!$H$4,VLOOKUP($A336,dormitorios,2,0),IF(K$5='Conceptos Desglosados'!$H$5,VLOOKUP($A336,comedor,2,0),IF(K$5='Conceptos Desglosados'!$H$6,VLOOKUP($A336,alojamiento,2,0),IF(K$5='Conceptos Desglosados'!$H$7,VLOOKUP($A336,sanidad,2,0),IF(K$5='Conceptos Desglosados'!$H$8,VLOOKUP($A336,servicios,2,0),IF(K$5='Conceptos Desglosados'!$H$9,VLOOKUP($A336,comyaloj,2,0),IF(K$5='Conceptos Desglosados'!$H$10,VLOOKUP($A336,comandancia,2,0),IF(K$5='Conceptos Desglosados'!$H$11,VLOOKUP($A336,mantenimiento,2,0),IF(K$5='Conceptos Desglosados'!$H$12,VLOOKUP($A336,serestatal,2,0),IF(K$5='Conceptos Desglosados'!$H$13,VLOOKUP($A336,conferencias,2,0),"")))))))))),"")*K$3,"")</f>
        <v/>
      </c>
      <c r="L336" t="str">
        <f>IFERROR(IFERROR(IF(L$5='Conceptos Desglosados'!$H$4,VLOOKUP($A336,dormitorios,2,0),IF(L$5='Conceptos Desglosados'!$H$5,VLOOKUP($A336,comedor,2,0),IF(L$5='Conceptos Desglosados'!$H$6,VLOOKUP($A336,alojamiento,2,0),IF(L$5='Conceptos Desglosados'!$H$7,VLOOKUP($A336,sanidad,2,0),IF(L$5='Conceptos Desglosados'!$H$8,VLOOKUP($A336,servicios,2,0),IF(L$5='Conceptos Desglosados'!$H$9,VLOOKUP($A336,comyaloj,2,0),IF(L$5='Conceptos Desglosados'!$H$10,VLOOKUP($A336,comandancia,2,0),IF(L$5='Conceptos Desglosados'!$H$11,VLOOKUP($A336,mantenimiento,2,0),IF(L$5='Conceptos Desglosados'!$H$12,VLOOKUP($A336,serestatal,2,0),IF(L$5='Conceptos Desglosados'!$H$13,VLOOKUP($A336,conferencias,2,0),"")))))))))),"")*L$3,"")</f>
        <v/>
      </c>
      <c r="M336" t="str">
        <f>IFERROR(IFERROR(IF(M$5='Conceptos Desglosados'!$H$4,VLOOKUP($A336,dormitorios,2,0),IF(M$5='Conceptos Desglosados'!$H$5,VLOOKUP($A336,comedor,2,0),IF(M$5='Conceptos Desglosados'!$H$6,VLOOKUP($A336,alojamiento,2,0),IF(M$5='Conceptos Desglosados'!$H$7,VLOOKUP($A336,sanidad,2,0),IF(M$5='Conceptos Desglosados'!$H$8,VLOOKUP($A336,servicios,2,0),IF(M$5='Conceptos Desglosados'!$H$9,VLOOKUP($A336,comyaloj,2,0),IF(M$5='Conceptos Desglosados'!$H$10,VLOOKUP($A336,comandancia,2,0),IF(M$5='Conceptos Desglosados'!$H$11,VLOOKUP($A336,mantenimiento,2,0),IF(M$5='Conceptos Desglosados'!$H$12,VLOOKUP($A336,serestatal,2,0),IF(M$5='Conceptos Desglosados'!$H$13,VLOOKUP($A336,conferencias,2,0),"")))))))))),"")*M$3,"")</f>
        <v/>
      </c>
      <c r="O336">
        <f>SUM(K336:M336)</f>
        <v>0</v>
      </c>
    </row>
    <row r="337" spans="1:15" x14ac:dyDescent="0.35">
      <c r="A337">
        <v>332</v>
      </c>
      <c r="B337" t="s">
        <v>10</v>
      </c>
      <c r="C337" t="s">
        <v>1221</v>
      </c>
      <c r="D337" t="s">
        <v>1224</v>
      </c>
      <c r="E337" t="s">
        <v>1063</v>
      </c>
      <c r="F337" t="s">
        <v>1127</v>
      </c>
      <c r="G337" t="s">
        <v>2</v>
      </c>
      <c r="H337">
        <v>1.986</v>
      </c>
      <c r="I337">
        <v>3</v>
      </c>
      <c r="J337" t="s">
        <v>6</v>
      </c>
      <c r="K337" t="str">
        <f>IFERROR(IFERROR(IF(K$5='Conceptos Desglosados'!$H$4,VLOOKUP($A337,dormitorios,2,0),IF(K$5='Conceptos Desglosados'!$H$5,VLOOKUP($A337,comedor,2,0),IF(K$5='Conceptos Desglosados'!$H$6,VLOOKUP($A337,alojamiento,2,0),IF(K$5='Conceptos Desglosados'!$H$7,VLOOKUP($A337,sanidad,2,0),IF(K$5='Conceptos Desglosados'!$H$8,VLOOKUP($A337,servicios,2,0),IF(K$5='Conceptos Desglosados'!$H$9,VLOOKUP($A337,comyaloj,2,0),IF(K$5='Conceptos Desglosados'!$H$10,VLOOKUP($A337,comandancia,2,0),IF(K$5='Conceptos Desglosados'!$H$11,VLOOKUP($A337,mantenimiento,2,0),IF(K$5='Conceptos Desglosados'!$H$12,VLOOKUP($A337,serestatal,2,0),IF(K$5='Conceptos Desglosados'!$H$13,VLOOKUP($A337,conferencias,2,0),"")))))))))),"")*K$3,"")</f>
        <v/>
      </c>
      <c r="L337" t="str">
        <f>IFERROR(IFERROR(IF(L$5='Conceptos Desglosados'!$H$4,VLOOKUP($A337,dormitorios,2,0),IF(L$5='Conceptos Desglosados'!$H$5,VLOOKUP($A337,comedor,2,0),IF(L$5='Conceptos Desglosados'!$H$6,VLOOKUP($A337,alojamiento,2,0),IF(L$5='Conceptos Desglosados'!$H$7,VLOOKUP($A337,sanidad,2,0),IF(L$5='Conceptos Desglosados'!$H$8,VLOOKUP($A337,servicios,2,0),IF(L$5='Conceptos Desglosados'!$H$9,VLOOKUP($A337,comyaloj,2,0),IF(L$5='Conceptos Desglosados'!$H$10,VLOOKUP($A337,comandancia,2,0),IF(L$5='Conceptos Desglosados'!$H$11,VLOOKUP($A337,mantenimiento,2,0),IF(L$5='Conceptos Desglosados'!$H$12,VLOOKUP($A337,serestatal,2,0),IF(L$5='Conceptos Desglosados'!$H$13,VLOOKUP($A337,conferencias,2,0),"")))))))))),"")*L$3,"")</f>
        <v/>
      </c>
      <c r="M337" t="str">
        <f>IFERROR(IFERROR(IF(M$5='Conceptos Desglosados'!$H$4,VLOOKUP($A337,dormitorios,2,0),IF(M$5='Conceptos Desglosados'!$H$5,VLOOKUP($A337,comedor,2,0),IF(M$5='Conceptos Desglosados'!$H$6,VLOOKUP($A337,alojamiento,2,0),IF(M$5='Conceptos Desglosados'!$H$7,VLOOKUP($A337,sanidad,2,0),IF(M$5='Conceptos Desglosados'!$H$8,VLOOKUP($A337,servicios,2,0),IF(M$5='Conceptos Desglosados'!$H$9,VLOOKUP($A337,comyaloj,2,0),IF(M$5='Conceptos Desglosados'!$H$10,VLOOKUP($A337,comandancia,2,0),IF(M$5='Conceptos Desglosados'!$H$11,VLOOKUP($A337,mantenimiento,2,0),IF(M$5='Conceptos Desglosados'!$H$12,VLOOKUP($A337,serestatal,2,0),IF(M$5='Conceptos Desglosados'!$H$13,VLOOKUP($A337,conferencias,2,0),"")))))))))),"")*M$3,"")</f>
        <v/>
      </c>
      <c r="O337">
        <f>SUM(K337:M337)</f>
        <v>0</v>
      </c>
    </row>
    <row r="338" spans="1:15" x14ac:dyDescent="0.35">
      <c r="A338">
        <v>333</v>
      </c>
      <c r="B338" t="s">
        <v>10</v>
      </c>
      <c r="C338" t="s">
        <v>1225</v>
      </c>
      <c r="D338" t="s">
        <v>1226</v>
      </c>
      <c r="E338" t="s">
        <v>1063</v>
      </c>
      <c r="F338" t="s">
        <v>1127</v>
      </c>
      <c r="G338" t="s">
        <v>0</v>
      </c>
      <c r="H338">
        <v>2.08</v>
      </c>
      <c r="I338">
        <v>3</v>
      </c>
      <c r="J338" t="s">
        <v>6</v>
      </c>
      <c r="K338" t="str">
        <f>IFERROR(IFERROR(IF(K$5='Conceptos Desglosados'!$H$4,VLOOKUP($A338,dormitorios,2,0),IF(K$5='Conceptos Desglosados'!$H$5,VLOOKUP($A338,comedor,2,0),IF(K$5='Conceptos Desglosados'!$H$6,VLOOKUP($A338,alojamiento,2,0),IF(K$5='Conceptos Desglosados'!$H$7,VLOOKUP($A338,sanidad,2,0),IF(K$5='Conceptos Desglosados'!$H$8,VLOOKUP($A338,servicios,2,0),IF(K$5='Conceptos Desglosados'!$H$9,VLOOKUP($A338,comyaloj,2,0),IF(K$5='Conceptos Desglosados'!$H$10,VLOOKUP($A338,comandancia,2,0),IF(K$5='Conceptos Desglosados'!$H$11,VLOOKUP($A338,mantenimiento,2,0),IF(K$5='Conceptos Desglosados'!$H$12,VLOOKUP($A338,serestatal,2,0),IF(K$5='Conceptos Desglosados'!$H$13,VLOOKUP($A338,conferencias,2,0),"")))))))))),"")*K$3,"")</f>
        <v/>
      </c>
      <c r="L338" t="str">
        <f>IFERROR(IFERROR(IF(L$5='Conceptos Desglosados'!$H$4,VLOOKUP($A338,dormitorios,2,0),IF(L$5='Conceptos Desglosados'!$H$5,VLOOKUP($A338,comedor,2,0),IF(L$5='Conceptos Desglosados'!$H$6,VLOOKUP($A338,alojamiento,2,0),IF(L$5='Conceptos Desglosados'!$H$7,VLOOKUP($A338,sanidad,2,0),IF(L$5='Conceptos Desglosados'!$H$8,VLOOKUP($A338,servicios,2,0),IF(L$5='Conceptos Desglosados'!$H$9,VLOOKUP($A338,comyaloj,2,0),IF(L$5='Conceptos Desglosados'!$H$10,VLOOKUP($A338,comandancia,2,0),IF(L$5='Conceptos Desglosados'!$H$11,VLOOKUP($A338,mantenimiento,2,0),IF(L$5='Conceptos Desglosados'!$H$12,VLOOKUP($A338,serestatal,2,0),IF(L$5='Conceptos Desglosados'!$H$13,VLOOKUP($A338,conferencias,2,0),"")))))))))),"")*L$3,"")</f>
        <v/>
      </c>
      <c r="M338" t="str">
        <f>IFERROR(IFERROR(IF(M$5='Conceptos Desglosados'!$H$4,VLOOKUP($A338,dormitorios,2,0),IF(M$5='Conceptos Desglosados'!$H$5,VLOOKUP($A338,comedor,2,0),IF(M$5='Conceptos Desglosados'!$H$6,VLOOKUP($A338,alojamiento,2,0),IF(M$5='Conceptos Desglosados'!$H$7,VLOOKUP($A338,sanidad,2,0),IF(M$5='Conceptos Desglosados'!$H$8,VLOOKUP($A338,servicios,2,0),IF(M$5='Conceptos Desglosados'!$H$9,VLOOKUP($A338,comyaloj,2,0),IF(M$5='Conceptos Desglosados'!$H$10,VLOOKUP($A338,comandancia,2,0),IF(M$5='Conceptos Desglosados'!$H$11,VLOOKUP($A338,mantenimiento,2,0),IF(M$5='Conceptos Desglosados'!$H$12,VLOOKUP($A338,serestatal,2,0),IF(M$5='Conceptos Desglosados'!$H$13,VLOOKUP($A338,conferencias,2,0),"")))))))))),"")*M$3,"")</f>
        <v/>
      </c>
      <c r="O338">
        <f>SUM(K338:M338)</f>
        <v>0</v>
      </c>
    </row>
    <row r="339" spans="1:15" x14ac:dyDescent="0.35">
      <c r="A339">
        <v>334</v>
      </c>
      <c r="B339" t="s">
        <v>10</v>
      </c>
      <c r="C339" t="s">
        <v>1227</v>
      </c>
      <c r="D339" t="s">
        <v>1228</v>
      </c>
      <c r="E339" t="s">
        <v>1185</v>
      </c>
      <c r="F339" t="s">
        <v>1127</v>
      </c>
      <c r="G339" t="s">
        <v>0</v>
      </c>
      <c r="H339">
        <v>1.915</v>
      </c>
      <c r="I339">
        <v>3</v>
      </c>
      <c r="J339" t="s">
        <v>6</v>
      </c>
      <c r="K339" t="str">
        <f>IFERROR(IFERROR(IF(K$5='Conceptos Desglosados'!$H$4,VLOOKUP($A339,dormitorios,2,0),IF(K$5='Conceptos Desglosados'!$H$5,VLOOKUP($A339,comedor,2,0),IF(K$5='Conceptos Desglosados'!$H$6,VLOOKUP($A339,alojamiento,2,0),IF(K$5='Conceptos Desglosados'!$H$7,VLOOKUP($A339,sanidad,2,0),IF(K$5='Conceptos Desglosados'!$H$8,VLOOKUP($A339,servicios,2,0),IF(K$5='Conceptos Desglosados'!$H$9,VLOOKUP($A339,comyaloj,2,0),IF(K$5='Conceptos Desglosados'!$H$10,VLOOKUP($A339,comandancia,2,0),IF(K$5='Conceptos Desglosados'!$H$11,VLOOKUP($A339,mantenimiento,2,0),IF(K$5='Conceptos Desglosados'!$H$12,VLOOKUP($A339,serestatal,2,0),IF(K$5='Conceptos Desglosados'!$H$13,VLOOKUP($A339,conferencias,2,0),"")))))))))),"")*K$3,"")</f>
        <v/>
      </c>
      <c r="L339" t="str">
        <f>IFERROR(IFERROR(IF(L$5='Conceptos Desglosados'!$H$4,VLOOKUP($A339,dormitorios,2,0),IF(L$5='Conceptos Desglosados'!$H$5,VLOOKUP($A339,comedor,2,0),IF(L$5='Conceptos Desglosados'!$H$6,VLOOKUP($A339,alojamiento,2,0),IF(L$5='Conceptos Desglosados'!$H$7,VLOOKUP($A339,sanidad,2,0),IF(L$5='Conceptos Desglosados'!$H$8,VLOOKUP($A339,servicios,2,0),IF(L$5='Conceptos Desglosados'!$H$9,VLOOKUP($A339,comyaloj,2,0),IF(L$5='Conceptos Desglosados'!$H$10,VLOOKUP($A339,comandancia,2,0),IF(L$5='Conceptos Desglosados'!$H$11,VLOOKUP($A339,mantenimiento,2,0),IF(L$5='Conceptos Desglosados'!$H$12,VLOOKUP($A339,serestatal,2,0),IF(L$5='Conceptos Desglosados'!$H$13,VLOOKUP($A339,conferencias,2,0),"")))))))))),"")*L$3,"")</f>
        <v/>
      </c>
      <c r="M339" t="str">
        <f>IFERROR(IFERROR(IF(M$5='Conceptos Desglosados'!$H$4,VLOOKUP($A339,dormitorios,2,0),IF(M$5='Conceptos Desglosados'!$H$5,VLOOKUP($A339,comedor,2,0),IF(M$5='Conceptos Desglosados'!$H$6,VLOOKUP($A339,alojamiento,2,0),IF(M$5='Conceptos Desglosados'!$H$7,VLOOKUP($A339,sanidad,2,0),IF(M$5='Conceptos Desglosados'!$H$8,VLOOKUP($A339,servicios,2,0),IF(M$5='Conceptos Desglosados'!$H$9,VLOOKUP($A339,comyaloj,2,0),IF(M$5='Conceptos Desglosados'!$H$10,VLOOKUP($A339,comandancia,2,0),IF(M$5='Conceptos Desglosados'!$H$11,VLOOKUP($A339,mantenimiento,2,0),IF(M$5='Conceptos Desglosados'!$H$12,VLOOKUP($A339,serestatal,2,0),IF(M$5='Conceptos Desglosados'!$H$13,VLOOKUP($A339,conferencias,2,0),"")))))))))),"")*M$3,"")</f>
        <v/>
      </c>
      <c r="O339">
        <f>SUM(K339:M339)</f>
        <v>0</v>
      </c>
    </row>
    <row r="340" spans="1:15" x14ac:dyDescent="0.35">
      <c r="A340">
        <v>335</v>
      </c>
      <c r="B340" t="s">
        <v>10</v>
      </c>
      <c r="C340" t="s">
        <v>1229</v>
      </c>
      <c r="D340" t="s">
        <v>1230</v>
      </c>
      <c r="E340" t="s">
        <v>1185</v>
      </c>
      <c r="F340" t="s">
        <v>1127</v>
      </c>
      <c r="G340" t="s">
        <v>0</v>
      </c>
      <c r="H340">
        <v>2.02</v>
      </c>
      <c r="I340">
        <v>3</v>
      </c>
      <c r="J340" t="s">
        <v>6</v>
      </c>
      <c r="K340" t="str">
        <f>IFERROR(IFERROR(IF(K$5='Conceptos Desglosados'!$H$4,VLOOKUP($A340,dormitorios,2,0),IF(K$5='Conceptos Desglosados'!$H$5,VLOOKUP($A340,comedor,2,0),IF(K$5='Conceptos Desglosados'!$H$6,VLOOKUP($A340,alojamiento,2,0),IF(K$5='Conceptos Desglosados'!$H$7,VLOOKUP($A340,sanidad,2,0),IF(K$5='Conceptos Desglosados'!$H$8,VLOOKUP($A340,servicios,2,0),IF(K$5='Conceptos Desglosados'!$H$9,VLOOKUP($A340,comyaloj,2,0),IF(K$5='Conceptos Desglosados'!$H$10,VLOOKUP($A340,comandancia,2,0),IF(K$5='Conceptos Desglosados'!$H$11,VLOOKUP($A340,mantenimiento,2,0),IF(K$5='Conceptos Desglosados'!$H$12,VLOOKUP($A340,serestatal,2,0),IF(K$5='Conceptos Desglosados'!$H$13,VLOOKUP($A340,conferencias,2,0),"")))))))))),"")*K$3,"")</f>
        <v/>
      </c>
      <c r="L340" t="str">
        <f>IFERROR(IFERROR(IF(L$5='Conceptos Desglosados'!$H$4,VLOOKUP($A340,dormitorios,2,0),IF(L$5='Conceptos Desglosados'!$H$5,VLOOKUP($A340,comedor,2,0),IF(L$5='Conceptos Desglosados'!$H$6,VLOOKUP($A340,alojamiento,2,0),IF(L$5='Conceptos Desglosados'!$H$7,VLOOKUP($A340,sanidad,2,0),IF(L$5='Conceptos Desglosados'!$H$8,VLOOKUP($A340,servicios,2,0),IF(L$5='Conceptos Desglosados'!$H$9,VLOOKUP($A340,comyaloj,2,0),IF(L$5='Conceptos Desglosados'!$H$10,VLOOKUP($A340,comandancia,2,0),IF(L$5='Conceptos Desglosados'!$H$11,VLOOKUP($A340,mantenimiento,2,0),IF(L$5='Conceptos Desglosados'!$H$12,VLOOKUP($A340,serestatal,2,0),IF(L$5='Conceptos Desglosados'!$H$13,VLOOKUP($A340,conferencias,2,0),"")))))))))),"")*L$3,"")</f>
        <v/>
      </c>
      <c r="M340" t="str">
        <f>IFERROR(IFERROR(IF(M$5='Conceptos Desglosados'!$H$4,VLOOKUP($A340,dormitorios,2,0),IF(M$5='Conceptos Desglosados'!$H$5,VLOOKUP($A340,comedor,2,0),IF(M$5='Conceptos Desglosados'!$H$6,VLOOKUP($A340,alojamiento,2,0),IF(M$5='Conceptos Desglosados'!$H$7,VLOOKUP($A340,sanidad,2,0),IF(M$5='Conceptos Desglosados'!$H$8,VLOOKUP($A340,servicios,2,0),IF(M$5='Conceptos Desglosados'!$H$9,VLOOKUP($A340,comyaloj,2,0),IF(M$5='Conceptos Desglosados'!$H$10,VLOOKUP($A340,comandancia,2,0),IF(M$5='Conceptos Desglosados'!$H$11,VLOOKUP($A340,mantenimiento,2,0),IF(M$5='Conceptos Desglosados'!$H$12,VLOOKUP($A340,serestatal,2,0),IF(M$5='Conceptos Desglosados'!$H$13,VLOOKUP($A340,conferencias,2,0),"")))))))))),"")*M$3,"")</f>
        <v/>
      </c>
      <c r="O340">
        <f>SUM(K340:M340)</f>
        <v>0</v>
      </c>
    </row>
    <row r="341" spans="1:15" x14ac:dyDescent="0.35">
      <c r="A341">
        <v>336</v>
      </c>
      <c r="B341" t="s">
        <v>10</v>
      </c>
      <c r="C341" t="s">
        <v>1231</v>
      </c>
      <c r="D341" t="s">
        <v>1232</v>
      </c>
      <c r="E341" t="s">
        <v>1184</v>
      </c>
      <c r="F341" t="s">
        <v>1127</v>
      </c>
      <c r="G341" t="s">
        <v>0</v>
      </c>
      <c r="H341">
        <v>2.02</v>
      </c>
      <c r="I341">
        <v>3</v>
      </c>
      <c r="J341" t="s">
        <v>6</v>
      </c>
      <c r="K341" t="str">
        <f>IFERROR(IFERROR(IF(K$5='Conceptos Desglosados'!$H$4,VLOOKUP($A341,dormitorios,2,0),IF(K$5='Conceptos Desglosados'!$H$5,VLOOKUP($A341,comedor,2,0),IF(K$5='Conceptos Desglosados'!$H$6,VLOOKUP($A341,alojamiento,2,0),IF(K$5='Conceptos Desglosados'!$H$7,VLOOKUP($A341,sanidad,2,0),IF(K$5='Conceptos Desglosados'!$H$8,VLOOKUP($A341,servicios,2,0),IF(K$5='Conceptos Desglosados'!$H$9,VLOOKUP($A341,comyaloj,2,0),IF(K$5='Conceptos Desglosados'!$H$10,VLOOKUP($A341,comandancia,2,0),IF(K$5='Conceptos Desglosados'!$H$11,VLOOKUP($A341,mantenimiento,2,0),IF(K$5='Conceptos Desglosados'!$H$12,VLOOKUP($A341,serestatal,2,0),IF(K$5='Conceptos Desglosados'!$H$13,VLOOKUP($A341,conferencias,2,0),"")))))))))),"")*K$3,"")</f>
        <v/>
      </c>
      <c r="L341" t="str">
        <f>IFERROR(IFERROR(IF(L$5='Conceptos Desglosados'!$H$4,VLOOKUP($A341,dormitorios,2,0),IF(L$5='Conceptos Desglosados'!$H$5,VLOOKUP($A341,comedor,2,0),IF(L$5='Conceptos Desglosados'!$H$6,VLOOKUP($A341,alojamiento,2,0),IF(L$5='Conceptos Desglosados'!$H$7,VLOOKUP($A341,sanidad,2,0),IF(L$5='Conceptos Desglosados'!$H$8,VLOOKUP($A341,servicios,2,0),IF(L$5='Conceptos Desglosados'!$H$9,VLOOKUP($A341,comyaloj,2,0),IF(L$5='Conceptos Desglosados'!$H$10,VLOOKUP($A341,comandancia,2,0),IF(L$5='Conceptos Desglosados'!$H$11,VLOOKUP($A341,mantenimiento,2,0),IF(L$5='Conceptos Desglosados'!$H$12,VLOOKUP($A341,serestatal,2,0),IF(L$5='Conceptos Desglosados'!$H$13,VLOOKUP($A341,conferencias,2,0),"")))))))))),"")*L$3,"")</f>
        <v/>
      </c>
      <c r="M341" t="str">
        <f>IFERROR(IFERROR(IF(M$5='Conceptos Desglosados'!$H$4,VLOOKUP($A341,dormitorios,2,0),IF(M$5='Conceptos Desglosados'!$H$5,VLOOKUP($A341,comedor,2,0),IF(M$5='Conceptos Desglosados'!$H$6,VLOOKUP($A341,alojamiento,2,0),IF(M$5='Conceptos Desglosados'!$H$7,VLOOKUP($A341,sanidad,2,0),IF(M$5='Conceptos Desglosados'!$H$8,VLOOKUP($A341,servicios,2,0),IF(M$5='Conceptos Desglosados'!$H$9,VLOOKUP($A341,comyaloj,2,0),IF(M$5='Conceptos Desglosados'!$H$10,VLOOKUP($A341,comandancia,2,0),IF(M$5='Conceptos Desglosados'!$H$11,VLOOKUP($A341,mantenimiento,2,0),IF(M$5='Conceptos Desglosados'!$H$12,VLOOKUP($A341,serestatal,2,0),IF(M$5='Conceptos Desglosados'!$H$13,VLOOKUP($A341,conferencias,2,0),"")))))))))),"")*M$3,"")</f>
        <v/>
      </c>
      <c r="O341">
        <f>SUM(K341:M341)</f>
        <v>0</v>
      </c>
    </row>
    <row r="342" spans="1:15" x14ac:dyDescent="0.35">
      <c r="A342">
        <v>337</v>
      </c>
      <c r="B342" t="s">
        <v>10</v>
      </c>
      <c r="C342" t="s">
        <v>1233</v>
      </c>
      <c r="D342" t="s">
        <v>1234</v>
      </c>
      <c r="E342" t="s">
        <v>1063</v>
      </c>
      <c r="F342" t="s">
        <v>1127</v>
      </c>
      <c r="G342" t="s">
        <v>0</v>
      </c>
      <c r="H342">
        <v>1.968</v>
      </c>
      <c r="I342">
        <v>3</v>
      </c>
      <c r="J342" t="s">
        <v>6</v>
      </c>
      <c r="K342" t="str">
        <f>IFERROR(IFERROR(IF(K$5='Conceptos Desglosados'!$H$4,VLOOKUP($A342,dormitorios,2,0),IF(K$5='Conceptos Desglosados'!$H$5,VLOOKUP($A342,comedor,2,0),IF(K$5='Conceptos Desglosados'!$H$6,VLOOKUP($A342,alojamiento,2,0),IF(K$5='Conceptos Desglosados'!$H$7,VLOOKUP($A342,sanidad,2,0),IF(K$5='Conceptos Desglosados'!$H$8,VLOOKUP($A342,servicios,2,0),IF(K$5='Conceptos Desglosados'!$H$9,VLOOKUP($A342,comyaloj,2,0),IF(K$5='Conceptos Desglosados'!$H$10,VLOOKUP($A342,comandancia,2,0),IF(K$5='Conceptos Desglosados'!$H$11,VLOOKUP($A342,mantenimiento,2,0),IF(K$5='Conceptos Desglosados'!$H$12,VLOOKUP($A342,serestatal,2,0),IF(K$5='Conceptos Desglosados'!$H$13,VLOOKUP($A342,conferencias,2,0),"")))))))))),"")*K$3,"")</f>
        <v/>
      </c>
      <c r="L342" t="str">
        <f>IFERROR(IFERROR(IF(L$5='Conceptos Desglosados'!$H$4,VLOOKUP($A342,dormitorios,2,0),IF(L$5='Conceptos Desglosados'!$H$5,VLOOKUP($A342,comedor,2,0),IF(L$5='Conceptos Desglosados'!$H$6,VLOOKUP($A342,alojamiento,2,0),IF(L$5='Conceptos Desglosados'!$H$7,VLOOKUP($A342,sanidad,2,0),IF(L$5='Conceptos Desglosados'!$H$8,VLOOKUP($A342,servicios,2,0),IF(L$5='Conceptos Desglosados'!$H$9,VLOOKUP($A342,comyaloj,2,0),IF(L$5='Conceptos Desglosados'!$H$10,VLOOKUP($A342,comandancia,2,0),IF(L$5='Conceptos Desglosados'!$H$11,VLOOKUP($A342,mantenimiento,2,0),IF(L$5='Conceptos Desglosados'!$H$12,VLOOKUP($A342,serestatal,2,0),IF(L$5='Conceptos Desglosados'!$H$13,VLOOKUP($A342,conferencias,2,0),"")))))))))),"")*L$3,"")</f>
        <v/>
      </c>
      <c r="M342" t="str">
        <f>IFERROR(IFERROR(IF(M$5='Conceptos Desglosados'!$H$4,VLOOKUP($A342,dormitorios,2,0),IF(M$5='Conceptos Desglosados'!$H$5,VLOOKUP($A342,comedor,2,0),IF(M$5='Conceptos Desglosados'!$H$6,VLOOKUP($A342,alojamiento,2,0),IF(M$5='Conceptos Desglosados'!$H$7,VLOOKUP($A342,sanidad,2,0),IF(M$5='Conceptos Desglosados'!$H$8,VLOOKUP($A342,servicios,2,0),IF(M$5='Conceptos Desglosados'!$H$9,VLOOKUP($A342,comyaloj,2,0),IF(M$5='Conceptos Desglosados'!$H$10,VLOOKUP($A342,comandancia,2,0),IF(M$5='Conceptos Desglosados'!$H$11,VLOOKUP($A342,mantenimiento,2,0),IF(M$5='Conceptos Desglosados'!$H$12,VLOOKUP($A342,serestatal,2,0),IF(M$5='Conceptos Desglosados'!$H$13,VLOOKUP($A342,conferencias,2,0),"")))))))))),"")*M$3,"")</f>
        <v/>
      </c>
      <c r="O342">
        <f>SUM(K342:M342)</f>
        <v>0</v>
      </c>
    </row>
    <row r="343" spans="1:15" x14ac:dyDescent="0.35">
      <c r="A343">
        <v>338</v>
      </c>
      <c r="B343" t="s">
        <v>10</v>
      </c>
      <c r="C343" t="s">
        <v>1235</v>
      </c>
      <c r="D343" t="s">
        <v>1236</v>
      </c>
      <c r="E343" t="s">
        <v>1063</v>
      </c>
      <c r="F343" t="s">
        <v>1127</v>
      </c>
      <c r="G343" t="s">
        <v>0</v>
      </c>
      <c r="H343">
        <v>0.89</v>
      </c>
      <c r="I343">
        <v>3</v>
      </c>
      <c r="J343" t="s">
        <v>6</v>
      </c>
      <c r="K343" t="str">
        <f>IFERROR(IFERROR(IF(K$5='Conceptos Desglosados'!$H$4,VLOOKUP($A343,dormitorios,2,0),IF(K$5='Conceptos Desglosados'!$H$5,VLOOKUP($A343,comedor,2,0),IF(K$5='Conceptos Desglosados'!$H$6,VLOOKUP($A343,alojamiento,2,0),IF(K$5='Conceptos Desglosados'!$H$7,VLOOKUP($A343,sanidad,2,0),IF(K$5='Conceptos Desglosados'!$H$8,VLOOKUP($A343,servicios,2,0),IF(K$5='Conceptos Desglosados'!$H$9,VLOOKUP($A343,comyaloj,2,0),IF(K$5='Conceptos Desglosados'!$H$10,VLOOKUP($A343,comandancia,2,0),IF(K$5='Conceptos Desglosados'!$H$11,VLOOKUP($A343,mantenimiento,2,0),IF(K$5='Conceptos Desglosados'!$H$12,VLOOKUP($A343,serestatal,2,0),IF(K$5='Conceptos Desglosados'!$H$13,VLOOKUP($A343,conferencias,2,0),"")))))))))),"")*K$3,"")</f>
        <v/>
      </c>
      <c r="L343" t="str">
        <f>IFERROR(IFERROR(IF(L$5='Conceptos Desglosados'!$H$4,VLOOKUP($A343,dormitorios,2,0),IF(L$5='Conceptos Desglosados'!$H$5,VLOOKUP($A343,comedor,2,0),IF(L$5='Conceptos Desglosados'!$H$6,VLOOKUP($A343,alojamiento,2,0),IF(L$5='Conceptos Desglosados'!$H$7,VLOOKUP($A343,sanidad,2,0),IF(L$5='Conceptos Desglosados'!$H$8,VLOOKUP($A343,servicios,2,0),IF(L$5='Conceptos Desglosados'!$H$9,VLOOKUP($A343,comyaloj,2,0),IF(L$5='Conceptos Desglosados'!$H$10,VLOOKUP($A343,comandancia,2,0),IF(L$5='Conceptos Desglosados'!$H$11,VLOOKUP($A343,mantenimiento,2,0),IF(L$5='Conceptos Desglosados'!$H$12,VLOOKUP($A343,serestatal,2,0),IF(L$5='Conceptos Desglosados'!$H$13,VLOOKUP($A343,conferencias,2,0),"")))))))))),"")*L$3,"")</f>
        <v/>
      </c>
      <c r="M343" t="str">
        <f>IFERROR(IFERROR(IF(M$5='Conceptos Desglosados'!$H$4,VLOOKUP($A343,dormitorios,2,0),IF(M$5='Conceptos Desglosados'!$H$5,VLOOKUP($A343,comedor,2,0),IF(M$5='Conceptos Desglosados'!$H$6,VLOOKUP($A343,alojamiento,2,0),IF(M$5='Conceptos Desglosados'!$H$7,VLOOKUP($A343,sanidad,2,0),IF(M$5='Conceptos Desglosados'!$H$8,VLOOKUP($A343,servicios,2,0),IF(M$5='Conceptos Desglosados'!$H$9,VLOOKUP($A343,comyaloj,2,0),IF(M$5='Conceptos Desglosados'!$H$10,VLOOKUP($A343,comandancia,2,0),IF(M$5='Conceptos Desglosados'!$H$11,VLOOKUP($A343,mantenimiento,2,0),IF(M$5='Conceptos Desglosados'!$H$12,VLOOKUP($A343,serestatal,2,0),IF(M$5='Conceptos Desglosados'!$H$13,VLOOKUP($A343,conferencias,2,0),"")))))))))),"")*M$3,"")</f>
        <v/>
      </c>
      <c r="O343">
        <f>SUM(K343:M343)</f>
        <v>0</v>
      </c>
    </row>
    <row r="344" spans="1:15" x14ac:dyDescent="0.35">
      <c r="A344">
        <v>339</v>
      </c>
      <c r="B344" t="s">
        <v>10</v>
      </c>
      <c r="C344" t="s">
        <v>1143</v>
      </c>
      <c r="D344" t="s">
        <v>1242</v>
      </c>
      <c r="E344" t="s">
        <v>1105</v>
      </c>
      <c r="F344" t="s">
        <v>883</v>
      </c>
      <c r="G344" t="s">
        <v>0</v>
      </c>
      <c r="H344">
        <v>2.0449999999999999</v>
      </c>
      <c r="I344">
        <v>2.7149999999999999</v>
      </c>
      <c r="J344" t="s">
        <v>6</v>
      </c>
      <c r="K344" t="str">
        <f>IFERROR(IFERROR(IF(K$5='Conceptos Desglosados'!$H$4,VLOOKUP($A344,dormitorios,2,0),IF(K$5='Conceptos Desglosados'!$H$5,VLOOKUP($A344,comedor,2,0),IF(K$5='Conceptos Desglosados'!$H$6,VLOOKUP($A344,alojamiento,2,0),IF(K$5='Conceptos Desglosados'!$H$7,VLOOKUP($A344,sanidad,2,0),IF(K$5='Conceptos Desglosados'!$H$8,VLOOKUP($A344,servicios,2,0),IF(K$5='Conceptos Desglosados'!$H$9,VLOOKUP($A344,comyaloj,2,0),IF(K$5='Conceptos Desglosados'!$H$10,VLOOKUP($A344,comandancia,2,0),IF(K$5='Conceptos Desglosados'!$H$11,VLOOKUP($A344,mantenimiento,2,0),IF(K$5='Conceptos Desglosados'!$H$12,VLOOKUP($A344,serestatal,2,0),IF(K$5='Conceptos Desglosados'!$H$13,VLOOKUP($A344,conferencias,2,0),"")))))))))),"")*K$3,"")</f>
        <v/>
      </c>
      <c r="L344" t="str">
        <f>IFERROR(IFERROR(IF(L$5='Conceptos Desglosados'!$H$4,VLOOKUP($A344,dormitorios,2,0),IF(L$5='Conceptos Desglosados'!$H$5,VLOOKUP($A344,comedor,2,0),IF(L$5='Conceptos Desglosados'!$H$6,VLOOKUP($A344,alojamiento,2,0),IF(L$5='Conceptos Desglosados'!$H$7,VLOOKUP($A344,sanidad,2,0),IF(L$5='Conceptos Desglosados'!$H$8,VLOOKUP($A344,servicios,2,0),IF(L$5='Conceptos Desglosados'!$H$9,VLOOKUP($A344,comyaloj,2,0),IF(L$5='Conceptos Desglosados'!$H$10,VLOOKUP($A344,comandancia,2,0),IF(L$5='Conceptos Desglosados'!$H$11,VLOOKUP($A344,mantenimiento,2,0),IF(L$5='Conceptos Desglosados'!$H$12,VLOOKUP($A344,serestatal,2,0),IF(L$5='Conceptos Desglosados'!$H$13,VLOOKUP($A344,conferencias,2,0),"")))))))))),"")*L$3,"")</f>
        <v/>
      </c>
      <c r="M344">
        <f>IFERROR(IFERROR(IF(M$5='Conceptos Desglosados'!$H$4,VLOOKUP($A344,dormitorios,2,0),IF(M$5='Conceptos Desglosados'!$H$5,VLOOKUP($A344,comedor,2,0),IF(M$5='Conceptos Desglosados'!$H$6,VLOOKUP($A344,alojamiento,2,0),IF(M$5='Conceptos Desglosados'!$H$7,VLOOKUP($A344,sanidad,2,0),IF(M$5='Conceptos Desglosados'!$H$8,VLOOKUP($A344,servicios,2,0),IF(M$5='Conceptos Desglosados'!$H$9,VLOOKUP($A344,comyaloj,2,0),IF(M$5='Conceptos Desglosados'!$H$10,VLOOKUP($A344,comandancia,2,0),IF(M$5='Conceptos Desglosados'!$H$11,VLOOKUP($A344,mantenimiento,2,0),IF(M$5='Conceptos Desglosados'!$H$12,VLOOKUP($A344,serestatal,2,0),IF(M$5='Conceptos Desglosados'!$H$13,VLOOKUP($A344,conferencias,2,0),"")))))))))),"")*M$3,"")</f>
        <v>4</v>
      </c>
      <c r="O344">
        <f>SUM(K344:M344)</f>
        <v>4</v>
      </c>
    </row>
    <row r="345" spans="1:15" x14ac:dyDescent="0.35">
      <c r="A345">
        <v>340</v>
      </c>
      <c r="B345" t="s">
        <v>10</v>
      </c>
      <c r="C345" t="s">
        <v>1147</v>
      </c>
      <c r="D345" t="s">
        <v>1243</v>
      </c>
      <c r="E345" t="s">
        <v>1145</v>
      </c>
      <c r="F345" t="s">
        <v>511</v>
      </c>
      <c r="G345" t="s">
        <v>0</v>
      </c>
      <c r="H345">
        <v>1.6160000000000001</v>
      </c>
      <c r="I345">
        <v>2.7149999999999999</v>
      </c>
      <c r="J345" t="s">
        <v>6</v>
      </c>
      <c r="K345" t="str">
        <f>IFERROR(IFERROR(IF(K$5='Conceptos Desglosados'!$H$4,VLOOKUP($A345,dormitorios,2,0),IF(K$5='Conceptos Desglosados'!$H$5,VLOOKUP($A345,comedor,2,0),IF(K$5='Conceptos Desglosados'!$H$6,VLOOKUP($A345,alojamiento,2,0),IF(K$5='Conceptos Desglosados'!$H$7,VLOOKUP($A345,sanidad,2,0),IF(K$5='Conceptos Desglosados'!$H$8,VLOOKUP($A345,servicios,2,0),IF(K$5='Conceptos Desglosados'!$H$9,VLOOKUP($A345,comyaloj,2,0),IF(K$5='Conceptos Desglosados'!$H$10,VLOOKUP($A345,comandancia,2,0),IF(K$5='Conceptos Desglosados'!$H$11,VLOOKUP($A345,mantenimiento,2,0),IF(K$5='Conceptos Desglosados'!$H$12,VLOOKUP($A345,serestatal,2,0),IF(K$5='Conceptos Desglosados'!$H$13,VLOOKUP($A345,conferencias,2,0),"")))))))))),"")*K$3,"")</f>
        <v/>
      </c>
      <c r="L345" t="str">
        <f>IFERROR(IFERROR(IF(L$5='Conceptos Desglosados'!$H$4,VLOOKUP($A345,dormitorios,2,0),IF(L$5='Conceptos Desglosados'!$H$5,VLOOKUP($A345,comedor,2,0),IF(L$5='Conceptos Desglosados'!$H$6,VLOOKUP($A345,alojamiento,2,0),IF(L$5='Conceptos Desglosados'!$H$7,VLOOKUP($A345,sanidad,2,0),IF(L$5='Conceptos Desglosados'!$H$8,VLOOKUP($A345,servicios,2,0),IF(L$5='Conceptos Desglosados'!$H$9,VLOOKUP($A345,comyaloj,2,0),IF(L$5='Conceptos Desglosados'!$H$10,VLOOKUP($A345,comandancia,2,0),IF(L$5='Conceptos Desglosados'!$H$11,VLOOKUP($A345,mantenimiento,2,0),IF(L$5='Conceptos Desglosados'!$H$12,VLOOKUP($A345,serestatal,2,0),IF(L$5='Conceptos Desglosados'!$H$13,VLOOKUP($A345,conferencias,2,0),"")))))))))),"")*L$3,"")</f>
        <v/>
      </c>
      <c r="M345">
        <f>IFERROR(IFERROR(IF(M$5='Conceptos Desglosados'!$H$4,VLOOKUP($A345,dormitorios,2,0),IF(M$5='Conceptos Desglosados'!$H$5,VLOOKUP($A345,comedor,2,0),IF(M$5='Conceptos Desglosados'!$H$6,VLOOKUP($A345,alojamiento,2,0),IF(M$5='Conceptos Desglosados'!$H$7,VLOOKUP($A345,sanidad,2,0),IF(M$5='Conceptos Desglosados'!$H$8,VLOOKUP($A345,servicios,2,0),IF(M$5='Conceptos Desglosados'!$H$9,VLOOKUP($A345,comyaloj,2,0),IF(M$5='Conceptos Desglosados'!$H$10,VLOOKUP($A345,comandancia,2,0),IF(M$5='Conceptos Desglosados'!$H$11,VLOOKUP($A345,mantenimiento,2,0),IF(M$5='Conceptos Desglosados'!$H$12,VLOOKUP($A345,serestatal,2,0),IF(M$5='Conceptos Desglosados'!$H$13,VLOOKUP($A345,conferencias,2,0),"")))))))))),"")*M$3,"")</f>
        <v>8</v>
      </c>
      <c r="O345">
        <f>SUM(K345:M345)</f>
        <v>8</v>
      </c>
    </row>
    <row r="346" spans="1:15" x14ac:dyDescent="0.35">
      <c r="A346">
        <v>341</v>
      </c>
      <c r="B346" t="s">
        <v>10</v>
      </c>
      <c r="C346" t="s">
        <v>1151</v>
      </c>
      <c r="D346" t="s">
        <v>1244</v>
      </c>
      <c r="E346" t="s">
        <v>1153</v>
      </c>
      <c r="F346" t="s">
        <v>511</v>
      </c>
      <c r="G346" t="s">
        <v>0</v>
      </c>
      <c r="H346" t="s">
        <v>1154</v>
      </c>
      <c r="I346">
        <v>2.7149999999999999</v>
      </c>
      <c r="J346" t="s">
        <v>6</v>
      </c>
      <c r="K346" t="str">
        <f>IFERROR(IFERROR(IF(K$5='Conceptos Desglosados'!$H$4,VLOOKUP($A346,dormitorios,2,0),IF(K$5='Conceptos Desglosados'!$H$5,VLOOKUP($A346,comedor,2,0),IF(K$5='Conceptos Desglosados'!$H$6,VLOOKUP($A346,alojamiento,2,0),IF(K$5='Conceptos Desglosados'!$H$7,VLOOKUP($A346,sanidad,2,0),IF(K$5='Conceptos Desglosados'!$H$8,VLOOKUP($A346,servicios,2,0),IF(K$5='Conceptos Desglosados'!$H$9,VLOOKUP($A346,comyaloj,2,0),IF(K$5='Conceptos Desglosados'!$H$10,VLOOKUP($A346,comandancia,2,0),IF(K$5='Conceptos Desglosados'!$H$11,VLOOKUP($A346,mantenimiento,2,0),IF(K$5='Conceptos Desglosados'!$H$12,VLOOKUP($A346,serestatal,2,0),IF(K$5='Conceptos Desglosados'!$H$13,VLOOKUP($A346,conferencias,2,0),"")))))))))),"")*K$3,"")</f>
        <v/>
      </c>
      <c r="L346" t="str">
        <f>IFERROR(IFERROR(IF(L$5='Conceptos Desglosados'!$H$4,VLOOKUP($A346,dormitorios,2,0),IF(L$5='Conceptos Desglosados'!$H$5,VLOOKUP($A346,comedor,2,0),IF(L$5='Conceptos Desglosados'!$H$6,VLOOKUP($A346,alojamiento,2,0),IF(L$5='Conceptos Desglosados'!$H$7,VLOOKUP($A346,sanidad,2,0),IF(L$5='Conceptos Desglosados'!$H$8,VLOOKUP($A346,servicios,2,0),IF(L$5='Conceptos Desglosados'!$H$9,VLOOKUP($A346,comyaloj,2,0),IF(L$5='Conceptos Desglosados'!$H$10,VLOOKUP($A346,comandancia,2,0),IF(L$5='Conceptos Desglosados'!$H$11,VLOOKUP($A346,mantenimiento,2,0),IF(L$5='Conceptos Desglosados'!$H$12,VLOOKUP($A346,serestatal,2,0),IF(L$5='Conceptos Desglosados'!$H$13,VLOOKUP($A346,conferencias,2,0),"")))))))))),"")*L$3,"")</f>
        <v/>
      </c>
      <c r="M346">
        <f>IFERROR(IFERROR(IF(M$5='Conceptos Desglosados'!$H$4,VLOOKUP($A346,dormitorios,2,0),IF(M$5='Conceptos Desglosados'!$H$5,VLOOKUP($A346,comedor,2,0),IF(M$5='Conceptos Desglosados'!$H$6,VLOOKUP($A346,alojamiento,2,0),IF(M$5='Conceptos Desglosados'!$H$7,VLOOKUP($A346,sanidad,2,0),IF(M$5='Conceptos Desglosados'!$H$8,VLOOKUP($A346,servicios,2,0),IF(M$5='Conceptos Desglosados'!$H$9,VLOOKUP($A346,comyaloj,2,0),IF(M$5='Conceptos Desglosados'!$H$10,VLOOKUP($A346,comandancia,2,0),IF(M$5='Conceptos Desglosados'!$H$11,VLOOKUP($A346,mantenimiento,2,0),IF(M$5='Conceptos Desglosados'!$H$12,VLOOKUP($A346,serestatal,2,0),IF(M$5='Conceptos Desglosados'!$H$13,VLOOKUP($A346,conferencias,2,0),"")))))))))),"")*M$3,"")</f>
        <v>4</v>
      </c>
      <c r="O346">
        <f>SUM(K346:M346)</f>
        <v>4</v>
      </c>
    </row>
    <row r="347" spans="1:15" x14ac:dyDescent="0.35">
      <c r="A347">
        <v>342</v>
      </c>
      <c r="B347" t="s">
        <v>10</v>
      </c>
      <c r="C347" t="s">
        <v>1157</v>
      </c>
      <c r="D347" t="s">
        <v>1245</v>
      </c>
      <c r="E347" t="s">
        <v>1165</v>
      </c>
      <c r="F347" t="s">
        <v>883</v>
      </c>
      <c r="G347" t="s">
        <v>0</v>
      </c>
      <c r="H347">
        <v>1.974</v>
      </c>
      <c r="I347">
        <v>2.7149999999999999</v>
      </c>
      <c r="J347" t="s">
        <v>6</v>
      </c>
      <c r="K347" t="str">
        <f>IFERROR(IFERROR(IF(K$5='Conceptos Desglosados'!$H$4,VLOOKUP($A347,dormitorios,2,0),IF(K$5='Conceptos Desglosados'!$H$5,VLOOKUP($A347,comedor,2,0),IF(K$5='Conceptos Desglosados'!$H$6,VLOOKUP($A347,alojamiento,2,0),IF(K$5='Conceptos Desglosados'!$H$7,VLOOKUP($A347,sanidad,2,0),IF(K$5='Conceptos Desglosados'!$H$8,VLOOKUP($A347,servicios,2,0),IF(K$5='Conceptos Desglosados'!$H$9,VLOOKUP($A347,comyaloj,2,0),IF(K$5='Conceptos Desglosados'!$H$10,VLOOKUP($A347,comandancia,2,0),IF(K$5='Conceptos Desglosados'!$H$11,VLOOKUP($A347,mantenimiento,2,0),IF(K$5='Conceptos Desglosados'!$H$12,VLOOKUP($A347,serestatal,2,0),IF(K$5='Conceptos Desglosados'!$H$13,VLOOKUP($A347,conferencias,2,0),"")))))))))),"")*K$3,"")</f>
        <v/>
      </c>
      <c r="L347" t="str">
        <f>IFERROR(IFERROR(IF(L$5='Conceptos Desglosados'!$H$4,VLOOKUP($A347,dormitorios,2,0),IF(L$5='Conceptos Desglosados'!$H$5,VLOOKUP($A347,comedor,2,0),IF(L$5='Conceptos Desglosados'!$H$6,VLOOKUP($A347,alojamiento,2,0),IF(L$5='Conceptos Desglosados'!$H$7,VLOOKUP($A347,sanidad,2,0),IF(L$5='Conceptos Desglosados'!$H$8,VLOOKUP($A347,servicios,2,0),IF(L$5='Conceptos Desglosados'!$H$9,VLOOKUP($A347,comyaloj,2,0),IF(L$5='Conceptos Desglosados'!$H$10,VLOOKUP($A347,comandancia,2,0),IF(L$5='Conceptos Desglosados'!$H$11,VLOOKUP($A347,mantenimiento,2,0),IF(L$5='Conceptos Desglosados'!$H$12,VLOOKUP($A347,serestatal,2,0),IF(L$5='Conceptos Desglosados'!$H$13,VLOOKUP($A347,conferencias,2,0),"")))))))))),"")*L$3,"")</f>
        <v/>
      </c>
      <c r="M347">
        <f>IFERROR(IFERROR(IF(M$5='Conceptos Desglosados'!$H$4,VLOOKUP($A347,dormitorios,2,0),IF(M$5='Conceptos Desglosados'!$H$5,VLOOKUP($A347,comedor,2,0),IF(M$5='Conceptos Desglosados'!$H$6,VLOOKUP($A347,alojamiento,2,0),IF(M$5='Conceptos Desglosados'!$H$7,VLOOKUP($A347,sanidad,2,0),IF(M$5='Conceptos Desglosados'!$H$8,VLOOKUP($A347,servicios,2,0),IF(M$5='Conceptos Desglosados'!$H$9,VLOOKUP($A347,comyaloj,2,0),IF(M$5='Conceptos Desglosados'!$H$10,VLOOKUP($A347,comandancia,2,0),IF(M$5='Conceptos Desglosados'!$H$11,VLOOKUP($A347,mantenimiento,2,0),IF(M$5='Conceptos Desglosados'!$H$12,VLOOKUP($A347,serestatal,2,0),IF(M$5='Conceptos Desglosados'!$H$13,VLOOKUP($A347,conferencias,2,0),"")))))))))),"")*M$3,"")</f>
        <v>12</v>
      </c>
      <c r="O347">
        <f>SUM(K347:M347)</f>
        <v>12</v>
      </c>
    </row>
    <row r="348" spans="1:15" x14ac:dyDescent="0.35">
      <c r="A348">
        <v>343</v>
      </c>
      <c r="B348" t="s">
        <v>10</v>
      </c>
      <c r="C348" t="s">
        <v>1163</v>
      </c>
      <c r="D348" t="s">
        <v>1246</v>
      </c>
      <c r="E348" t="s">
        <v>1166</v>
      </c>
      <c r="F348" t="s">
        <v>883</v>
      </c>
      <c r="G348" t="s">
        <v>0</v>
      </c>
      <c r="H348">
        <v>1.974</v>
      </c>
      <c r="I348">
        <v>2.7149999999999999</v>
      </c>
      <c r="J348" t="s">
        <v>6</v>
      </c>
      <c r="K348" t="str">
        <f>IFERROR(IFERROR(IF(K$5='Conceptos Desglosados'!$H$4,VLOOKUP($A348,dormitorios,2,0),IF(K$5='Conceptos Desglosados'!$H$5,VLOOKUP($A348,comedor,2,0),IF(K$5='Conceptos Desglosados'!$H$6,VLOOKUP($A348,alojamiento,2,0),IF(K$5='Conceptos Desglosados'!$H$7,VLOOKUP($A348,sanidad,2,0),IF(K$5='Conceptos Desglosados'!$H$8,VLOOKUP($A348,servicios,2,0),IF(K$5='Conceptos Desglosados'!$H$9,VLOOKUP($A348,comyaloj,2,0),IF(K$5='Conceptos Desglosados'!$H$10,VLOOKUP($A348,comandancia,2,0),IF(K$5='Conceptos Desglosados'!$H$11,VLOOKUP($A348,mantenimiento,2,0),IF(K$5='Conceptos Desglosados'!$H$12,VLOOKUP($A348,serestatal,2,0),IF(K$5='Conceptos Desglosados'!$H$13,VLOOKUP($A348,conferencias,2,0),"")))))))))),"")*K$3,"")</f>
        <v/>
      </c>
      <c r="L348" t="str">
        <f>IFERROR(IFERROR(IF(L$5='Conceptos Desglosados'!$H$4,VLOOKUP($A348,dormitorios,2,0),IF(L$5='Conceptos Desglosados'!$H$5,VLOOKUP($A348,comedor,2,0),IF(L$5='Conceptos Desglosados'!$H$6,VLOOKUP($A348,alojamiento,2,0),IF(L$5='Conceptos Desglosados'!$H$7,VLOOKUP($A348,sanidad,2,0),IF(L$5='Conceptos Desglosados'!$H$8,VLOOKUP($A348,servicios,2,0),IF(L$5='Conceptos Desglosados'!$H$9,VLOOKUP($A348,comyaloj,2,0),IF(L$5='Conceptos Desglosados'!$H$10,VLOOKUP($A348,comandancia,2,0),IF(L$5='Conceptos Desglosados'!$H$11,VLOOKUP($A348,mantenimiento,2,0),IF(L$5='Conceptos Desglosados'!$H$12,VLOOKUP($A348,serestatal,2,0),IF(L$5='Conceptos Desglosados'!$H$13,VLOOKUP($A348,conferencias,2,0),"")))))))))),"")*L$3,"")</f>
        <v/>
      </c>
      <c r="M348">
        <f>IFERROR(IFERROR(IF(M$5='Conceptos Desglosados'!$H$4,VLOOKUP($A348,dormitorios,2,0),IF(M$5='Conceptos Desglosados'!$H$5,VLOOKUP($A348,comedor,2,0),IF(M$5='Conceptos Desglosados'!$H$6,VLOOKUP($A348,alojamiento,2,0),IF(M$5='Conceptos Desglosados'!$H$7,VLOOKUP($A348,sanidad,2,0),IF(M$5='Conceptos Desglosados'!$H$8,VLOOKUP($A348,servicios,2,0),IF(M$5='Conceptos Desglosados'!$H$9,VLOOKUP($A348,comyaloj,2,0),IF(M$5='Conceptos Desglosados'!$H$10,VLOOKUP($A348,comandancia,2,0),IF(M$5='Conceptos Desglosados'!$H$11,VLOOKUP($A348,mantenimiento,2,0),IF(M$5='Conceptos Desglosados'!$H$12,VLOOKUP($A348,serestatal,2,0),IF(M$5='Conceptos Desglosados'!$H$13,VLOOKUP($A348,conferencias,2,0),"")))))))))),"")*M$3,"")</f>
        <v>4</v>
      </c>
      <c r="O348">
        <f>SUM(K348:M348)</f>
        <v>4</v>
      </c>
    </row>
    <row r="349" spans="1:15" x14ac:dyDescent="0.35">
      <c r="A349">
        <v>344</v>
      </c>
      <c r="B349" t="s">
        <v>10</v>
      </c>
      <c r="C349" t="s">
        <v>1173</v>
      </c>
      <c r="D349" t="s">
        <v>1247</v>
      </c>
      <c r="E349" t="s">
        <v>1159</v>
      </c>
      <c r="F349" t="s">
        <v>883</v>
      </c>
      <c r="G349" t="s">
        <v>0</v>
      </c>
      <c r="H349">
        <v>1.9750000000000001</v>
      </c>
      <c r="I349">
        <v>2.7149999999999999</v>
      </c>
      <c r="J349" t="s">
        <v>6</v>
      </c>
      <c r="K349" t="str">
        <f>IFERROR(IFERROR(IF(K$5='Conceptos Desglosados'!$H$4,VLOOKUP($A349,dormitorios,2,0),IF(K$5='Conceptos Desglosados'!$H$5,VLOOKUP($A349,comedor,2,0),IF(K$5='Conceptos Desglosados'!$H$6,VLOOKUP($A349,alojamiento,2,0),IF(K$5='Conceptos Desglosados'!$H$7,VLOOKUP($A349,sanidad,2,0),IF(K$5='Conceptos Desglosados'!$H$8,VLOOKUP($A349,servicios,2,0),IF(K$5='Conceptos Desglosados'!$H$9,VLOOKUP($A349,comyaloj,2,0),IF(K$5='Conceptos Desglosados'!$H$10,VLOOKUP($A349,comandancia,2,0),IF(K$5='Conceptos Desglosados'!$H$11,VLOOKUP($A349,mantenimiento,2,0),IF(K$5='Conceptos Desglosados'!$H$12,VLOOKUP($A349,serestatal,2,0),IF(K$5='Conceptos Desglosados'!$H$13,VLOOKUP($A349,conferencias,2,0),"")))))))))),"")*K$3,"")</f>
        <v/>
      </c>
      <c r="L349" t="str">
        <f>IFERROR(IFERROR(IF(L$5='Conceptos Desglosados'!$H$4,VLOOKUP($A349,dormitorios,2,0),IF(L$5='Conceptos Desglosados'!$H$5,VLOOKUP($A349,comedor,2,0),IF(L$5='Conceptos Desglosados'!$H$6,VLOOKUP($A349,alojamiento,2,0),IF(L$5='Conceptos Desglosados'!$H$7,VLOOKUP($A349,sanidad,2,0),IF(L$5='Conceptos Desglosados'!$H$8,VLOOKUP($A349,servicios,2,0),IF(L$5='Conceptos Desglosados'!$H$9,VLOOKUP($A349,comyaloj,2,0),IF(L$5='Conceptos Desglosados'!$H$10,VLOOKUP($A349,comandancia,2,0),IF(L$5='Conceptos Desglosados'!$H$11,VLOOKUP($A349,mantenimiento,2,0),IF(L$5='Conceptos Desglosados'!$H$12,VLOOKUP($A349,serestatal,2,0),IF(L$5='Conceptos Desglosados'!$H$13,VLOOKUP($A349,conferencias,2,0),"")))))))))),"")*L$3,"")</f>
        <v/>
      </c>
      <c r="M349">
        <f>IFERROR(IFERROR(IF(M$5='Conceptos Desglosados'!$H$4,VLOOKUP($A349,dormitorios,2,0),IF(M$5='Conceptos Desglosados'!$H$5,VLOOKUP($A349,comedor,2,0),IF(M$5='Conceptos Desglosados'!$H$6,VLOOKUP($A349,alojamiento,2,0),IF(M$5='Conceptos Desglosados'!$H$7,VLOOKUP($A349,sanidad,2,0),IF(M$5='Conceptos Desglosados'!$H$8,VLOOKUP($A349,servicios,2,0),IF(M$5='Conceptos Desglosados'!$H$9,VLOOKUP($A349,comyaloj,2,0),IF(M$5='Conceptos Desglosados'!$H$10,VLOOKUP($A349,comandancia,2,0),IF(M$5='Conceptos Desglosados'!$H$11,VLOOKUP($A349,mantenimiento,2,0),IF(M$5='Conceptos Desglosados'!$H$12,VLOOKUP($A349,serestatal,2,0),IF(M$5='Conceptos Desglosados'!$H$13,VLOOKUP($A349,conferencias,2,0),"")))))))))),"")*M$3,"")</f>
        <v>4</v>
      </c>
      <c r="O349">
        <f>SUM(K349:M349)</f>
        <v>4</v>
      </c>
    </row>
    <row r="350" spans="1:15" x14ac:dyDescent="0.35">
      <c r="A350">
        <v>345</v>
      </c>
      <c r="B350" t="s">
        <v>10</v>
      </c>
      <c r="C350" t="s">
        <v>1175</v>
      </c>
      <c r="D350" t="s">
        <v>1248</v>
      </c>
      <c r="E350" t="s">
        <v>1162</v>
      </c>
      <c r="F350" t="s">
        <v>883</v>
      </c>
      <c r="G350" t="s">
        <v>0</v>
      </c>
      <c r="H350">
        <v>1.079</v>
      </c>
      <c r="I350">
        <v>2.7149999999999999</v>
      </c>
      <c r="J350" t="s">
        <v>6</v>
      </c>
      <c r="K350" t="str">
        <f>IFERROR(IFERROR(IF(K$5='Conceptos Desglosados'!$H$4,VLOOKUP($A350,dormitorios,2,0),IF(K$5='Conceptos Desglosados'!$H$5,VLOOKUP($A350,comedor,2,0),IF(K$5='Conceptos Desglosados'!$H$6,VLOOKUP($A350,alojamiento,2,0),IF(K$5='Conceptos Desglosados'!$H$7,VLOOKUP($A350,sanidad,2,0),IF(K$5='Conceptos Desglosados'!$H$8,VLOOKUP($A350,servicios,2,0),IF(K$5='Conceptos Desglosados'!$H$9,VLOOKUP($A350,comyaloj,2,0),IF(K$5='Conceptos Desglosados'!$H$10,VLOOKUP($A350,comandancia,2,0),IF(K$5='Conceptos Desglosados'!$H$11,VLOOKUP($A350,mantenimiento,2,0),IF(K$5='Conceptos Desglosados'!$H$12,VLOOKUP($A350,serestatal,2,0),IF(K$5='Conceptos Desglosados'!$H$13,VLOOKUP($A350,conferencias,2,0),"")))))))))),"")*K$3,"")</f>
        <v/>
      </c>
      <c r="L350" t="str">
        <f>IFERROR(IFERROR(IF(L$5='Conceptos Desglosados'!$H$4,VLOOKUP($A350,dormitorios,2,0),IF(L$5='Conceptos Desglosados'!$H$5,VLOOKUP($A350,comedor,2,0),IF(L$5='Conceptos Desglosados'!$H$6,VLOOKUP($A350,alojamiento,2,0),IF(L$5='Conceptos Desglosados'!$H$7,VLOOKUP($A350,sanidad,2,0),IF(L$5='Conceptos Desglosados'!$H$8,VLOOKUP($A350,servicios,2,0),IF(L$5='Conceptos Desglosados'!$H$9,VLOOKUP($A350,comyaloj,2,0),IF(L$5='Conceptos Desglosados'!$H$10,VLOOKUP($A350,comandancia,2,0),IF(L$5='Conceptos Desglosados'!$H$11,VLOOKUP($A350,mantenimiento,2,0),IF(L$5='Conceptos Desglosados'!$H$12,VLOOKUP($A350,serestatal,2,0),IF(L$5='Conceptos Desglosados'!$H$13,VLOOKUP($A350,conferencias,2,0),"")))))))))),"")*L$3,"")</f>
        <v/>
      </c>
      <c r="M350" t="str">
        <f>IFERROR(IFERROR(IF(M$5='Conceptos Desglosados'!$H$4,VLOOKUP($A350,dormitorios,2,0),IF(M$5='Conceptos Desglosados'!$H$5,VLOOKUP($A350,comedor,2,0),IF(M$5='Conceptos Desglosados'!$H$6,VLOOKUP($A350,alojamiento,2,0),IF(M$5='Conceptos Desglosados'!$H$7,VLOOKUP($A350,sanidad,2,0),IF(M$5='Conceptos Desglosados'!$H$8,VLOOKUP($A350,servicios,2,0),IF(M$5='Conceptos Desglosados'!$H$9,VLOOKUP($A350,comyaloj,2,0),IF(M$5='Conceptos Desglosados'!$H$10,VLOOKUP($A350,comandancia,2,0),IF(M$5='Conceptos Desglosados'!$H$11,VLOOKUP($A350,mantenimiento,2,0),IF(M$5='Conceptos Desglosados'!$H$12,VLOOKUP($A350,serestatal,2,0),IF(M$5='Conceptos Desglosados'!$H$13,VLOOKUP($A350,conferencias,2,0),"")))))))))),"")*M$3,"")</f>
        <v/>
      </c>
      <c r="O350">
        <f>SUM(K350:M350)</f>
        <v>0</v>
      </c>
    </row>
    <row r="351" spans="1:15" x14ac:dyDescent="0.35">
      <c r="A351">
        <v>346</v>
      </c>
      <c r="B351" t="s">
        <v>10</v>
      </c>
      <c r="C351" t="s">
        <v>1182</v>
      </c>
      <c r="D351" t="s">
        <v>1249</v>
      </c>
      <c r="E351" t="s">
        <v>1177</v>
      </c>
      <c r="F351" t="s">
        <v>511</v>
      </c>
      <c r="G351" t="s">
        <v>0</v>
      </c>
      <c r="H351">
        <v>1.42</v>
      </c>
      <c r="I351">
        <v>2.7149999999999999</v>
      </c>
      <c r="J351" t="s">
        <v>6</v>
      </c>
      <c r="K351" t="str">
        <f>IFERROR(IFERROR(IF(K$5='Conceptos Desglosados'!$H$4,VLOOKUP($A351,dormitorios,2,0),IF(K$5='Conceptos Desglosados'!$H$5,VLOOKUP($A351,comedor,2,0),IF(K$5='Conceptos Desglosados'!$H$6,VLOOKUP($A351,alojamiento,2,0),IF(K$5='Conceptos Desglosados'!$H$7,VLOOKUP($A351,sanidad,2,0),IF(K$5='Conceptos Desglosados'!$H$8,VLOOKUP($A351,servicios,2,0),IF(K$5='Conceptos Desglosados'!$H$9,VLOOKUP($A351,comyaloj,2,0),IF(K$5='Conceptos Desglosados'!$H$10,VLOOKUP($A351,comandancia,2,0),IF(K$5='Conceptos Desglosados'!$H$11,VLOOKUP($A351,mantenimiento,2,0),IF(K$5='Conceptos Desglosados'!$H$12,VLOOKUP($A351,serestatal,2,0),IF(K$5='Conceptos Desglosados'!$H$13,VLOOKUP($A351,conferencias,2,0),"")))))))))),"")*K$3,"")</f>
        <v/>
      </c>
      <c r="L351" t="str">
        <f>IFERROR(IFERROR(IF(L$5='Conceptos Desglosados'!$H$4,VLOOKUP($A351,dormitorios,2,0),IF(L$5='Conceptos Desglosados'!$H$5,VLOOKUP($A351,comedor,2,0),IF(L$5='Conceptos Desglosados'!$H$6,VLOOKUP($A351,alojamiento,2,0),IF(L$5='Conceptos Desglosados'!$H$7,VLOOKUP($A351,sanidad,2,0),IF(L$5='Conceptos Desglosados'!$H$8,VLOOKUP($A351,servicios,2,0),IF(L$5='Conceptos Desglosados'!$H$9,VLOOKUP($A351,comyaloj,2,0),IF(L$5='Conceptos Desglosados'!$H$10,VLOOKUP($A351,comandancia,2,0),IF(L$5='Conceptos Desglosados'!$H$11,VLOOKUP($A351,mantenimiento,2,0),IF(L$5='Conceptos Desglosados'!$H$12,VLOOKUP($A351,serestatal,2,0),IF(L$5='Conceptos Desglosados'!$H$13,VLOOKUP($A351,conferencias,2,0),"")))))))))),"")*L$3,"")</f>
        <v/>
      </c>
      <c r="M351" t="str">
        <f>IFERROR(IFERROR(IF(M$5='Conceptos Desglosados'!$H$4,VLOOKUP($A351,dormitorios,2,0),IF(M$5='Conceptos Desglosados'!$H$5,VLOOKUP($A351,comedor,2,0),IF(M$5='Conceptos Desglosados'!$H$6,VLOOKUP($A351,alojamiento,2,0),IF(M$5='Conceptos Desglosados'!$H$7,VLOOKUP($A351,sanidad,2,0),IF(M$5='Conceptos Desglosados'!$H$8,VLOOKUP($A351,servicios,2,0),IF(M$5='Conceptos Desglosados'!$H$9,VLOOKUP($A351,comyaloj,2,0),IF(M$5='Conceptos Desglosados'!$H$10,VLOOKUP($A351,comandancia,2,0),IF(M$5='Conceptos Desglosados'!$H$11,VLOOKUP($A351,mantenimiento,2,0),IF(M$5='Conceptos Desglosados'!$H$12,VLOOKUP($A351,serestatal,2,0),IF(M$5='Conceptos Desglosados'!$H$13,VLOOKUP($A351,conferencias,2,0),"")))))))))),"")*M$3,"")</f>
        <v/>
      </c>
      <c r="O351">
        <f>SUM(K351:M351)</f>
        <v>0</v>
      </c>
    </row>
    <row r="352" spans="1:15" x14ac:dyDescent="0.35">
      <c r="A352">
        <v>347</v>
      </c>
      <c r="B352" t="s">
        <v>10</v>
      </c>
      <c r="C352" t="s">
        <v>1183</v>
      </c>
      <c r="D352" t="s">
        <v>1250</v>
      </c>
      <c r="E352" t="s">
        <v>1063</v>
      </c>
      <c r="F352" t="s">
        <v>883</v>
      </c>
      <c r="G352" t="s">
        <v>0</v>
      </c>
      <c r="H352">
        <v>2.0960000000000001</v>
      </c>
      <c r="I352">
        <v>2.7149999999999999</v>
      </c>
      <c r="J352" t="s">
        <v>6</v>
      </c>
      <c r="K352" t="str">
        <f>IFERROR(IFERROR(IF(K$5='Conceptos Desglosados'!$H$4,VLOOKUP($A352,dormitorios,2,0),IF(K$5='Conceptos Desglosados'!$H$5,VLOOKUP($A352,comedor,2,0),IF(K$5='Conceptos Desglosados'!$H$6,VLOOKUP($A352,alojamiento,2,0),IF(K$5='Conceptos Desglosados'!$H$7,VLOOKUP($A352,sanidad,2,0),IF(K$5='Conceptos Desglosados'!$H$8,VLOOKUP($A352,servicios,2,0),IF(K$5='Conceptos Desglosados'!$H$9,VLOOKUP($A352,comyaloj,2,0),IF(K$5='Conceptos Desglosados'!$H$10,VLOOKUP($A352,comandancia,2,0),IF(K$5='Conceptos Desglosados'!$H$11,VLOOKUP($A352,mantenimiento,2,0),IF(K$5='Conceptos Desglosados'!$H$12,VLOOKUP($A352,serestatal,2,0),IF(K$5='Conceptos Desglosados'!$H$13,VLOOKUP($A352,conferencias,2,0),"")))))))))),"")*K$3,"")</f>
        <v/>
      </c>
      <c r="L352" t="str">
        <f>IFERROR(IFERROR(IF(L$5='Conceptos Desglosados'!$H$4,VLOOKUP($A352,dormitorios,2,0),IF(L$5='Conceptos Desglosados'!$H$5,VLOOKUP($A352,comedor,2,0),IF(L$5='Conceptos Desglosados'!$H$6,VLOOKUP($A352,alojamiento,2,0),IF(L$5='Conceptos Desglosados'!$H$7,VLOOKUP($A352,sanidad,2,0),IF(L$5='Conceptos Desglosados'!$H$8,VLOOKUP($A352,servicios,2,0),IF(L$5='Conceptos Desglosados'!$H$9,VLOOKUP($A352,comyaloj,2,0),IF(L$5='Conceptos Desglosados'!$H$10,VLOOKUP($A352,comandancia,2,0),IF(L$5='Conceptos Desglosados'!$H$11,VLOOKUP($A352,mantenimiento,2,0),IF(L$5='Conceptos Desglosados'!$H$12,VLOOKUP($A352,serestatal,2,0),IF(L$5='Conceptos Desglosados'!$H$13,VLOOKUP($A352,conferencias,2,0),"")))))))))),"")*L$3,"")</f>
        <v/>
      </c>
      <c r="M352" t="str">
        <f>IFERROR(IFERROR(IF(M$5='Conceptos Desglosados'!$H$4,VLOOKUP($A352,dormitorios,2,0),IF(M$5='Conceptos Desglosados'!$H$5,VLOOKUP($A352,comedor,2,0),IF(M$5='Conceptos Desglosados'!$H$6,VLOOKUP($A352,alojamiento,2,0),IF(M$5='Conceptos Desglosados'!$H$7,VLOOKUP($A352,sanidad,2,0),IF(M$5='Conceptos Desglosados'!$H$8,VLOOKUP($A352,servicios,2,0),IF(M$5='Conceptos Desglosados'!$H$9,VLOOKUP($A352,comyaloj,2,0),IF(M$5='Conceptos Desglosados'!$H$10,VLOOKUP($A352,comandancia,2,0),IF(M$5='Conceptos Desglosados'!$H$11,VLOOKUP($A352,mantenimiento,2,0),IF(M$5='Conceptos Desglosados'!$H$12,VLOOKUP($A352,serestatal,2,0),IF(M$5='Conceptos Desglosados'!$H$13,VLOOKUP($A352,conferencias,2,0),"")))))))))),"")*M$3,"")</f>
        <v/>
      </c>
      <c r="O352">
        <f>SUM(K352:M352)</f>
        <v>0</v>
      </c>
    </row>
    <row r="353" spans="1:15" x14ac:dyDescent="0.35">
      <c r="A353">
        <v>348</v>
      </c>
      <c r="B353" t="s">
        <v>10</v>
      </c>
      <c r="C353" t="s">
        <v>1221</v>
      </c>
      <c r="D353" t="s">
        <v>1261</v>
      </c>
      <c r="E353" t="s">
        <v>1145</v>
      </c>
      <c r="F353" t="s">
        <v>511</v>
      </c>
      <c r="G353" t="s">
        <v>0</v>
      </c>
      <c r="H353">
        <v>1.974</v>
      </c>
      <c r="I353">
        <v>2.7149999999999999</v>
      </c>
      <c r="J353" t="s">
        <v>6</v>
      </c>
      <c r="K353" t="str">
        <f>IFERROR(IFERROR(IF(K$5='Conceptos Desglosados'!$H$4,VLOOKUP($A353,dormitorios,2,0),IF(K$5='Conceptos Desglosados'!$H$5,VLOOKUP($A353,comedor,2,0),IF(K$5='Conceptos Desglosados'!$H$6,VLOOKUP($A353,alojamiento,2,0),IF(K$5='Conceptos Desglosados'!$H$7,VLOOKUP($A353,sanidad,2,0),IF(K$5='Conceptos Desglosados'!$H$8,VLOOKUP($A353,servicios,2,0),IF(K$5='Conceptos Desglosados'!$H$9,VLOOKUP($A353,comyaloj,2,0),IF(K$5='Conceptos Desglosados'!$H$10,VLOOKUP($A353,comandancia,2,0),IF(K$5='Conceptos Desglosados'!$H$11,VLOOKUP($A353,mantenimiento,2,0),IF(K$5='Conceptos Desglosados'!$H$12,VLOOKUP($A353,serestatal,2,0),IF(K$5='Conceptos Desglosados'!$H$13,VLOOKUP($A353,conferencias,2,0),"")))))))))),"")*K$3,"")</f>
        <v/>
      </c>
      <c r="L353" t="str">
        <f>IFERROR(IFERROR(IF(L$5='Conceptos Desglosados'!$H$4,VLOOKUP($A353,dormitorios,2,0),IF(L$5='Conceptos Desglosados'!$H$5,VLOOKUP($A353,comedor,2,0),IF(L$5='Conceptos Desglosados'!$H$6,VLOOKUP($A353,alojamiento,2,0),IF(L$5='Conceptos Desglosados'!$H$7,VLOOKUP($A353,sanidad,2,0),IF(L$5='Conceptos Desglosados'!$H$8,VLOOKUP($A353,servicios,2,0),IF(L$5='Conceptos Desglosados'!$H$9,VLOOKUP($A353,comyaloj,2,0),IF(L$5='Conceptos Desglosados'!$H$10,VLOOKUP($A353,comandancia,2,0),IF(L$5='Conceptos Desglosados'!$H$11,VLOOKUP($A353,mantenimiento,2,0),IF(L$5='Conceptos Desglosados'!$H$12,VLOOKUP($A353,serestatal,2,0),IF(L$5='Conceptos Desglosados'!$H$13,VLOOKUP($A353,conferencias,2,0),"")))))))))),"")*L$3,"")</f>
        <v/>
      </c>
      <c r="M353">
        <f>IFERROR(IFERROR(IF(M$5='Conceptos Desglosados'!$H$4,VLOOKUP($A353,dormitorios,2,0),IF(M$5='Conceptos Desglosados'!$H$5,VLOOKUP($A353,comedor,2,0),IF(M$5='Conceptos Desglosados'!$H$6,VLOOKUP($A353,alojamiento,2,0),IF(M$5='Conceptos Desglosados'!$H$7,VLOOKUP($A353,sanidad,2,0),IF(M$5='Conceptos Desglosados'!$H$8,VLOOKUP($A353,servicios,2,0),IF(M$5='Conceptos Desglosados'!$H$9,VLOOKUP($A353,comyaloj,2,0),IF(M$5='Conceptos Desglosados'!$H$10,VLOOKUP($A353,comandancia,2,0),IF(M$5='Conceptos Desglosados'!$H$11,VLOOKUP($A353,mantenimiento,2,0),IF(M$5='Conceptos Desglosados'!$H$12,VLOOKUP($A353,serestatal,2,0),IF(M$5='Conceptos Desglosados'!$H$13,VLOOKUP($A353,conferencias,2,0),"")))))))))),"")*M$3,"")</f>
        <v>4</v>
      </c>
      <c r="O353">
        <f>SUM(K353:M353)</f>
        <v>4</v>
      </c>
    </row>
    <row r="354" spans="1:15" x14ac:dyDescent="0.35">
      <c r="A354">
        <v>349</v>
      </c>
      <c r="B354" t="s">
        <v>10</v>
      </c>
      <c r="C354" t="s">
        <v>1225</v>
      </c>
      <c r="D354" t="s">
        <v>1262</v>
      </c>
      <c r="E354" t="s">
        <v>1263</v>
      </c>
      <c r="F354" t="s">
        <v>511</v>
      </c>
      <c r="G354" t="s">
        <v>0</v>
      </c>
      <c r="H354">
        <v>1.843</v>
      </c>
      <c r="I354">
        <v>2.7149999999999999</v>
      </c>
      <c r="J354" t="s">
        <v>6</v>
      </c>
      <c r="K354" t="str">
        <f>IFERROR(IFERROR(IF(K$5='Conceptos Desglosados'!$H$4,VLOOKUP($A354,dormitorios,2,0),IF(K$5='Conceptos Desglosados'!$H$5,VLOOKUP($A354,comedor,2,0),IF(K$5='Conceptos Desglosados'!$H$6,VLOOKUP($A354,alojamiento,2,0),IF(K$5='Conceptos Desglosados'!$H$7,VLOOKUP($A354,sanidad,2,0),IF(K$5='Conceptos Desglosados'!$H$8,VLOOKUP($A354,servicios,2,0),IF(K$5='Conceptos Desglosados'!$H$9,VLOOKUP($A354,comyaloj,2,0),IF(K$5='Conceptos Desglosados'!$H$10,VLOOKUP($A354,comandancia,2,0),IF(K$5='Conceptos Desglosados'!$H$11,VLOOKUP($A354,mantenimiento,2,0),IF(K$5='Conceptos Desglosados'!$H$12,VLOOKUP($A354,serestatal,2,0),IF(K$5='Conceptos Desglosados'!$H$13,VLOOKUP($A354,conferencias,2,0),"")))))))))),"")*K$3,"")</f>
        <v/>
      </c>
      <c r="L354" t="str">
        <f>IFERROR(IFERROR(IF(L$5='Conceptos Desglosados'!$H$4,VLOOKUP($A354,dormitorios,2,0),IF(L$5='Conceptos Desglosados'!$H$5,VLOOKUP($A354,comedor,2,0),IF(L$5='Conceptos Desglosados'!$H$6,VLOOKUP($A354,alojamiento,2,0),IF(L$5='Conceptos Desglosados'!$H$7,VLOOKUP($A354,sanidad,2,0),IF(L$5='Conceptos Desglosados'!$H$8,VLOOKUP($A354,servicios,2,0),IF(L$5='Conceptos Desglosados'!$H$9,VLOOKUP($A354,comyaloj,2,0),IF(L$5='Conceptos Desglosados'!$H$10,VLOOKUP($A354,comandancia,2,0),IF(L$5='Conceptos Desglosados'!$H$11,VLOOKUP($A354,mantenimiento,2,0),IF(L$5='Conceptos Desglosados'!$H$12,VLOOKUP($A354,serestatal,2,0),IF(L$5='Conceptos Desglosados'!$H$13,VLOOKUP($A354,conferencias,2,0),"")))))))))),"")*L$3,"")</f>
        <v/>
      </c>
      <c r="M354">
        <f>IFERROR(IFERROR(IF(M$5='Conceptos Desglosados'!$H$4,VLOOKUP($A354,dormitorios,2,0),IF(M$5='Conceptos Desglosados'!$H$5,VLOOKUP($A354,comedor,2,0),IF(M$5='Conceptos Desglosados'!$H$6,VLOOKUP($A354,alojamiento,2,0),IF(M$5='Conceptos Desglosados'!$H$7,VLOOKUP($A354,sanidad,2,0),IF(M$5='Conceptos Desglosados'!$H$8,VLOOKUP($A354,servicios,2,0),IF(M$5='Conceptos Desglosados'!$H$9,VLOOKUP($A354,comyaloj,2,0),IF(M$5='Conceptos Desglosados'!$H$10,VLOOKUP($A354,comandancia,2,0),IF(M$5='Conceptos Desglosados'!$H$11,VLOOKUP($A354,mantenimiento,2,0),IF(M$5='Conceptos Desglosados'!$H$12,VLOOKUP($A354,serestatal,2,0),IF(M$5='Conceptos Desglosados'!$H$13,VLOOKUP($A354,conferencias,2,0),"")))))))))),"")*M$3,"")</f>
        <v>4</v>
      </c>
      <c r="O354">
        <f>SUM(K354:M354)</f>
        <v>4</v>
      </c>
    </row>
    <row r="355" spans="1:15" x14ac:dyDescent="0.35">
      <c r="A355">
        <v>350</v>
      </c>
      <c r="B355" t="s">
        <v>10</v>
      </c>
      <c r="C355" t="s">
        <v>1227</v>
      </c>
      <c r="D355" t="s">
        <v>1272</v>
      </c>
      <c r="E355" t="s">
        <v>1263</v>
      </c>
      <c r="F355" t="s">
        <v>883</v>
      </c>
      <c r="G355" t="s">
        <v>0</v>
      </c>
      <c r="H355">
        <v>2.0449999999999999</v>
      </c>
      <c r="I355">
        <v>2.7149999999999999</v>
      </c>
      <c r="J355" t="s">
        <v>6</v>
      </c>
      <c r="K355" t="str">
        <f>IFERROR(IFERROR(IF(K$5='Conceptos Desglosados'!$H$4,VLOOKUP($A355,dormitorios,2,0),IF(K$5='Conceptos Desglosados'!$H$5,VLOOKUP($A355,comedor,2,0),IF(K$5='Conceptos Desglosados'!$H$6,VLOOKUP($A355,alojamiento,2,0),IF(K$5='Conceptos Desglosados'!$H$7,VLOOKUP($A355,sanidad,2,0),IF(K$5='Conceptos Desglosados'!$H$8,VLOOKUP($A355,servicios,2,0),IF(K$5='Conceptos Desglosados'!$H$9,VLOOKUP($A355,comyaloj,2,0),IF(K$5='Conceptos Desglosados'!$H$10,VLOOKUP($A355,comandancia,2,0),IF(K$5='Conceptos Desglosados'!$H$11,VLOOKUP($A355,mantenimiento,2,0),IF(K$5='Conceptos Desglosados'!$H$12,VLOOKUP($A355,serestatal,2,0),IF(K$5='Conceptos Desglosados'!$H$13,VLOOKUP($A355,conferencias,2,0),"")))))))))),"")*K$3,"")</f>
        <v/>
      </c>
      <c r="L355" t="str">
        <f>IFERROR(IFERROR(IF(L$5='Conceptos Desglosados'!$H$4,VLOOKUP($A355,dormitorios,2,0),IF(L$5='Conceptos Desglosados'!$H$5,VLOOKUP($A355,comedor,2,0),IF(L$5='Conceptos Desglosados'!$H$6,VLOOKUP($A355,alojamiento,2,0),IF(L$5='Conceptos Desglosados'!$H$7,VLOOKUP($A355,sanidad,2,0),IF(L$5='Conceptos Desglosados'!$H$8,VLOOKUP($A355,servicios,2,0),IF(L$5='Conceptos Desglosados'!$H$9,VLOOKUP($A355,comyaloj,2,0),IF(L$5='Conceptos Desglosados'!$H$10,VLOOKUP($A355,comandancia,2,0),IF(L$5='Conceptos Desglosados'!$H$11,VLOOKUP($A355,mantenimiento,2,0),IF(L$5='Conceptos Desglosados'!$H$12,VLOOKUP($A355,serestatal,2,0),IF(L$5='Conceptos Desglosados'!$H$13,VLOOKUP($A355,conferencias,2,0),"")))))))))),"")*L$3,"")</f>
        <v/>
      </c>
      <c r="M355">
        <f>IFERROR(IFERROR(IF(M$5='Conceptos Desglosados'!$H$4,VLOOKUP($A355,dormitorios,2,0),IF(M$5='Conceptos Desglosados'!$H$5,VLOOKUP($A355,comedor,2,0),IF(M$5='Conceptos Desglosados'!$H$6,VLOOKUP($A355,alojamiento,2,0),IF(M$5='Conceptos Desglosados'!$H$7,VLOOKUP($A355,sanidad,2,0),IF(M$5='Conceptos Desglosados'!$H$8,VLOOKUP($A355,servicios,2,0),IF(M$5='Conceptos Desglosados'!$H$9,VLOOKUP($A355,comyaloj,2,0),IF(M$5='Conceptos Desglosados'!$H$10,VLOOKUP($A355,comandancia,2,0),IF(M$5='Conceptos Desglosados'!$H$11,VLOOKUP($A355,mantenimiento,2,0),IF(M$5='Conceptos Desglosados'!$H$12,VLOOKUP($A355,serestatal,2,0),IF(M$5='Conceptos Desglosados'!$H$13,VLOOKUP($A355,conferencias,2,0),"")))))))))),"")*M$3,"")</f>
        <v>4</v>
      </c>
      <c r="O355">
        <f>SUM(K355:M355)</f>
        <v>4</v>
      </c>
    </row>
    <row r="356" spans="1:15" x14ac:dyDescent="0.35">
      <c r="A356">
        <v>351</v>
      </c>
      <c r="B356" t="s">
        <v>10</v>
      </c>
      <c r="C356" t="s">
        <v>923</v>
      </c>
      <c r="D356" t="s">
        <v>925</v>
      </c>
      <c r="E356" t="s">
        <v>924</v>
      </c>
      <c r="F356" t="s">
        <v>883</v>
      </c>
      <c r="G356" t="s">
        <v>2</v>
      </c>
      <c r="H356">
        <v>1.99</v>
      </c>
      <c r="I356">
        <v>2.7149999999999999</v>
      </c>
      <c r="J356" t="s">
        <v>6</v>
      </c>
      <c r="K356" t="str">
        <f>IFERROR(IFERROR(IF(K$5='Conceptos Desglosados'!$H$4,VLOOKUP($A356,dormitorios,2,0),IF(K$5='Conceptos Desglosados'!$H$5,VLOOKUP($A356,comedor,2,0),IF(K$5='Conceptos Desglosados'!$H$6,VLOOKUP($A356,alojamiento,2,0),IF(K$5='Conceptos Desglosados'!$H$7,VLOOKUP($A356,sanidad,2,0),IF(K$5='Conceptos Desglosados'!$H$8,VLOOKUP($A356,servicios,2,0),IF(K$5='Conceptos Desglosados'!$H$9,VLOOKUP($A356,comyaloj,2,0),IF(K$5='Conceptos Desglosados'!$H$10,VLOOKUP($A356,comandancia,2,0),IF(K$5='Conceptos Desglosados'!$H$11,VLOOKUP($A356,mantenimiento,2,0),IF(K$5='Conceptos Desglosados'!$H$12,VLOOKUP($A356,serestatal,2,0),IF(K$5='Conceptos Desglosados'!$H$13,VLOOKUP($A356,conferencias,2,0),"")))))))))),"")*K$3,"")</f>
        <v/>
      </c>
      <c r="L356" t="str">
        <f>IFERROR(IFERROR(IF(L$5='Conceptos Desglosados'!$H$4,VLOOKUP($A356,dormitorios,2,0),IF(L$5='Conceptos Desglosados'!$H$5,VLOOKUP($A356,comedor,2,0),IF(L$5='Conceptos Desglosados'!$H$6,VLOOKUP($A356,alojamiento,2,0),IF(L$5='Conceptos Desglosados'!$H$7,VLOOKUP($A356,sanidad,2,0),IF(L$5='Conceptos Desglosados'!$H$8,VLOOKUP($A356,servicios,2,0),IF(L$5='Conceptos Desglosados'!$H$9,VLOOKUP($A356,comyaloj,2,0),IF(L$5='Conceptos Desglosados'!$H$10,VLOOKUP($A356,comandancia,2,0),IF(L$5='Conceptos Desglosados'!$H$11,VLOOKUP($A356,mantenimiento,2,0),IF(L$5='Conceptos Desglosados'!$H$12,VLOOKUP($A356,serestatal,2,0),IF(L$5='Conceptos Desglosados'!$H$13,VLOOKUP($A356,conferencias,2,0),"")))))))))),"")*L$3,"")</f>
        <v/>
      </c>
      <c r="M356" t="str">
        <f>IFERROR(IFERROR(IF(M$5='Conceptos Desglosados'!$H$4,VLOOKUP($A356,dormitorios,2,0),IF(M$5='Conceptos Desglosados'!$H$5,VLOOKUP($A356,comedor,2,0),IF(M$5='Conceptos Desglosados'!$H$6,VLOOKUP($A356,alojamiento,2,0),IF(M$5='Conceptos Desglosados'!$H$7,VLOOKUP($A356,sanidad,2,0),IF(M$5='Conceptos Desglosados'!$H$8,VLOOKUP($A356,servicios,2,0),IF(M$5='Conceptos Desglosados'!$H$9,VLOOKUP($A356,comyaloj,2,0),IF(M$5='Conceptos Desglosados'!$H$10,VLOOKUP($A356,comandancia,2,0),IF(M$5='Conceptos Desglosados'!$H$11,VLOOKUP($A356,mantenimiento,2,0),IF(M$5='Conceptos Desglosados'!$H$12,VLOOKUP($A356,serestatal,2,0),IF(M$5='Conceptos Desglosados'!$H$13,VLOOKUP($A356,conferencias,2,0),"")))))))))),"")*M$3,"")</f>
        <v/>
      </c>
      <c r="O356">
        <f>SUM(K356:M356)</f>
        <v>0</v>
      </c>
    </row>
    <row r="357" spans="1:15" x14ac:dyDescent="0.35">
      <c r="A357">
        <v>352</v>
      </c>
      <c r="B357" t="s">
        <v>10</v>
      </c>
      <c r="C357" t="s">
        <v>1188</v>
      </c>
      <c r="D357" t="s">
        <v>1189</v>
      </c>
      <c r="E357" t="s">
        <v>1190</v>
      </c>
      <c r="F357" t="s">
        <v>883</v>
      </c>
      <c r="G357" t="s">
        <v>0</v>
      </c>
      <c r="H357">
        <v>2.02</v>
      </c>
      <c r="I357">
        <v>2.7149999999999999</v>
      </c>
      <c r="J357" t="s">
        <v>6</v>
      </c>
      <c r="K357" t="str">
        <f>IFERROR(IFERROR(IF(K$5='Conceptos Desglosados'!$H$4,VLOOKUP($A357,dormitorios,2,0),IF(K$5='Conceptos Desglosados'!$H$5,VLOOKUP($A357,comedor,2,0),IF(K$5='Conceptos Desglosados'!$H$6,VLOOKUP($A357,alojamiento,2,0),IF(K$5='Conceptos Desglosados'!$H$7,VLOOKUP($A357,sanidad,2,0),IF(K$5='Conceptos Desglosados'!$H$8,VLOOKUP($A357,servicios,2,0),IF(K$5='Conceptos Desglosados'!$H$9,VLOOKUP($A357,comyaloj,2,0),IF(K$5='Conceptos Desglosados'!$H$10,VLOOKUP($A357,comandancia,2,0),IF(K$5='Conceptos Desglosados'!$H$11,VLOOKUP($A357,mantenimiento,2,0),IF(K$5='Conceptos Desglosados'!$H$12,VLOOKUP($A357,serestatal,2,0),IF(K$5='Conceptos Desglosados'!$H$13,VLOOKUP($A357,conferencias,2,0),"")))))))))),"")*K$3,"")</f>
        <v/>
      </c>
      <c r="L357" t="str">
        <f>IFERROR(IFERROR(IF(L$5='Conceptos Desglosados'!$H$4,VLOOKUP($A357,dormitorios,2,0),IF(L$5='Conceptos Desglosados'!$H$5,VLOOKUP($A357,comedor,2,0),IF(L$5='Conceptos Desglosados'!$H$6,VLOOKUP($A357,alojamiento,2,0),IF(L$5='Conceptos Desglosados'!$H$7,VLOOKUP($A357,sanidad,2,0),IF(L$5='Conceptos Desglosados'!$H$8,VLOOKUP($A357,servicios,2,0),IF(L$5='Conceptos Desglosados'!$H$9,VLOOKUP($A357,comyaloj,2,0),IF(L$5='Conceptos Desglosados'!$H$10,VLOOKUP($A357,comandancia,2,0),IF(L$5='Conceptos Desglosados'!$H$11,VLOOKUP($A357,mantenimiento,2,0),IF(L$5='Conceptos Desglosados'!$H$12,VLOOKUP($A357,serestatal,2,0),IF(L$5='Conceptos Desglosados'!$H$13,VLOOKUP($A357,conferencias,2,0),"")))))))))),"")*L$3,"")</f>
        <v/>
      </c>
      <c r="M357" t="str">
        <f>IFERROR(IFERROR(IF(M$5='Conceptos Desglosados'!$H$4,VLOOKUP($A357,dormitorios,2,0),IF(M$5='Conceptos Desglosados'!$H$5,VLOOKUP($A357,comedor,2,0),IF(M$5='Conceptos Desglosados'!$H$6,VLOOKUP($A357,alojamiento,2,0),IF(M$5='Conceptos Desglosados'!$H$7,VLOOKUP($A357,sanidad,2,0),IF(M$5='Conceptos Desglosados'!$H$8,VLOOKUP($A357,servicios,2,0),IF(M$5='Conceptos Desglosados'!$H$9,VLOOKUP($A357,comyaloj,2,0),IF(M$5='Conceptos Desglosados'!$H$10,VLOOKUP($A357,comandancia,2,0),IF(M$5='Conceptos Desglosados'!$H$11,VLOOKUP($A357,mantenimiento,2,0),IF(M$5='Conceptos Desglosados'!$H$12,VLOOKUP($A357,serestatal,2,0),IF(M$5='Conceptos Desglosados'!$H$13,VLOOKUP($A357,conferencias,2,0),"")))))))))),"")*M$3,"")</f>
        <v/>
      </c>
      <c r="O357">
        <f>SUM(K357:M357)</f>
        <v>0</v>
      </c>
    </row>
    <row r="358" spans="1:15" x14ac:dyDescent="0.35">
      <c r="A358">
        <v>353</v>
      </c>
      <c r="B358" t="s">
        <v>10</v>
      </c>
      <c r="C358" t="s">
        <v>120</v>
      </c>
      <c r="D358" t="s">
        <v>240</v>
      </c>
      <c r="E358" t="s">
        <v>300</v>
      </c>
      <c r="F358" t="s">
        <v>883</v>
      </c>
      <c r="G358" t="s">
        <v>0</v>
      </c>
      <c r="H358">
        <v>1.95</v>
      </c>
      <c r="I358">
        <v>2.7149999999999999</v>
      </c>
      <c r="J358" t="s">
        <v>6</v>
      </c>
      <c r="K358" t="str">
        <f>IFERROR(IFERROR(IF(K$5='Conceptos Desglosados'!$H$4,VLOOKUP($A358,dormitorios,2,0),IF(K$5='Conceptos Desglosados'!$H$5,VLOOKUP($A358,comedor,2,0),IF(K$5='Conceptos Desglosados'!$H$6,VLOOKUP($A358,alojamiento,2,0),IF(K$5='Conceptos Desglosados'!$H$7,VLOOKUP($A358,sanidad,2,0),IF(K$5='Conceptos Desglosados'!$H$8,VLOOKUP($A358,servicios,2,0),IF(K$5='Conceptos Desglosados'!$H$9,VLOOKUP($A358,comyaloj,2,0),IF(K$5='Conceptos Desglosados'!$H$10,VLOOKUP($A358,comandancia,2,0),IF(K$5='Conceptos Desglosados'!$H$11,VLOOKUP($A358,mantenimiento,2,0),IF(K$5='Conceptos Desglosados'!$H$12,VLOOKUP($A358,serestatal,2,0),IF(K$5='Conceptos Desglosados'!$H$13,VLOOKUP($A358,conferencias,2,0),"")))))))))),"")*K$3,"")</f>
        <v/>
      </c>
      <c r="L358" t="str">
        <f>IFERROR(IFERROR(IF(L$5='Conceptos Desglosados'!$H$4,VLOOKUP($A358,dormitorios,2,0),IF(L$5='Conceptos Desglosados'!$H$5,VLOOKUP($A358,comedor,2,0),IF(L$5='Conceptos Desglosados'!$H$6,VLOOKUP($A358,alojamiento,2,0),IF(L$5='Conceptos Desglosados'!$H$7,VLOOKUP($A358,sanidad,2,0),IF(L$5='Conceptos Desglosados'!$H$8,VLOOKUP($A358,servicios,2,0),IF(L$5='Conceptos Desglosados'!$H$9,VLOOKUP($A358,comyaloj,2,0),IF(L$5='Conceptos Desglosados'!$H$10,VLOOKUP($A358,comandancia,2,0),IF(L$5='Conceptos Desglosados'!$H$11,VLOOKUP($A358,mantenimiento,2,0),IF(L$5='Conceptos Desglosados'!$H$12,VLOOKUP($A358,serestatal,2,0),IF(L$5='Conceptos Desglosados'!$H$13,VLOOKUP($A358,conferencias,2,0),"")))))))))),"")*L$3,"")</f>
        <v/>
      </c>
      <c r="M358" t="str">
        <f>IFERROR(IFERROR(IF(M$5='Conceptos Desglosados'!$H$4,VLOOKUP($A358,dormitorios,2,0),IF(M$5='Conceptos Desglosados'!$H$5,VLOOKUP($A358,comedor,2,0),IF(M$5='Conceptos Desglosados'!$H$6,VLOOKUP($A358,alojamiento,2,0),IF(M$5='Conceptos Desglosados'!$H$7,VLOOKUP($A358,sanidad,2,0),IF(M$5='Conceptos Desglosados'!$H$8,VLOOKUP($A358,servicios,2,0),IF(M$5='Conceptos Desglosados'!$H$9,VLOOKUP($A358,comyaloj,2,0),IF(M$5='Conceptos Desglosados'!$H$10,VLOOKUP($A358,comandancia,2,0),IF(M$5='Conceptos Desglosados'!$H$11,VLOOKUP($A358,mantenimiento,2,0),IF(M$5='Conceptos Desglosados'!$H$12,VLOOKUP($A358,serestatal,2,0),IF(M$5='Conceptos Desglosados'!$H$13,VLOOKUP($A358,conferencias,2,0),"")))))))))),"")*M$3,"")</f>
        <v/>
      </c>
      <c r="O358">
        <f>SUM(K358:M358)</f>
        <v>0</v>
      </c>
    </row>
    <row r="359" spans="1:15" x14ac:dyDescent="0.35">
      <c r="A359">
        <v>354</v>
      </c>
      <c r="B359" t="s">
        <v>10</v>
      </c>
      <c r="C359" t="s">
        <v>299</v>
      </c>
      <c r="D359" t="s">
        <v>298</v>
      </c>
      <c r="E359" t="s">
        <v>300</v>
      </c>
      <c r="F359" t="s">
        <v>883</v>
      </c>
      <c r="G359" t="s">
        <v>2</v>
      </c>
      <c r="H359">
        <v>1.99</v>
      </c>
      <c r="I359">
        <v>2.7149999999999999</v>
      </c>
      <c r="J359" t="s">
        <v>6</v>
      </c>
      <c r="K359" t="str">
        <f>IFERROR(IFERROR(IF(K$5='Conceptos Desglosados'!$H$4,VLOOKUP($A359,dormitorios,2,0),IF(K$5='Conceptos Desglosados'!$H$5,VLOOKUP($A359,comedor,2,0),IF(K$5='Conceptos Desglosados'!$H$6,VLOOKUP($A359,alojamiento,2,0),IF(K$5='Conceptos Desglosados'!$H$7,VLOOKUP($A359,sanidad,2,0),IF(K$5='Conceptos Desglosados'!$H$8,VLOOKUP($A359,servicios,2,0),IF(K$5='Conceptos Desglosados'!$H$9,VLOOKUP($A359,comyaloj,2,0),IF(K$5='Conceptos Desglosados'!$H$10,VLOOKUP($A359,comandancia,2,0),IF(K$5='Conceptos Desglosados'!$H$11,VLOOKUP($A359,mantenimiento,2,0),IF(K$5='Conceptos Desglosados'!$H$12,VLOOKUP($A359,serestatal,2,0),IF(K$5='Conceptos Desglosados'!$H$13,VLOOKUP($A359,conferencias,2,0),"")))))))))),"")*K$3,"")</f>
        <v/>
      </c>
      <c r="L359" t="str">
        <f>IFERROR(IFERROR(IF(L$5='Conceptos Desglosados'!$H$4,VLOOKUP($A359,dormitorios,2,0),IF(L$5='Conceptos Desglosados'!$H$5,VLOOKUP($A359,comedor,2,0),IF(L$5='Conceptos Desglosados'!$H$6,VLOOKUP($A359,alojamiento,2,0),IF(L$5='Conceptos Desglosados'!$H$7,VLOOKUP($A359,sanidad,2,0),IF(L$5='Conceptos Desglosados'!$H$8,VLOOKUP($A359,servicios,2,0),IF(L$5='Conceptos Desglosados'!$H$9,VLOOKUP($A359,comyaloj,2,0),IF(L$5='Conceptos Desglosados'!$H$10,VLOOKUP($A359,comandancia,2,0),IF(L$5='Conceptos Desglosados'!$H$11,VLOOKUP($A359,mantenimiento,2,0),IF(L$5='Conceptos Desglosados'!$H$12,VLOOKUP($A359,serestatal,2,0),IF(L$5='Conceptos Desglosados'!$H$13,VLOOKUP($A359,conferencias,2,0),"")))))))))),"")*L$3,"")</f>
        <v/>
      </c>
      <c r="M359" t="str">
        <f>IFERROR(IFERROR(IF(M$5='Conceptos Desglosados'!$H$4,VLOOKUP($A359,dormitorios,2,0),IF(M$5='Conceptos Desglosados'!$H$5,VLOOKUP($A359,comedor,2,0),IF(M$5='Conceptos Desglosados'!$H$6,VLOOKUP($A359,alojamiento,2,0),IF(M$5='Conceptos Desglosados'!$H$7,VLOOKUP($A359,sanidad,2,0),IF(M$5='Conceptos Desglosados'!$H$8,VLOOKUP($A359,servicios,2,0),IF(M$5='Conceptos Desglosados'!$H$9,VLOOKUP($A359,comyaloj,2,0),IF(M$5='Conceptos Desglosados'!$H$10,VLOOKUP($A359,comandancia,2,0),IF(M$5='Conceptos Desglosados'!$H$11,VLOOKUP($A359,mantenimiento,2,0),IF(M$5='Conceptos Desglosados'!$H$12,VLOOKUP($A359,serestatal,2,0),IF(M$5='Conceptos Desglosados'!$H$13,VLOOKUP($A359,conferencias,2,0),"")))))))))),"")*M$3,"")</f>
        <v/>
      </c>
      <c r="O359">
        <f>SUM(K359:M359)</f>
        <v>0</v>
      </c>
    </row>
    <row r="360" spans="1:15" x14ac:dyDescent="0.35">
      <c r="A360">
        <v>355</v>
      </c>
      <c r="B360" t="s">
        <v>10</v>
      </c>
      <c r="C360" t="s">
        <v>382</v>
      </c>
      <c r="D360" t="s">
        <v>383</v>
      </c>
      <c r="E360" t="s">
        <v>418</v>
      </c>
      <c r="F360" t="s">
        <v>883</v>
      </c>
      <c r="G360" t="s">
        <v>0</v>
      </c>
      <c r="H360">
        <v>2.0299999999999998</v>
      </c>
      <c r="I360">
        <v>2.5</v>
      </c>
      <c r="J360" t="s">
        <v>6</v>
      </c>
      <c r="K360" t="str">
        <f>IFERROR(IFERROR(IF(K$5='Conceptos Desglosados'!$H$4,VLOOKUP($A360,dormitorios,2,0),IF(K$5='Conceptos Desglosados'!$H$5,VLOOKUP($A360,comedor,2,0),IF(K$5='Conceptos Desglosados'!$H$6,VLOOKUP($A360,alojamiento,2,0),IF(K$5='Conceptos Desglosados'!$H$7,VLOOKUP($A360,sanidad,2,0),IF(K$5='Conceptos Desglosados'!$H$8,VLOOKUP($A360,servicios,2,0),IF(K$5='Conceptos Desglosados'!$H$9,VLOOKUP($A360,comyaloj,2,0),IF(K$5='Conceptos Desglosados'!$H$10,VLOOKUP($A360,comandancia,2,0),IF(K$5='Conceptos Desglosados'!$H$11,VLOOKUP($A360,mantenimiento,2,0),IF(K$5='Conceptos Desglosados'!$H$12,VLOOKUP($A360,serestatal,2,0),IF(K$5='Conceptos Desglosados'!$H$13,VLOOKUP($A360,conferencias,2,0),"")))))))))),"")*K$3,"")</f>
        <v/>
      </c>
      <c r="L360" t="str">
        <f>IFERROR(IFERROR(IF(L$5='Conceptos Desglosados'!$H$4,VLOOKUP($A360,dormitorios,2,0),IF(L$5='Conceptos Desglosados'!$H$5,VLOOKUP($A360,comedor,2,0),IF(L$5='Conceptos Desglosados'!$H$6,VLOOKUP($A360,alojamiento,2,0),IF(L$5='Conceptos Desglosados'!$H$7,VLOOKUP($A360,sanidad,2,0),IF(L$5='Conceptos Desglosados'!$H$8,VLOOKUP($A360,servicios,2,0),IF(L$5='Conceptos Desglosados'!$H$9,VLOOKUP($A360,comyaloj,2,0),IF(L$5='Conceptos Desglosados'!$H$10,VLOOKUP($A360,comandancia,2,0),IF(L$5='Conceptos Desglosados'!$H$11,VLOOKUP($A360,mantenimiento,2,0),IF(L$5='Conceptos Desglosados'!$H$12,VLOOKUP($A360,serestatal,2,0),IF(L$5='Conceptos Desglosados'!$H$13,VLOOKUP($A360,conferencias,2,0),"")))))))))),"")*L$3,"")</f>
        <v/>
      </c>
      <c r="M360" t="str">
        <f>IFERROR(IFERROR(IF(M$5='Conceptos Desglosados'!$H$4,VLOOKUP($A360,dormitorios,2,0),IF(M$5='Conceptos Desglosados'!$H$5,VLOOKUP($A360,comedor,2,0),IF(M$5='Conceptos Desglosados'!$H$6,VLOOKUP($A360,alojamiento,2,0),IF(M$5='Conceptos Desglosados'!$H$7,VLOOKUP($A360,sanidad,2,0),IF(M$5='Conceptos Desglosados'!$H$8,VLOOKUP($A360,servicios,2,0),IF(M$5='Conceptos Desglosados'!$H$9,VLOOKUP($A360,comyaloj,2,0),IF(M$5='Conceptos Desglosados'!$H$10,VLOOKUP($A360,comandancia,2,0),IF(M$5='Conceptos Desglosados'!$H$11,VLOOKUP($A360,mantenimiento,2,0),IF(M$5='Conceptos Desglosados'!$H$12,VLOOKUP($A360,serestatal,2,0),IF(M$5='Conceptos Desglosados'!$H$13,VLOOKUP($A360,conferencias,2,0),"")))))))))),"")*M$3,"")</f>
        <v/>
      </c>
      <c r="O360">
        <f>SUM(K360:M360)</f>
        <v>0</v>
      </c>
    </row>
    <row r="361" spans="1:15" x14ac:dyDescent="0.35">
      <c r="A361">
        <v>356</v>
      </c>
      <c r="B361" t="s">
        <v>10</v>
      </c>
      <c r="C361" t="s">
        <v>593</v>
      </c>
      <c r="D361" t="s">
        <v>594</v>
      </c>
      <c r="E361" t="s">
        <v>595</v>
      </c>
      <c r="F361" t="s">
        <v>883</v>
      </c>
      <c r="G361" t="s">
        <v>0</v>
      </c>
      <c r="H361">
        <v>1.96</v>
      </c>
      <c r="I361">
        <v>2.7149999999999999</v>
      </c>
      <c r="J361" t="s">
        <v>6</v>
      </c>
      <c r="K361" t="str">
        <f>IFERROR(IFERROR(IF(K$5='Conceptos Desglosados'!$H$4,VLOOKUP($A361,dormitorios,2,0),IF(K$5='Conceptos Desglosados'!$H$5,VLOOKUP($A361,comedor,2,0),IF(K$5='Conceptos Desglosados'!$H$6,VLOOKUP($A361,alojamiento,2,0),IF(K$5='Conceptos Desglosados'!$H$7,VLOOKUP($A361,sanidad,2,0),IF(K$5='Conceptos Desglosados'!$H$8,VLOOKUP($A361,servicios,2,0),IF(K$5='Conceptos Desglosados'!$H$9,VLOOKUP($A361,comyaloj,2,0),IF(K$5='Conceptos Desglosados'!$H$10,VLOOKUP($A361,comandancia,2,0),IF(K$5='Conceptos Desglosados'!$H$11,VLOOKUP($A361,mantenimiento,2,0),IF(K$5='Conceptos Desglosados'!$H$12,VLOOKUP($A361,serestatal,2,0),IF(K$5='Conceptos Desglosados'!$H$13,VLOOKUP($A361,conferencias,2,0),"")))))))))),"")*K$3,"")</f>
        <v/>
      </c>
      <c r="L361" t="str">
        <f>IFERROR(IFERROR(IF(L$5='Conceptos Desglosados'!$H$4,VLOOKUP($A361,dormitorios,2,0),IF(L$5='Conceptos Desglosados'!$H$5,VLOOKUP($A361,comedor,2,0),IF(L$5='Conceptos Desglosados'!$H$6,VLOOKUP($A361,alojamiento,2,0),IF(L$5='Conceptos Desglosados'!$H$7,VLOOKUP($A361,sanidad,2,0),IF(L$5='Conceptos Desglosados'!$H$8,VLOOKUP($A361,servicios,2,0),IF(L$5='Conceptos Desglosados'!$H$9,VLOOKUP($A361,comyaloj,2,0),IF(L$5='Conceptos Desglosados'!$H$10,VLOOKUP($A361,comandancia,2,0),IF(L$5='Conceptos Desglosados'!$H$11,VLOOKUP($A361,mantenimiento,2,0),IF(L$5='Conceptos Desglosados'!$H$12,VLOOKUP($A361,serestatal,2,0),IF(L$5='Conceptos Desglosados'!$H$13,VLOOKUP($A361,conferencias,2,0),"")))))))))),"")*L$3,"")</f>
        <v/>
      </c>
      <c r="M361" t="str">
        <f>IFERROR(IFERROR(IF(M$5='Conceptos Desglosados'!$H$4,VLOOKUP($A361,dormitorios,2,0),IF(M$5='Conceptos Desglosados'!$H$5,VLOOKUP($A361,comedor,2,0),IF(M$5='Conceptos Desglosados'!$H$6,VLOOKUP($A361,alojamiento,2,0),IF(M$5='Conceptos Desglosados'!$H$7,VLOOKUP($A361,sanidad,2,0),IF(M$5='Conceptos Desglosados'!$H$8,VLOOKUP($A361,servicios,2,0),IF(M$5='Conceptos Desglosados'!$H$9,VLOOKUP($A361,comyaloj,2,0),IF(M$5='Conceptos Desglosados'!$H$10,VLOOKUP($A361,comandancia,2,0),IF(M$5='Conceptos Desglosados'!$H$11,VLOOKUP($A361,mantenimiento,2,0),IF(M$5='Conceptos Desglosados'!$H$12,VLOOKUP($A361,serestatal,2,0),IF(M$5='Conceptos Desglosados'!$H$13,VLOOKUP($A361,conferencias,2,0),"")))))))))),"")*M$3,"")</f>
        <v/>
      </c>
      <c r="O361">
        <f>SUM(K361:M361)</f>
        <v>0</v>
      </c>
    </row>
    <row r="362" spans="1:15" x14ac:dyDescent="0.35">
      <c r="A362">
        <v>357</v>
      </c>
      <c r="B362" t="s">
        <v>10</v>
      </c>
      <c r="C362" t="s">
        <v>740</v>
      </c>
      <c r="D362" t="s">
        <v>741</v>
      </c>
      <c r="E362" t="s">
        <v>595</v>
      </c>
      <c r="F362" t="s">
        <v>667</v>
      </c>
      <c r="G362" t="s">
        <v>0</v>
      </c>
      <c r="H362">
        <v>1.96</v>
      </c>
      <c r="I362">
        <v>2.7149999999999999</v>
      </c>
      <c r="J362" t="s">
        <v>6</v>
      </c>
      <c r="K362" t="str">
        <f>IFERROR(IFERROR(IF(K$5='Conceptos Desglosados'!$H$4,VLOOKUP($A362,dormitorios,2,0),IF(K$5='Conceptos Desglosados'!$H$5,VLOOKUP($A362,comedor,2,0),IF(K$5='Conceptos Desglosados'!$H$6,VLOOKUP($A362,alojamiento,2,0),IF(K$5='Conceptos Desglosados'!$H$7,VLOOKUP($A362,sanidad,2,0),IF(K$5='Conceptos Desglosados'!$H$8,VLOOKUP($A362,servicios,2,0),IF(K$5='Conceptos Desglosados'!$H$9,VLOOKUP($A362,comyaloj,2,0),IF(K$5='Conceptos Desglosados'!$H$10,VLOOKUP($A362,comandancia,2,0),IF(K$5='Conceptos Desglosados'!$H$11,VLOOKUP($A362,mantenimiento,2,0),IF(K$5='Conceptos Desglosados'!$H$12,VLOOKUP($A362,serestatal,2,0),IF(K$5='Conceptos Desglosados'!$H$13,VLOOKUP($A362,conferencias,2,0),"")))))))))),"")*K$3,"")</f>
        <v/>
      </c>
      <c r="L362" t="str">
        <f>IFERROR(IFERROR(IF(L$5='Conceptos Desglosados'!$H$4,VLOOKUP($A362,dormitorios,2,0),IF(L$5='Conceptos Desglosados'!$H$5,VLOOKUP($A362,comedor,2,0),IF(L$5='Conceptos Desglosados'!$H$6,VLOOKUP($A362,alojamiento,2,0),IF(L$5='Conceptos Desglosados'!$H$7,VLOOKUP($A362,sanidad,2,0),IF(L$5='Conceptos Desglosados'!$H$8,VLOOKUP($A362,servicios,2,0),IF(L$5='Conceptos Desglosados'!$H$9,VLOOKUP($A362,comyaloj,2,0),IF(L$5='Conceptos Desglosados'!$H$10,VLOOKUP($A362,comandancia,2,0),IF(L$5='Conceptos Desglosados'!$H$11,VLOOKUP($A362,mantenimiento,2,0),IF(L$5='Conceptos Desglosados'!$H$12,VLOOKUP($A362,serestatal,2,0),IF(L$5='Conceptos Desglosados'!$H$13,VLOOKUP($A362,conferencias,2,0),"")))))))))),"")*L$3,"")</f>
        <v/>
      </c>
      <c r="M362" t="str">
        <f>IFERROR(IFERROR(IF(M$5='Conceptos Desglosados'!$H$4,VLOOKUP($A362,dormitorios,2,0),IF(M$5='Conceptos Desglosados'!$H$5,VLOOKUP($A362,comedor,2,0),IF(M$5='Conceptos Desglosados'!$H$6,VLOOKUP($A362,alojamiento,2,0),IF(M$5='Conceptos Desglosados'!$H$7,VLOOKUP($A362,sanidad,2,0),IF(M$5='Conceptos Desglosados'!$H$8,VLOOKUP($A362,servicios,2,0),IF(M$5='Conceptos Desglosados'!$H$9,VLOOKUP($A362,comyaloj,2,0),IF(M$5='Conceptos Desglosados'!$H$10,VLOOKUP($A362,comandancia,2,0),IF(M$5='Conceptos Desglosados'!$H$11,VLOOKUP($A362,mantenimiento,2,0),IF(M$5='Conceptos Desglosados'!$H$12,VLOOKUP($A362,serestatal,2,0),IF(M$5='Conceptos Desglosados'!$H$13,VLOOKUP($A362,conferencias,2,0),"")))))))))),"")*M$3,"")</f>
        <v/>
      </c>
      <c r="O362">
        <f>SUM(K362:M362)</f>
        <v>0</v>
      </c>
    </row>
    <row r="363" spans="1:15" x14ac:dyDescent="0.35">
      <c r="A363">
        <v>358</v>
      </c>
      <c r="B363" t="s">
        <v>10</v>
      </c>
      <c r="C363" t="s">
        <v>871</v>
      </c>
      <c r="D363" t="s">
        <v>872</v>
      </c>
      <c r="E363" t="s">
        <v>595</v>
      </c>
      <c r="F363" t="s">
        <v>667</v>
      </c>
      <c r="G363" t="s">
        <v>0</v>
      </c>
      <c r="H363">
        <v>2.02</v>
      </c>
      <c r="I363">
        <v>2.7149999999999999</v>
      </c>
      <c r="J363" t="s">
        <v>6</v>
      </c>
      <c r="K363" t="str">
        <f>IFERROR(IFERROR(IF(K$5='Conceptos Desglosados'!$H$4,VLOOKUP($A363,dormitorios,2,0),IF(K$5='Conceptos Desglosados'!$H$5,VLOOKUP($A363,comedor,2,0),IF(K$5='Conceptos Desglosados'!$H$6,VLOOKUP($A363,alojamiento,2,0),IF(K$5='Conceptos Desglosados'!$H$7,VLOOKUP($A363,sanidad,2,0),IF(K$5='Conceptos Desglosados'!$H$8,VLOOKUP($A363,servicios,2,0),IF(K$5='Conceptos Desglosados'!$H$9,VLOOKUP($A363,comyaloj,2,0),IF(K$5='Conceptos Desglosados'!$H$10,VLOOKUP($A363,comandancia,2,0),IF(K$5='Conceptos Desglosados'!$H$11,VLOOKUP($A363,mantenimiento,2,0),IF(K$5='Conceptos Desglosados'!$H$12,VLOOKUP($A363,serestatal,2,0),IF(K$5='Conceptos Desglosados'!$H$13,VLOOKUP($A363,conferencias,2,0),"")))))))))),"")*K$3,"")</f>
        <v/>
      </c>
      <c r="L363" t="str">
        <f>IFERROR(IFERROR(IF(L$5='Conceptos Desglosados'!$H$4,VLOOKUP($A363,dormitorios,2,0),IF(L$5='Conceptos Desglosados'!$H$5,VLOOKUP($A363,comedor,2,0),IF(L$5='Conceptos Desglosados'!$H$6,VLOOKUP($A363,alojamiento,2,0),IF(L$5='Conceptos Desglosados'!$H$7,VLOOKUP($A363,sanidad,2,0),IF(L$5='Conceptos Desglosados'!$H$8,VLOOKUP($A363,servicios,2,0),IF(L$5='Conceptos Desglosados'!$H$9,VLOOKUP($A363,comyaloj,2,0),IF(L$5='Conceptos Desglosados'!$H$10,VLOOKUP($A363,comandancia,2,0),IF(L$5='Conceptos Desglosados'!$H$11,VLOOKUP($A363,mantenimiento,2,0),IF(L$5='Conceptos Desglosados'!$H$12,VLOOKUP($A363,serestatal,2,0),IF(L$5='Conceptos Desglosados'!$H$13,VLOOKUP($A363,conferencias,2,0),"")))))))))),"")*L$3,"")</f>
        <v/>
      </c>
      <c r="M363" t="str">
        <f>IFERROR(IFERROR(IF(M$5='Conceptos Desglosados'!$H$4,VLOOKUP($A363,dormitorios,2,0),IF(M$5='Conceptos Desglosados'!$H$5,VLOOKUP($A363,comedor,2,0),IF(M$5='Conceptos Desglosados'!$H$6,VLOOKUP($A363,alojamiento,2,0),IF(M$5='Conceptos Desglosados'!$H$7,VLOOKUP($A363,sanidad,2,0),IF(M$5='Conceptos Desglosados'!$H$8,VLOOKUP($A363,servicios,2,0),IF(M$5='Conceptos Desglosados'!$H$9,VLOOKUP($A363,comyaloj,2,0),IF(M$5='Conceptos Desglosados'!$H$10,VLOOKUP($A363,comandancia,2,0),IF(M$5='Conceptos Desglosados'!$H$11,VLOOKUP($A363,mantenimiento,2,0),IF(M$5='Conceptos Desglosados'!$H$12,VLOOKUP($A363,serestatal,2,0),IF(M$5='Conceptos Desglosados'!$H$13,VLOOKUP($A363,conferencias,2,0),"")))))))))),"")*M$3,"")</f>
        <v/>
      </c>
      <c r="O363">
        <f>SUM(K363:M363)</f>
        <v>0</v>
      </c>
    </row>
    <row r="364" spans="1:15" x14ac:dyDescent="0.35">
      <c r="A364">
        <v>359</v>
      </c>
      <c r="B364" t="s">
        <v>10</v>
      </c>
      <c r="C364" t="s">
        <v>1030</v>
      </c>
      <c r="D364" t="s">
        <v>1028</v>
      </c>
      <c r="E364" t="s">
        <v>1027</v>
      </c>
      <c r="F364" t="s">
        <v>511</v>
      </c>
      <c r="G364" t="s">
        <v>0</v>
      </c>
      <c r="H364">
        <v>1.968</v>
      </c>
      <c r="I364">
        <v>2.7149999999999999</v>
      </c>
      <c r="J364" t="s">
        <v>6</v>
      </c>
      <c r="K364" t="str">
        <f>IFERROR(IFERROR(IF(K$5='Conceptos Desglosados'!$H$4,VLOOKUP($A364,dormitorios,2,0),IF(K$5='Conceptos Desglosados'!$H$5,VLOOKUP($A364,comedor,2,0),IF(K$5='Conceptos Desglosados'!$H$6,VLOOKUP($A364,alojamiento,2,0),IF(K$5='Conceptos Desglosados'!$H$7,VLOOKUP($A364,sanidad,2,0),IF(K$5='Conceptos Desglosados'!$H$8,VLOOKUP($A364,servicios,2,0),IF(K$5='Conceptos Desglosados'!$H$9,VLOOKUP($A364,comyaloj,2,0),IF(K$5='Conceptos Desglosados'!$H$10,VLOOKUP($A364,comandancia,2,0),IF(K$5='Conceptos Desglosados'!$H$11,VLOOKUP($A364,mantenimiento,2,0),IF(K$5='Conceptos Desglosados'!$H$12,VLOOKUP($A364,serestatal,2,0),IF(K$5='Conceptos Desglosados'!$H$13,VLOOKUP($A364,conferencias,2,0),"")))))))))),"")*K$3,"")</f>
        <v/>
      </c>
      <c r="L364" t="str">
        <f>IFERROR(IFERROR(IF(L$5='Conceptos Desglosados'!$H$4,VLOOKUP($A364,dormitorios,2,0),IF(L$5='Conceptos Desglosados'!$H$5,VLOOKUP($A364,comedor,2,0),IF(L$5='Conceptos Desglosados'!$H$6,VLOOKUP($A364,alojamiento,2,0),IF(L$5='Conceptos Desglosados'!$H$7,VLOOKUP($A364,sanidad,2,0),IF(L$5='Conceptos Desglosados'!$H$8,VLOOKUP($A364,servicios,2,0),IF(L$5='Conceptos Desglosados'!$H$9,VLOOKUP($A364,comyaloj,2,0),IF(L$5='Conceptos Desglosados'!$H$10,VLOOKUP($A364,comandancia,2,0),IF(L$5='Conceptos Desglosados'!$H$11,VLOOKUP($A364,mantenimiento,2,0),IF(L$5='Conceptos Desglosados'!$H$12,VLOOKUP($A364,serestatal,2,0),IF(L$5='Conceptos Desglosados'!$H$13,VLOOKUP($A364,conferencias,2,0),"")))))))))),"")*L$3,"")</f>
        <v/>
      </c>
      <c r="M364" t="str">
        <f>IFERROR(IFERROR(IF(M$5='Conceptos Desglosados'!$H$4,VLOOKUP($A364,dormitorios,2,0),IF(M$5='Conceptos Desglosados'!$H$5,VLOOKUP($A364,comedor,2,0),IF(M$5='Conceptos Desglosados'!$H$6,VLOOKUP($A364,alojamiento,2,0),IF(M$5='Conceptos Desglosados'!$H$7,VLOOKUP($A364,sanidad,2,0),IF(M$5='Conceptos Desglosados'!$H$8,VLOOKUP($A364,servicios,2,0),IF(M$5='Conceptos Desglosados'!$H$9,VLOOKUP($A364,comyaloj,2,0),IF(M$5='Conceptos Desglosados'!$H$10,VLOOKUP($A364,comandancia,2,0),IF(M$5='Conceptos Desglosados'!$H$11,VLOOKUP($A364,mantenimiento,2,0),IF(M$5='Conceptos Desglosados'!$H$12,VLOOKUP($A364,serestatal,2,0),IF(M$5='Conceptos Desglosados'!$H$13,VLOOKUP($A364,conferencias,2,0),"")))))))))),"")*M$3,"")</f>
        <v/>
      </c>
      <c r="O364">
        <f>SUM(K364:M364)</f>
        <v>0</v>
      </c>
    </row>
    <row r="365" spans="1:15" x14ac:dyDescent="0.35">
      <c r="A365">
        <v>360</v>
      </c>
      <c r="B365" t="s">
        <v>10</v>
      </c>
      <c r="C365" t="s">
        <v>1031</v>
      </c>
      <c r="D365" t="s">
        <v>1029</v>
      </c>
      <c r="E365" t="s">
        <v>1027</v>
      </c>
      <c r="F365" t="s">
        <v>1011</v>
      </c>
      <c r="G365" t="s">
        <v>0</v>
      </c>
      <c r="H365">
        <v>1.968</v>
      </c>
      <c r="I365">
        <v>2.7149999999999999</v>
      </c>
      <c r="J365" t="s">
        <v>6</v>
      </c>
      <c r="K365" t="str">
        <f>IFERROR(IFERROR(IF(K$5='Conceptos Desglosados'!$H$4,VLOOKUP($A365,dormitorios,2,0),IF(K$5='Conceptos Desglosados'!$H$5,VLOOKUP($A365,comedor,2,0),IF(K$5='Conceptos Desglosados'!$H$6,VLOOKUP($A365,alojamiento,2,0),IF(K$5='Conceptos Desglosados'!$H$7,VLOOKUP($A365,sanidad,2,0),IF(K$5='Conceptos Desglosados'!$H$8,VLOOKUP($A365,servicios,2,0),IF(K$5='Conceptos Desglosados'!$H$9,VLOOKUP($A365,comyaloj,2,0),IF(K$5='Conceptos Desglosados'!$H$10,VLOOKUP($A365,comandancia,2,0),IF(K$5='Conceptos Desglosados'!$H$11,VLOOKUP($A365,mantenimiento,2,0),IF(K$5='Conceptos Desglosados'!$H$12,VLOOKUP($A365,serestatal,2,0),IF(K$5='Conceptos Desglosados'!$H$13,VLOOKUP($A365,conferencias,2,0),"")))))))))),"")*K$3,"")</f>
        <v/>
      </c>
      <c r="L365" t="str">
        <f>IFERROR(IFERROR(IF(L$5='Conceptos Desglosados'!$H$4,VLOOKUP($A365,dormitorios,2,0),IF(L$5='Conceptos Desglosados'!$H$5,VLOOKUP($A365,comedor,2,0),IF(L$5='Conceptos Desglosados'!$H$6,VLOOKUP($A365,alojamiento,2,0),IF(L$5='Conceptos Desglosados'!$H$7,VLOOKUP($A365,sanidad,2,0),IF(L$5='Conceptos Desglosados'!$H$8,VLOOKUP($A365,servicios,2,0),IF(L$5='Conceptos Desglosados'!$H$9,VLOOKUP($A365,comyaloj,2,0),IF(L$5='Conceptos Desglosados'!$H$10,VLOOKUP($A365,comandancia,2,0),IF(L$5='Conceptos Desglosados'!$H$11,VLOOKUP($A365,mantenimiento,2,0),IF(L$5='Conceptos Desglosados'!$H$12,VLOOKUP($A365,serestatal,2,0),IF(L$5='Conceptos Desglosados'!$H$13,VLOOKUP($A365,conferencias,2,0),"")))))))))),"")*L$3,"")</f>
        <v/>
      </c>
      <c r="M365" t="str">
        <f>IFERROR(IFERROR(IF(M$5='Conceptos Desglosados'!$H$4,VLOOKUP($A365,dormitorios,2,0),IF(M$5='Conceptos Desglosados'!$H$5,VLOOKUP($A365,comedor,2,0),IF(M$5='Conceptos Desglosados'!$H$6,VLOOKUP($A365,alojamiento,2,0),IF(M$5='Conceptos Desglosados'!$H$7,VLOOKUP($A365,sanidad,2,0),IF(M$5='Conceptos Desglosados'!$H$8,VLOOKUP($A365,servicios,2,0),IF(M$5='Conceptos Desglosados'!$H$9,VLOOKUP($A365,comyaloj,2,0),IF(M$5='Conceptos Desglosados'!$H$10,VLOOKUP($A365,comandancia,2,0),IF(M$5='Conceptos Desglosados'!$H$11,VLOOKUP($A365,mantenimiento,2,0),IF(M$5='Conceptos Desglosados'!$H$12,VLOOKUP($A365,serestatal,2,0),IF(M$5='Conceptos Desglosados'!$H$13,VLOOKUP($A365,conferencias,2,0),"")))))))))),"")*M$3,"")</f>
        <v/>
      </c>
      <c r="O365">
        <f>SUM(K365:M365)</f>
        <v>0</v>
      </c>
    </row>
    <row r="366" spans="1:15" x14ac:dyDescent="0.35">
      <c r="A366">
        <v>361</v>
      </c>
      <c r="B366" t="s">
        <v>10</v>
      </c>
      <c r="C366" t="s">
        <v>1098</v>
      </c>
      <c r="D366" t="s">
        <v>1099</v>
      </c>
      <c r="E366" t="s">
        <v>1100</v>
      </c>
      <c r="F366" t="s">
        <v>883</v>
      </c>
      <c r="G366" t="s">
        <v>2</v>
      </c>
      <c r="H366">
        <v>1.9990000000000001</v>
      </c>
      <c r="I366">
        <v>2.7149999999999999</v>
      </c>
      <c r="J366" t="s">
        <v>6</v>
      </c>
      <c r="K366" t="str">
        <f>IFERROR(IFERROR(IF(K$5='Conceptos Desglosados'!$H$4,VLOOKUP($A366,dormitorios,2,0),IF(K$5='Conceptos Desglosados'!$H$5,VLOOKUP($A366,comedor,2,0),IF(K$5='Conceptos Desglosados'!$H$6,VLOOKUP($A366,alojamiento,2,0),IF(K$5='Conceptos Desglosados'!$H$7,VLOOKUP($A366,sanidad,2,0),IF(K$5='Conceptos Desglosados'!$H$8,VLOOKUP($A366,servicios,2,0),IF(K$5='Conceptos Desglosados'!$H$9,VLOOKUP($A366,comyaloj,2,0),IF(K$5='Conceptos Desglosados'!$H$10,VLOOKUP($A366,comandancia,2,0),IF(K$5='Conceptos Desglosados'!$H$11,VLOOKUP($A366,mantenimiento,2,0),IF(K$5='Conceptos Desglosados'!$H$12,VLOOKUP($A366,serestatal,2,0),IF(K$5='Conceptos Desglosados'!$H$13,VLOOKUP($A366,conferencias,2,0),"")))))))))),"")*K$3,"")</f>
        <v/>
      </c>
      <c r="L366" t="str">
        <f>IFERROR(IFERROR(IF(L$5='Conceptos Desglosados'!$H$4,VLOOKUP($A366,dormitorios,2,0),IF(L$5='Conceptos Desglosados'!$H$5,VLOOKUP($A366,comedor,2,0),IF(L$5='Conceptos Desglosados'!$H$6,VLOOKUP($A366,alojamiento,2,0),IF(L$5='Conceptos Desglosados'!$H$7,VLOOKUP($A366,sanidad,2,0),IF(L$5='Conceptos Desglosados'!$H$8,VLOOKUP($A366,servicios,2,0),IF(L$5='Conceptos Desglosados'!$H$9,VLOOKUP($A366,comyaloj,2,0),IF(L$5='Conceptos Desglosados'!$H$10,VLOOKUP($A366,comandancia,2,0),IF(L$5='Conceptos Desglosados'!$H$11,VLOOKUP($A366,mantenimiento,2,0),IF(L$5='Conceptos Desglosados'!$H$12,VLOOKUP($A366,serestatal,2,0),IF(L$5='Conceptos Desglosados'!$H$13,VLOOKUP($A366,conferencias,2,0),"")))))))))),"")*L$3,"")</f>
        <v/>
      </c>
      <c r="M366" t="str">
        <f>IFERROR(IFERROR(IF(M$5='Conceptos Desglosados'!$H$4,VLOOKUP($A366,dormitorios,2,0),IF(M$5='Conceptos Desglosados'!$H$5,VLOOKUP($A366,comedor,2,0),IF(M$5='Conceptos Desglosados'!$H$6,VLOOKUP($A366,alojamiento,2,0),IF(M$5='Conceptos Desglosados'!$H$7,VLOOKUP($A366,sanidad,2,0),IF(M$5='Conceptos Desglosados'!$H$8,VLOOKUP($A366,servicios,2,0),IF(M$5='Conceptos Desglosados'!$H$9,VLOOKUP($A366,comyaloj,2,0),IF(M$5='Conceptos Desglosados'!$H$10,VLOOKUP($A366,comandancia,2,0),IF(M$5='Conceptos Desglosados'!$H$11,VLOOKUP($A366,mantenimiento,2,0),IF(M$5='Conceptos Desglosados'!$H$12,VLOOKUP($A366,serestatal,2,0),IF(M$5='Conceptos Desglosados'!$H$13,VLOOKUP($A366,conferencias,2,0),"")))))))))),"")*M$3,"")</f>
        <v/>
      </c>
      <c r="O366">
        <f>SUM(K366:M366)</f>
        <v>0</v>
      </c>
    </row>
    <row r="367" spans="1:15" x14ac:dyDescent="0.35">
      <c r="A367">
        <v>362</v>
      </c>
      <c r="B367" t="s">
        <v>10</v>
      </c>
      <c r="C367" t="s">
        <v>1155</v>
      </c>
      <c r="D367" t="s">
        <v>1156</v>
      </c>
      <c r="E367" t="s">
        <v>300</v>
      </c>
      <c r="F367" t="s">
        <v>883</v>
      </c>
      <c r="G367" t="s">
        <v>0</v>
      </c>
      <c r="H367">
        <v>1.968</v>
      </c>
      <c r="I367">
        <v>2.7149999999999999</v>
      </c>
      <c r="J367" t="s">
        <v>6</v>
      </c>
      <c r="K367" t="str">
        <f>IFERROR(IFERROR(IF(K$5='Conceptos Desglosados'!$H$4,VLOOKUP($A367,dormitorios,2,0),IF(K$5='Conceptos Desglosados'!$H$5,VLOOKUP($A367,comedor,2,0),IF(K$5='Conceptos Desglosados'!$H$6,VLOOKUP($A367,alojamiento,2,0),IF(K$5='Conceptos Desglosados'!$H$7,VLOOKUP($A367,sanidad,2,0),IF(K$5='Conceptos Desglosados'!$H$8,VLOOKUP($A367,servicios,2,0),IF(K$5='Conceptos Desglosados'!$H$9,VLOOKUP($A367,comyaloj,2,0),IF(K$5='Conceptos Desglosados'!$H$10,VLOOKUP($A367,comandancia,2,0),IF(K$5='Conceptos Desglosados'!$H$11,VLOOKUP($A367,mantenimiento,2,0),IF(K$5='Conceptos Desglosados'!$H$12,VLOOKUP($A367,serestatal,2,0),IF(K$5='Conceptos Desglosados'!$H$13,VLOOKUP($A367,conferencias,2,0),"")))))))))),"")*K$3,"")</f>
        <v/>
      </c>
      <c r="L367" t="str">
        <f>IFERROR(IFERROR(IF(L$5='Conceptos Desglosados'!$H$4,VLOOKUP($A367,dormitorios,2,0),IF(L$5='Conceptos Desglosados'!$H$5,VLOOKUP($A367,comedor,2,0),IF(L$5='Conceptos Desglosados'!$H$6,VLOOKUP($A367,alojamiento,2,0),IF(L$5='Conceptos Desglosados'!$H$7,VLOOKUP($A367,sanidad,2,0),IF(L$5='Conceptos Desglosados'!$H$8,VLOOKUP($A367,servicios,2,0),IF(L$5='Conceptos Desglosados'!$H$9,VLOOKUP($A367,comyaloj,2,0),IF(L$5='Conceptos Desglosados'!$H$10,VLOOKUP($A367,comandancia,2,0),IF(L$5='Conceptos Desglosados'!$H$11,VLOOKUP($A367,mantenimiento,2,0),IF(L$5='Conceptos Desglosados'!$H$12,VLOOKUP($A367,serestatal,2,0),IF(L$5='Conceptos Desglosados'!$H$13,VLOOKUP($A367,conferencias,2,0),"")))))))))),"")*L$3,"")</f>
        <v/>
      </c>
      <c r="M367" t="str">
        <f>IFERROR(IFERROR(IF(M$5='Conceptos Desglosados'!$H$4,VLOOKUP($A367,dormitorios,2,0),IF(M$5='Conceptos Desglosados'!$H$5,VLOOKUP($A367,comedor,2,0),IF(M$5='Conceptos Desglosados'!$H$6,VLOOKUP($A367,alojamiento,2,0),IF(M$5='Conceptos Desglosados'!$H$7,VLOOKUP($A367,sanidad,2,0),IF(M$5='Conceptos Desglosados'!$H$8,VLOOKUP($A367,servicios,2,0),IF(M$5='Conceptos Desglosados'!$H$9,VLOOKUP($A367,comyaloj,2,0),IF(M$5='Conceptos Desglosados'!$H$10,VLOOKUP($A367,comandancia,2,0),IF(M$5='Conceptos Desglosados'!$H$11,VLOOKUP($A367,mantenimiento,2,0),IF(M$5='Conceptos Desglosados'!$H$12,VLOOKUP($A367,serestatal,2,0),IF(M$5='Conceptos Desglosados'!$H$13,VLOOKUP($A367,conferencias,2,0),"")))))))))),"")*M$3,"")</f>
        <v/>
      </c>
      <c r="O367">
        <f>SUM(K367:M367)</f>
        <v>0</v>
      </c>
    </row>
    <row r="368" spans="1:15" x14ac:dyDescent="0.35">
      <c r="A368">
        <v>363</v>
      </c>
      <c r="B368" t="s">
        <v>10</v>
      </c>
      <c r="C368" t="s">
        <v>1266</v>
      </c>
      <c r="D368" t="s">
        <v>1267</v>
      </c>
      <c r="E368" t="s">
        <v>1270</v>
      </c>
      <c r="F368" t="s">
        <v>883</v>
      </c>
      <c r="G368" t="s">
        <v>2</v>
      </c>
      <c r="H368">
        <v>1.99</v>
      </c>
      <c r="I368">
        <v>2.7149999999999999</v>
      </c>
      <c r="J368" t="s">
        <v>6</v>
      </c>
      <c r="K368" t="str">
        <f>IFERROR(IFERROR(IF(K$5='Conceptos Desglosados'!$H$4,VLOOKUP($A368,dormitorios,2,0),IF(K$5='Conceptos Desglosados'!$H$5,VLOOKUP($A368,comedor,2,0),IF(K$5='Conceptos Desglosados'!$H$6,VLOOKUP($A368,alojamiento,2,0),IF(K$5='Conceptos Desglosados'!$H$7,VLOOKUP($A368,sanidad,2,0),IF(K$5='Conceptos Desglosados'!$H$8,VLOOKUP($A368,servicios,2,0),IF(K$5='Conceptos Desglosados'!$H$9,VLOOKUP($A368,comyaloj,2,0),IF(K$5='Conceptos Desglosados'!$H$10,VLOOKUP($A368,comandancia,2,0),IF(K$5='Conceptos Desglosados'!$H$11,VLOOKUP($A368,mantenimiento,2,0),IF(K$5='Conceptos Desglosados'!$H$12,VLOOKUP($A368,serestatal,2,0),IF(K$5='Conceptos Desglosados'!$H$13,VLOOKUP($A368,conferencias,2,0),"")))))))))),"")*K$3,"")</f>
        <v/>
      </c>
      <c r="L368" t="str">
        <f>IFERROR(IFERROR(IF(L$5='Conceptos Desglosados'!$H$4,VLOOKUP($A368,dormitorios,2,0),IF(L$5='Conceptos Desglosados'!$H$5,VLOOKUP($A368,comedor,2,0),IF(L$5='Conceptos Desglosados'!$H$6,VLOOKUP($A368,alojamiento,2,0),IF(L$5='Conceptos Desglosados'!$H$7,VLOOKUP($A368,sanidad,2,0),IF(L$5='Conceptos Desglosados'!$H$8,VLOOKUP($A368,servicios,2,0),IF(L$5='Conceptos Desglosados'!$H$9,VLOOKUP($A368,comyaloj,2,0),IF(L$5='Conceptos Desglosados'!$H$10,VLOOKUP($A368,comandancia,2,0),IF(L$5='Conceptos Desglosados'!$H$11,VLOOKUP($A368,mantenimiento,2,0),IF(L$5='Conceptos Desglosados'!$H$12,VLOOKUP($A368,serestatal,2,0),IF(L$5='Conceptos Desglosados'!$H$13,VLOOKUP($A368,conferencias,2,0),"")))))))))),"")*L$3,"")</f>
        <v/>
      </c>
      <c r="M368">
        <f>IFERROR(IFERROR(IF(M$5='Conceptos Desglosados'!$H$4,VLOOKUP($A368,dormitorios,2,0),IF(M$5='Conceptos Desglosados'!$H$5,VLOOKUP($A368,comedor,2,0),IF(M$5='Conceptos Desglosados'!$H$6,VLOOKUP($A368,alojamiento,2,0),IF(M$5='Conceptos Desglosados'!$H$7,VLOOKUP($A368,sanidad,2,0),IF(M$5='Conceptos Desglosados'!$H$8,VLOOKUP($A368,servicios,2,0),IF(M$5='Conceptos Desglosados'!$H$9,VLOOKUP($A368,comyaloj,2,0),IF(M$5='Conceptos Desglosados'!$H$10,VLOOKUP($A368,comandancia,2,0),IF(M$5='Conceptos Desglosados'!$H$11,VLOOKUP($A368,mantenimiento,2,0),IF(M$5='Conceptos Desglosados'!$H$12,VLOOKUP($A368,serestatal,2,0),IF(M$5='Conceptos Desglosados'!$H$13,VLOOKUP($A368,conferencias,2,0),"")))))))))),"")*M$3,"")</f>
        <v>4</v>
      </c>
      <c r="O368">
        <f>SUM(K368:M368)</f>
        <v>4</v>
      </c>
    </row>
    <row r="369" spans="1:15" x14ac:dyDescent="0.35">
      <c r="A369">
        <v>364</v>
      </c>
      <c r="B369" t="s">
        <v>10</v>
      </c>
      <c r="C369" t="s">
        <v>1268</v>
      </c>
      <c r="D369" t="s">
        <v>1269</v>
      </c>
      <c r="E369" t="s">
        <v>1271</v>
      </c>
      <c r="F369" t="s">
        <v>883</v>
      </c>
      <c r="G369" t="s">
        <v>2</v>
      </c>
      <c r="H369">
        <v>1.99</v>
      </c>
      <c r="I369">
        <v>2.7149999999999999</v>
      </c>
      <c r="J369" t="s">
        <v>6</v>
      </c>
      <c r="K369" t="str">
        <f>IFERROR(IFERROR(IF(K$5='Conceptos Desglosados'!$H$4,VLOOKUP($A369,dormitorios,2,0),IF(K$5='Conceptos Desglosados'!$H$5,VLOOKUP($A369,comedor,2,0),IF(K$5='Conceptos Desglosados'!$H$6,VLOOKUP($A369,alojamiento,2,0),IF(K$5='Conceptos Desglosados'!$H$7,VLOOKUP($A369,sanidad,2,0),IF(K$5='Conceptos Desglosados'!$H$8,VLOOKUP($A369,servicios,2,0),IF(K$5='Conceptos Desglosados'!$H$9,VLOOKUP($A369,comyaloj,2,0),IF(K$5='Conceptos Desglosados'!$H$10,VLOOKUP($A369,comandancia,2,0),IF(K$5='Conceptos Desglosados'!$H$11,VLOOKUP($A369,mantenimiento,2,0),IF(K$5='Conceptos Desglosados'!$H$12,VLOOKUP($A369,serestatal,2,0),IF(K$5='Conceptos Desglosados'!$H$13,VLOOKUP($A369,conferencias,2,0),"")))))))))),"")*K$3,"")</f>
        <v/>
      </c>
      <c r="L369" t="str">
        <f>IFERROR(IFERROR(IF(L$5='Conceptos Desglosados'!$H$4,VLOOKUP($A369,dormitorios,2,0),IF(L$5='Conceptos Desglosados'!$H$5,VLOOKUP($A369,comedor,2,0),IF(L$5='Conceptos Desglosados'!$H$6,VLOOKUP($A369,alojamiento,2,0),IF(L$5='Conceptos Desglosados'!$H$7,VLOOKUP($A369,sanidad,2,0),IF(L$5='Conceptos Desglosados'!$H$8,VLOOKUP($A369,servicios,2,0),IF(L$5='Conceptos Desglosados'!$H$9,VLOOKUP($A369,comyaloj,2,0),IF(L$5='Conceptos Desglosados'!$H$10,VLOOKUP($A369,comandancia,2,0),IF(L$5='Conceptos Desglosados'!$H$11,VLOOKUP($A369,mantenimiento,2,0),IF(L$5='Conceptos Desglosados'!$H$12,VLOOKUP($A369,serestatal,2,0),IF(L$5='Conceptos Desglosados'!$H$13,VLOOKUP($A369,conferencias,2,0),"")))))))))),"")*L$3,"")</f>
        <v/>
      </c>
      <c r="M369">
        <f>IFERROR(IFERROR(IF(M$5='Conceptos Desglosados'!$H$4,VLOOKUP($A369,dormitorios,2,0),IF(M$5='Conceptos Desglosados'!$H$5,VLOOKUP($A369,comedor,2,0),IF(M$5='Conceptos Desglosados'!$H$6,VLOOKUP($A369,alojamiento,2,0),IF(M$5='Conceptos Desglosados'!$H$7,VLOOKUP($A369,sanidad,2,0),IF(M$5='Conceptos Desglosados'!$H$8,VLOOKUP($A369,servicios,2,0),IF(M$5='Conceptos Desglosados'!$H$9,VLOOKUP($A369,comyaloj,2,0),IF(M$5='Conceptos Desglosados'!$H$10,VLOOKUP($A369,comandancia,2,0),IF(M$5='Conceptos Desglosados'!$H$11,VLOOKUP($A369,mantenimiento,2,0),IF(M$5='Conceptos Desglosados'!$H$12,VLOOKUP($A369,serestatal,2,0),IF(M$5='Conceptos Desglosados'!$H$13,VLOOKUP($A369,conferencias,2,0),"")))))))))),"")*M$3,"")</f>
        <v>4</v>
      </c>
      <c r="O369">
        <f>SUM(K369:M369)</f>
        <v>4</v>
      </c>
    </row>
    <row r="370" spans="1:15" x14ac:dyDescent="0.35">
      <c r="A370">
        <v>365</v>
      </c>
      <c r="B370" t="s">
        <v>11</v>
      </c>
      <c r="C370" t="s">
        <v>131</v>
      </c>
      <c r="D370" t="s">
        <v>261</v>
      </c>
      <c r="E370" t="s">
        <v>1</v>
      </c>
      <c r="F370" t="s">
        <v>132</v>
      </c>
      <c r="G370" t="s">
        <v>9</v>
      </c>
      <c r="H370">
        <v>1.9750000000000001</v>
      </c>
      <c r="I370">
        <v>2.7149999999999999</v>
      </c>
      <c r="J370" t="s">
        <v>6</v>
      </c>
      <c r="K370">
        <f>IFERROR(IFERROR(IF(K$5='Conceptos Desglosados'!$H$4,VLOOKUP($A370,dormitorios,2,0),IF(K$5='Conceptos Desglosados'!$H$5,VLOOKUP($A370,comedor,2,0),IF(K$5='Conceptos Desglosados'!$H$6,VLOOKUP($A370,alojamiento,2,0),IF(K$5='Conceptos Desglosados'!$H$7,VLOOKUP($A370,sanidad,2,0),IF(K$5='Conceptos Desglosados'!$H$8,VLOOKUP($A370,servicios,2,0),IF(K$5='Conceptos Desglosados'!$H$9,VLOOKUP($A370,comyaloj,2,0),IF(K$5='Conceptos Desglosados'!$H$10,VLOOKUP($A370,comandancia,2,0),IF(K$5='Conceptos Desglosados'!$H$11,VLOOKUP($A370,mantenimiento,2,0),IF(K$5='Conceptos Desglosados'!$H$12,VLOOKUP($A370,serestatal,2,0),IF(K$5='Conceptos Desglosados'!$H$13,VLOOKUP($A370,conferencias,2,0),"")))))))))),"")*K$3,"")</f>
        <v>12</v>
      </c>
      <c r="L370">
        <f>IFERROR(IFERROR(IF(L$5='Conceptos Desglosados'!$H$4,VLOOKUP($A370,dormitorios,2,0),IF(L$5='Conceptos Desglosados'!$H$5,VLOOKUP($A370,comedor,2,0),IF(L$5='Conceptos Desglosados'!$H$6,VLOOKUP($A370,alojamiento,2,0),IF(L$5='Conceptos Desglosados'!$H$7,VLOOKUP($A370,sanidad,2,0),IF(L$5='Conceptos Desglosados'!$H$8,VLOOKUP($A370,servicios,2,0),IF(L$5='Conceptos Desglosados'!$H$9,VLOOKUP($A370,comyaloj,2,0),IF(L$5='Conceptos Desglosados'!$H$10,VLOOKUP($A370,comandancia,2,0),IF(L$5='Conceptos Desglosados'!$H$11,VLOOKUP($A370,mantenimiento,2,0),IF(L$5='Conceptos Desglosados'!$H$12,VLOOKUP($A370,serestatal,2,0),IF(L$5='Conceptos Desglosados'!$H$13,VLOOKUP($A370,conferencias,2,0),"")))))))))),"")*L$3,"")</f>
        <v>4</v>
      </c>
      <c r="M370" t="str">
        <f>IFERROR(IFERROR(IF(M$5='Conceptos Desglosados'!$H$4,VLOOKUP($A370,dormitorios,2,0),IF(M$5='Conceptos Desglosados'!$H$5,VLOOKUP($A370,comedor,2,0),IF(M$5='Conceptos Desglosados'!$H$6,VLOOKUP($A370,alojamiento,2,0),IF(M$5='Conceptos Desglosados'!$H$7,VLOOKUP($A370,sanidad,2,0),IF(M$5='Conceptos Desglosados'!$H$8,VLOOKUP($A370,servicios,2,0),IF(M$5='Conceptos Desglosados'!$H$9,VLOOKUP($A370,comyaloj,2,0),IF(M$5='Conceptos Desglosados'!$H$10,VLOOKUP($A370,comandancia,2,0),IF(M$5='Conceptos Desglosados'!$H$11,VLOOKUP($A370,mantenimiento,2,0),IF(M$5='Conceptos Desglosados'!$H$12,VLOOKUP($A370,serestatal,2,0),IF(M$5='Conceptos Desglosados'!$H$13,VLOOKUP($A370,conferencias,2,0),"")))))))))),"")*M$3,"")</f>
        <v/>
      </c>
      <c r="O370">
        <f>SUM(K370:M370)</f>
        <v>16</v>
      </c>
    </row>
    <row r="371" spans="1:15" x14ac:dyDescent="0.35">
      <c r="A371">
        <v>366</v>
      </c>
      <c r="B371" t="s">
        <v>11</v>
      </c>
      <c r="C371" t="s">
        <v>103</v>
      </c>
      <c r="D371" t="s">
        <v>262</v>
      </c>
      <c r="E371" t="s">
        <v>1</v>
      </c>
      <c r="F371" t="s">
        <v>132</v>
      </c>
      <c r="G371" t="s">
        <v>9</v>
      </c>
      <c r="H371">
        <v>1.05</v>
      </c>
      <c r="I371">
        <v>2.7149999999999999</v>
      </c>
      <c r="J371" t="s">
        <v>6</v>
      </c>
      <c r="K371" t="str">
        <f>IFERROR(IFERROR(IF(K$5='Conceptos Desglosados'!$H$4,VLOOKUP($A371,dormitorios,2,0),IF(K$5='Conceptos Desglosados'!$H$5,VLOOKUP($A371,comedor,2,0),IF(K$5='Conceptos Desglosados'!$H$6,VLOOKUP($A371,alojamiento,2,0),IF(K$5='Conceptos Desglosados'!$H$7,VLOOKUP($A371,sanidad,2,0),IF(K$5='Conceptos Desglosados'!$H$8,VLOOKUP($A371,servicios,2,0),IF(K$5='Conceptos Desglosados'!$H$9,VLOOKUP($A371,comyaloj,2,0),IF(K$5='Conceptos Desglosados'!$H$10,VLOOKUP($A371,comandancia,2,0),IF(K$5='Conceptos Desglosados'!$H$11,VLOOKUP($A371,mantenimiento,2,0),IF(K$5='Conceptos Desglosados'!$H$12,VLOOKUP($A371,serestatal,2,0),IF(K$5='Conceptos Desglosados'!$H$13,VLOOKUP($A371,conferencias,2,0),"")))))))))),"")*K$3,"")</f>
        <v/>
      </c>
      <c r="L371" t="str">
        <f>IFERROR(IFERROR(IF(L$5='Conceptos Desglosados'!$H$4,VLOOKUP($A371,dormitorios,2,0),IF(L$5='Conceptos Desglosados'!$H$5,VLOOKUP($A371,comedor,2,0),IF(L$5='Conceptos Desglosados'!$H$6,VLOOKUP($A371,alojamiento,2,0),IF(L$5='Conceptos Desglosados'!$H$7,VLOOKUP($A371,sanidad,2,0),IF(L$5='Conceptos Desglosados'!$H$8,VLOOKUP($A371,servicios,2,0),IF(L$5='Conceptos Desglosados'!$H$9,VLOOKUP($A371,comyaloj,2,0),IF(L$5='Conceptos Desglosados'!$H$10,VLOOKUP($A371,comandancia,2,0),IF(L$5='Conceptos Desglosados'!$H$11,VLOOKUP($A371,mantenimiento,2,0),IF(L$5='Conceptos Desglosados'!$H$12,VLOOKUP($A371,serestatal,2,0),IF(L$5='Conceptos Desglosados'!$H$13,VLOOKUP($A371,conferencias,2,0),"")))))))))),"")*L$3,"")</f>
        <v/>
      </c>
      <c r="M371" t="str">
        <f>IFERROR(IFERROR(IF(M$5='Conceptos Desglosados'!$H$4,VLOOKUP($A371,dormitorios,2,0),IF(M$5='Conceptos Desglosados'!$H$5,VLOOKUP($A371,comedor,2,0),IF(M$5='Conceptos Desglosados'!$H$6,VLOOKUP($A371,alojamiento,2,0),IF(M$5='Conceptos Desglosados'!$H$7,VLOOKUP($A371,sanidad,2,0),IF(M$5='Conceptos Desglosados'!$H$8,VLOOKUP($A371,servicios,2,0),IF(M$5='Conceptos Desglosados'!$H$9,VLOOKUP($A371,comyaloj,2,0),IF(M$5='Conceptos Desglosados'!$H$10,VLOOKUP($A371,comandancia,2,0),IF(M$5='Conceptos Desglosados'!$H$11,VLOOKUP($A371,mantenimiento,2,0),IF(M$5='Conceptos Desglosados'!$H$12,VLOOKUP($A371,serestatal,2,0),IF(M$5='Conceptos Desglosados'!$H$13,VLOOKUP($A371,conferencias,2,0),"")))))))))),"")*M$3,"")</f>
        <v/>
      </c>
      <c r="O371">
        <f>SUM(K371:M371)</f>
        <v>0</v>
      </c>
    </row>
    <row r="372" spans="1:15" x14ac:dyDescent="0.35">
      <c r="A372">
        <v>367</v>
      </c>
      <c r="B372" t="s">
        <v>11</v>
      </c>
      <c r="C372" t="s">
        <v>514</v>
      </c>
      <c r="D372" t="s">
        <v>510</v>
      </c>
      <c r="E372" t="s">
        <v>1</v>
      </c>
      <c r="F372" t="s">
        <v>704</v>
      </c>
      <c r="G372" t="s">
        <v>9</v>
      </c>
      <c r="H372">
        <v>1.9750000000000001</v>
      </c>
      <c r="I372">
        <v>2.7149999999999999</v>
      </c>
      <c r="J372" t="s">
        <v>6</v>
      </c>
      <c r="K372" t="str">
        <f>IFERROR(IFERROR(IF(K$5='Conceptos Desglosados'!$H$4,VLOOKUP($A372,dormitorios,2,0),IF(K$5='Conceptos Desglosados'!$H$5,VLOOKUP($A372,comedor,2,0),IF(K$5='Conceptos Desglosados'!$H$6,VLOOKUP($A372,alojamiento,2,0),IF(K$5='Conceptos Desglosados'!$H$7,VLOOKUP($A372,sanidad,2,0),IF(K$5='Conceptos Desglosados'!$H$8,VLOOKUP($A372,servicios,2,0),IF(K$5='Conceptos Desglosados'!$H$9,VLOOKUP($A372,comyaloj,2,0),IF(K$5='Conceptos Desglosados'!$H$10,VLOOKUP($A372,comandancia,2,0),IF(K$5='Conceptos Desglosados'!$H$11,VLOOKUP($A372,mantenimiento,2,0),IF(K$5='Conceptos Desglosados'!$H$12,VLOOKUP($A372,serestatal,2,0),IF(K$5='Conceptos Desglosados'!$H$13,VLOOKUP($A372,conferencias,2,0),"")))))))))),"")*K$3,"")</f>
        <v/>
      </c>
      <c r="L372">
        <f>IFERROR(IFERROR(IF(L$5='Conceptos Desglosados'!$H$4,VLOOKUP($A372,dormitorios,2,0),IF(L$5='Conceptos Desglosados'!$H$5,VLOOKUP($A372,comedor,2,0),IF(L$5='Conceptos Desglosados'!$H$6,VLOOKUP($A372,alojamiento,2,0),IF(L$5='Conceptos Desglosados'!$H$7,VLOOKUP($A372,sanidad,2,0),IF(L$5='Conceptos Desglosados'!$H$8,VLOOKUP($A372,servicios,2,0),IF(L$5='Conceptos Desglosados'!$H$9,VLOOKUP($A372,comyaloj,2,0),IF(L$5='Conceptos Desglosados'!$H$10,VLOOKUP($A372,comandancia,2,0),IF(L$5='Conceptos Desglosados'!$H$11,VLOOKUP($A372,mantenimiento,2,0),IF(L$5='Conceptos Desglosados'!$H$12,VLOOKUP($A372,serestatal,2,0),IF(L$5='Conceptos Desglosados'!$H$13,VLOOKUP($A372,conferencias,2,0),"")))))))))),"")*L$3,"")</f>
        <v>1</v>
      </c>
      <c r="M372">
        <f>IFERROR(IFERROR(IF(M$5='Conceptos Desglosados'!$H$4,VLOOKUP($A372,dormitorios,2,0),IF(M$5='Conceptos Desglosados'!$H$5,VLOOKUP($A372,comedor,2,0),IF(M$5='Conceptos Desglosados'!$H$6,VLOOKUP($A372,alojamiento,2,0),IF(M$5='Conceptos Desglosados'!$H$7,VLOOKUP($A372,sanidad,2,0),IF(M$5='Conceptos Desglosados'!$H$8,VLOOKUP($A372,servicios,2,0),IF(M$5='Conceptos Desglosados'!$H$9,VLOOKUP($A372,comyaloj,2,0),IF(M$5='Conceptos Desglosados'!$H$10,VLOOKUP($A372,comandancia,2,0),IF(M$5='Conceptos Desglosados'!$H$11,VLOOKUP($A372,mantenimiento,2,0),IF(M$5='Conceptos Desglosados'!$H$12,VLOOKUP($A372,serestatal,2,0),IF(M$5='Conceptos Desglosados'!$H$13,VLOOKUP($A372,conferencias,2,0),"")))))))))),"")*M$3,"")</f>
        <v>8</v>
      </c>
      <c r="O372">
        <f>SUM(K372:M372)</f>
        <v>9</v>
      </c>
    </row>
    <row r="373" spans="1:15" x14ac:dyDescent="0.35">
      <c r="A373">
        <v>368</v>
      </c>
      <c r="B373" t="s">
        <v>11</v>
      </c>
      <c r="C373" t="s">
        <v>516</v>
      </c>
      <c r="D373" t="s">
        <v>517</v>
      </c>
      <c r="E373" t="s">
        <v>518</v>
      </c>
      <c r="F373" t="s">
        <v>887</v>
      </c>
      <c r="G373" t="s">
        <v>9</v>
      </c>
      <c r="H373">
        <v>1.9750000000000001</v>
      </c>
      <c r="I373">
        <v>2.7149999999999999</v>
      </c>
      <c r="J373" t="s">
        <v>6</v>
      </c>
      <c r="K373">
        <f>IFERROR(IFERROR(IF(K$5='Conceptos Desglosados'!$H$4,VLOOKUP($A373,dormitorios,2,0),IF(K$5='Conceptos Desglosados'!$H$5,VLOOKUP($A373,comedor,2,0),IF(K$5='Conceptos Desglosados'!$H$6,VLOOKUP($A373,alojamiento,2,0),IF(K$5='Conceptos Desglosados'!$H$7,VLOOKUP($A373,sanidad,2,0),IF(K$5='Conceptos Desglosados'!$H$8,VLOOKUP($A373,servicios,2,0),IF(K$5='Conceptos Desglosados'!$H$9,VLOOKUP($A373,comyaloj,2,0),IF(K$5='Conceptos Desglosados'!$H$10,VLOOKUP($A373,comandancia,2,0),IF(K$5='Conceptos Desglosados'!$H$11,VLOOKUP($A373,mantenimiento,2,0),IF(K$5='Conceptos Desglosados'!$H$12,VLOOKUP($A373,serestatal,2,0),IF(K$5='Conceptos Desglosados'!$H$13,VLOOKUP($A373,conferencias,2,0),"")))))))))),"")*K$3,"")</f>
        <v>2</v>
      </c>
      <c r="L373" t="str">
        <f>IFERROR(IFERROR(IF(L$5='Conceptos Desglosados'!$H$4,VLOOKUP($A373,dormitorios,2,0),IF(L$5='Conceptos Desglosados'!$H$5,VLOOKUP($A373,comedor,2,0),IF(L$5='Conceptos Desglosados'!$H$6,VLOOKUP($A373,alojamiento,2,0),IF(L$5='Conceptos Desglosados'!$H$7,VLOOKUP($A373,sanidad,2,0),IF(L$5='Conceptos Desglosados'!$H$8,VLOOKUP($A373,servicios,2,0),IF(L$5='Conceptos Desglosados'!$H$9,VLOOKUP($A373,comyaloj,2,0),IF(L$5='Conceptos Desglosados'!$H$10,VLOOKUP($A373,comandancia,2,0),IF(L$5='Conceptos Desglosados'!$H$11,VLOOKUP($A373,mantenimiento,2,0),IF(L$5='Conceptos Desglosados'!$H$12,VLOOKUP($A373,serestatal,2,0),IF(L$5='Conceptos Desglosados'!$H$13,VLOOKUP($A373,conferencias,2,0),"")))))))))),"")*L$3,"")</f>
        <v/>
      </c>
      <c r="M373" t="str">
        <f>IFERROR(IFERROR(IF(M$5='Conceptos Desglosados'!$H$4,VLOOKUP($A373,dormitorios,2,0),IF(M$5='Conceptos Desglosados'!$H$5,VLOOKUP($A373,comedor,2,0),IF(M$5='Conceptos Desglosados'!$H$6,VLOOKUP($A373,alojamiento,2,0),IF(M$5='Conceptos Desglosados'!$H$7,VLOOKUP($A373,sanidad,2,0),IF(M$5='Conceptos Desglosados'!$H$8,VLOOKUP($A373,servicios,2,0),IF(M$5='Conceptos Desglosados'!$H$9,VLOOKUP($A373,comyaloj,2,0),IF(M$5='Conceptos Desglosados'!$H$10,VLOOKUP($A373,comandancia,2,0),IF(M$5='Conceptos Desglosados'!$H$11,VLOOKUP($A373,mantenimiento,2,0),IF(M$5='Conceptos Desglosados'!$H$12,VLOOKUP($A373,serestatal,2,0),IF(M$5='Conceptos Desglosados'!$H$13,VLOOKUP($A373,conferencias,2,0),"")))))))))),"")*M$3,"")</f>
        <v/>
      </c>
      <c r="O373">
        <f>SUM(K373:M373)</f>
        <v>2</v>
      </c>
    </row>
    <row r="374" spans="1:15" x14ac:dyDescent="0.35">
      <c r="A374">
        <v>369</v>
      </c>
      <c r="B374" t="s">
        <v>11</v>
      </c>
      <c r="C374" t="s">
        <v>596</v>
      </c>
      <c r="D374" t="s">
        <v>597</v>
      </c>
      <c r="E374" t="s">
        <v>1</v>
      </c>
      <c r="F374" t="s">
        <v>132</v>
      </c>
      <c r="G374" t="s">
        <v>9</v>
      </c>
      <c r="H374">
        <v>1.78</v>
      </c>
      <c r="I374">
        <v>2.7149999999999999</v>
      </c>
      <c r="J374" t="s">
        <v>6</v>
      </c>
      <c r="K374" t="str">
        <f>IFERROR(IFERROR(IF(K$5='Conceptos Desglosados'!$H$4,VLOOKUP($A374,dormitorios,2,0),IF(K$5='Conceptos Desglosados'!$H$5,VLOOKUP($A374,comedor,2,0),IF(K$5='Conceptos Desglosados'!$H$6,VLOOKUP($A374,alojamiento,2,0),IF(K$5='Conceptos Desglosados'!$H$7,VLOOKUP($A374,sanidad,2,0),IF(K$5='Conceptos Desglosados'!$H$8,VLOOKUP($A374,servicios,2,0),IF(K$5='Conceptos Desglosados'!$H$9,VLOOKUP($A374,comyaloj,2,0),IF(K$5='Conceptos Desglosados'!$H$10,VLOOKUP($A374,comandancia,2,0),IF(K$5='Conceptos Desglosados'!$H$11,VLOOKUP($A374,mantenimiento,2,0),IF(K$5='Conceptos Desglosados'!$H$12,VLOOKUP($A374,serestatal,2,0),IF(K$5='Conceptos Desglosados'!$H$13,VLOOKUP($A374,conferencias,2,0),"")))))))))),"")*K$3,"")</f>
        <v/>
      </c>
      <c r="L374" t="str">
        <f>IFERROR(IFERROR(IF(L$5='Conceptos Desglosados'!$H$4,VLOOKUP($A374,dormitorios,2,0),IF(L$5='Conceptos Desglosados'!$H$5,VLOOKUP($A374,comedor,2,0),IF(L$5='Conceptos Desglosados'!$H$6,VLOOKUP($A374,alojamiento,2,0),IF(L$5='Conceptos Desglosados'!$H$7,VLOOKUP($A374,sanidad,2,0),IF(L$5='Conceptos Desglosados'!$H$8,VLOOKUP($A374,servicios,2,0),IF(L$5='Conceptos Desglosados'!$H$9,VLOOKUP($A374,comyaloj,2,0),IF(L$5='Conceptos Desglosados'!$H$10,VLOOKUP($A374,comandancia,2,0),IF(L$5='Conceptos Desglosados'!$H$11,VLOOKUP($A374,mantenimiento,2,0),IF(L$5='Conceptos Desglosados'!$H$12,VLOOKUP($A374,serestatal,2,0),IF(L$5='Conceptos Desglosados'!$H$13,VLOOKUP($A374,conferencias,2,0),"")))))))))),"")*L$3,"")</f>
        <v/>
      </c>
      <c r="M374" t="str">
        <f>IFERROR(IFERROR(IF(M$5='Conceptos Desglosados'!$H$4,VLOOKUP($A374,dormitorios,2,0),IF(M$5='Conceptos Desglosados'!$H$5,VLOOKUP($A374,comedor,2,0),IF(M$5='Conceptos Desglosados'!$H$6,VLOOKUP($A374,alojamiento,2,0),IF(M$5='Conceptos Desglosados'!$H$7,VLOOKUP($A374,sanidad,2,0),IF(M$5='Conceptos Desglosados'!$H$8,VLOOKUP($A374,servicios,2,0),IF(M$5='Conceptos Desglosados'!$H$9,VLOOKUP($A374,comyaloj,2,0),IF(M$5='Conceptos Desglosados'!$H$10,VLOOKUP($A374,comandancia,2,0),IF(M$5='Conceptos Desglosados'!$H$11,VLOOKUP($A374,mantenimiento,2,0),IF(M$5='Conceptos Desglosados'!$H$12,VLOOKUP($A374,serestatal,2,0),IF(M$5='Conceptos Desglosados'!$H$13,VLOOKUP($A374,conferencias,2,0),"")))))))))),"")*M$3,"")</f>
        <v/>
      </c>
      <c r="O374">
        <f>SUM(K374:M374)</f>
        <v>0</v>
      </c>
    </row>
    <row r="375" spans="1:15" x14ac:dyDescent="0.35">
      <c r="A375">
        <v>370</v>
      </c>
      <c r="B375" t="s">
        <v>11</v>
      </c>
      <c r="C375" t="s">
        <v>654</v>
      </c>
      <c r="D375" t="s">
        <v>655</v>
      </c>
      <c r="E375" t="s">
        <v>656</v>
      </c>
      <c r="F375" t="s">
        <v>704</v>
      </c>
      <c r="G375" t="s">
        <v>9</v>
      </c>
      <c r="H375">
        <v>1.9750000000000001</v>
      </c>
      <c r="I375">
        <v>2.7149999999999999</v>
      </c>
      <c r="J375" t="s">
        <v>6</v>
      </c>
      <c r="K375">
        <f>IFERROR(IFERROR(IF(K$5='Conceptos Desglosados'!$H$4,VLOOKUP($A375,dormitorios,2,0),IF(K$5='Conceptos Desglosados'!$H$5,VLOOKUP($A375,comedor,2,0),IF(K$5='Conceptos Desglosados'!$H$6,VLOOKUP($A375,alojamiento,2,0),IF(K$5='Conceptos Desglosados'!$H$7,VLOOKUP($A375,sanidad,2,0),IF(K$5='Conceptos Desglosados'!$H$8,VLOOKUP($A375,servicios,2,0),IF(K$5='Conceptos Desglosados'!$H$9,VLOOKUP($A375,comyaloj,2,0),IF(K$5='Conceptos Desglosados'!$H$10,VLOOKUP($A375,comandancia,2,0),IF(K$5='Conceptos Desglosados'!$H$11,VLOOKUP($A375,mantenimiento,2,0),IF(K$5='Conceptos Desglosados'!$H$12,VLOOKUP($A375,serestatal,2,0),IF(K$5='Conceptos Desglosados'!$H$13,VLOOKUP($A375,conferencias,2,0),"")))))))))),"")*K$3,"")</f>
        <v>18</v>
      </c>
      <c r="L375" t="str">
        <f>IFERROR(IFERROR(IF(L$5='Conceptos Desglosados'!$H$4,VLOOKUP($A375,dormitorios,2,0),IF(L$5='Conceptos Desglosados'!$H$5,VLOOKUP($A375,comedor,2,0),IF(L$5='Conceptos Desglosados'!$H$6,VLOOKUP($A375,alojamiento,2,0),IF(L$5='Conceptos Desglosados'!$H$7,VLOOKUP($A375,sanidad,2,0),IF(L$5='Conceptos Desglosados'!$H$8,VLOOKUP($A375,servicios,2,0),IF(L$5='Conceptos Desglosados'!$H$9,VLOOKUP($A375,comyaloj,2,0),IF(L$5='Conceptos Desglosados'!$H$10,VLOOKUP($A375,comandancia,2,0),IF(L$5='Conceptos Desglosados'!$H$11,VLOOKUP($A375,mantenimiento,2,0),IF(L$5='Conceptos Desglosados'!$H$12,VLOOKUP($A375,serestatal,2,0),IF(L$5='Conceptos Desglosados'!$H$13,VLOOKUP($A375,conferencias,2,0),"")))))))))),"")*L$3,"")</f>
        <v/>
      </c>
      <c r="M375" t="str">
        <f>IFERROR(IFERROR(IF(M$5='Conceptos Desglosados'!$H$4,VLOOKUP($A375,dormitorios,2,0),IF(M$5='Conceptos Desglosados'!$H$5,VLOOKUP($A375,comedor,2,0),IF(M$5='Conceptos Desglosados'!$H$6,VLOOKUP($A375,alojamiento,2,0),IF(M$5='Conceptos Desglosados'!$H$7,VLOOKUP($A375,sanidad,2,0),IF(M$5='Conceptos Desglosados'!$H$8,VLOOKUP($A375,servicios,2,0),IF(M$5='Conceptos Desglosados'!$H$9,VLOOKUP($A375,comyaloj,2,0),IF(M$5='Conceptos Desglosados'!$H$10,VLOOKUP($A375,comandancia,2,0),IF(M$5='Conceptos Desglosados'!$H$11,VLOOKUP($A375,mantenimiento,2,0),IF(M$5='Conceptos Desglosados'!$H$12,VLOOKUP($A375,serestatal,2,0),IF(M$5='Conceptos Desglosados'!$H$13,VLOOKUP($A375,conferencias,2,0),"")))))))))),"")*M$3,"")</f>
        <v/>
      </c>
      <c r="O375">
        <f>SUM(K375:M375)</f>
        <v>18</v>
      </c>
    </row>
    <row r="376" spans="1:15" x14ac:dyDescent="0.35">
      <c r="A376">
        <v>371</v>
      </c>
      <c r="B376" t="s">
        <v>11</v>
      </c>
      <c r="C376" t="s">
        <v>694</v>
      </c>
      <c r="D376" t="s">
        <v>695</v>
      </c>
      <c r="E376" t="s">
        <v>656</v>
      </c>
      <c r="F376" t="s">
        <v>704</v>
      </c>
      <c r="G376" t="s">
        <v>9</v>
      </c>
      <c r="H376">
        <v>1.78</v>
      </c>
      <c r="I376">
        <v>2.7149999999999999</v>
      </c>
      <c r="J376" t="s">
        <v>6</v>
      </c>
      <c r="K376" t="str">
        <f>IFERROR(IFERROR(IF(K$5='Conceptos Desglosados'!$H$4,VLOOKUP($A376,dormitorios,2,0),IF(K$5='Conceptos Desglosados'!$H$5,VLOOKUP($A376,comedor,2,0),IF(K$5='Conceptos Desglosados'!$H$6,VLOOKUP($A376,alojamiento,2,0),IF(K$5='Conceptos Desglosados'!$H$7,VLOOKUP($A376,sanidad,2,0),IF(K$5='Conceptos Desglosados'!$H$8,VLOOKUP($A376,servicios,2,0),IF(K$5='Conceptos Desglosados'!$H$9,VLOOKUP($A376,comyaloj,2,0),IF(K$5='Conceptos Desglosados'!$H$10,VLOOKUP($A376,comandancia,2,0),IF(K$5='Conceptos Desglosados'!$H$11,VLOOKUP($A376,mantenimiento,2,0),IF(K$5='Conceptos Desglosados'!$H$12,VLOOKUP($A376,serestatal,2,0),IF(K$5='Conceptos Desglosados'!$H$13,VLOOKUP($A376,conferencias,2,0),"")))))))))),"")*K$3,"")</f>
        <v/>
      </c>
      <c r="L376" t="str">
        <f>IFERROR(IFERROR(IF(L$5='Conceptos Desglosados'!$H$4,VLOOKUP($A376,dormitorios,2,0),IF(L$5='Conceptos Desglosados'!$H$5,VLOOKUP($A376,comedor,2,0),IF(L$5='Conceptos Desglosados'!$H$6,VLOOKUP($A376,alojamiento,2,0),IF(L$5='Conceptos Desglosados'!$H$7,VLOOKUP($A376,sanidad,2,0),IF(L$5='Conceptos Desglosados'!$H$8,VLOOKUP($A376,servicios,2,0),IF(L$5='Conceptos Desglosados'!$H$9,VLOOKUP($A376,comyaloj,2,0),IF(L$5='Conceptos Desglosados'!$H$10,VLOOKUP($A376,comandancia,2,0),IF(L$5='Conceptos Desglosados'!$H$11,VLOOKUP($A376,mantenimiento,2,0),IF(L$5='Conceptos Desglosados'!$H$12,VLOOKUP($A376,serestatal,2,0),IF(L$5='Conceptos Desglosados'!$H$13,VLOOKUP($A376,conferencias,2,0),"")))))))))),"")*L$3,"")</f>
        <v/>
      </c>
      <c r="M376" t="str">
        <f>IFERROR(IFERROR(IF(M$5='Conceptos Desglosados'!$H$4,VLOOKUP($A376,dormitorios,2,0),IF(M$5='Conceptos Desglosados'!$H$5,VLOOKUP($A376,comedor,2,0),IF(M$5='Conceptos Desglosados'!$H$6,VLOOKUP($A376,alojamiento,2,0),IF(M$5='Conceptos Desglosados'!$H$7,VLOOKUP($A376,sanidad,2,0),IF(M$5='Conceptos Desglosados'!$H$8,VLOOKUP($A376,servicios,2,0),IF(M$5='Conceptos Desglosados'!$H$9,VLOOKUP($A376,comyaloj,2,0),IF(M$5='Conceptos Desglosados'!$H$10,VLOOKUP($A376,comandancia,2,0),IF(M$5='Conceptos Desglosados'!$H$11,VLOOKUP($A376,mantenimiento,2,0),IF(M$5='Conceptos Desglosados'!$H$12,VLOOKUP($A376,serestatal,2,0),IF(M$5='Conceptos Desglosados'!$H$13,VLOOKUP($A376,conferencias,2,0),"")))))))))),"")*M$3,"")</f>
        <v/>
      </c>
      <c r="O376">
        <f>SUM(K376:M376)</f>
        <v>0</v>
      </c>
    </row>
    <row r="377" spans="1:15" x14ac:dyDescent="0.35">
      <c r="A377">
        <v>372</v>
      </c>
      <c r="B377" t="s">
        <v>11</v>
      </c>
      <c r="C377" t="s">
        <v>822</v>
      </c>
      <c r="D377" t="s">
        <v>823</v>
      </c>
      <c r="E377" t="s">
        <v>656</v>
      </c>
      <c r="F377" t="s">
        <v>704</v>
      </c>
      <c r="G377" t="s">
        <v>9</v>
      </c>
      <c r="H377">
        <v>1.05</v>
      </c>
      <c r="I377">
        <v>2.7149999999999999</v>
      </c>
      <c r="J377" t="s">
        <v>6</v>
      </c>
      <c r="K377" t="str">
        <f>IFERROR(IFERROR(IF(K$5='Conceptos Desglosados'!$H$4,VLOOKUP($A377,dormitorios,2,0),IF(K$5='Conceptos Desglosados'!$H$5,VLOOKUP($A377,comedor,2,0),IF(K$5='Conceptos Desglosados'!$H$6,VLOOKUP($A377,alojamiento,2,0),IF(K$5='Conceptos Desglosados'!$H$7,VLOOKUP($A377,sanidad,2,0),IF(K$5='Conceptos Desglosados'!$H$8,VLOOKUP($A377,servicios,2,0),IF(K$5='Conceptos Desglosados'!$H$9,VLOOKUP($A377,comyaloj,2,0),IF(K$5='Conceptos Desglosados'!$H$10,VLOOKUP($A377,comandancia,2,0),IF(K$5='Conceptos Desglosados'!$H$11,VLOOKUP($A377,mantenimiento,2,0),IF(K$5='Conceptos Desglosados'!$H$12,VLOOKUP($A377,serestatal,2,0),IF(K$5='Conceptos Desglosados'!$H$13,VLOOKUP($A377,conferencias,2,0),"")))))))))),"")*K$3,"")</f>
        <v/>
      </c>
      <c r="L377" t="str">
        <f>IFERROR(IFERROR(IF(L$5='Conceptos Desglosados'!$H$4,VLOOKUP($A377,dormitorios,2,0),IF(L$5='Conceptos Desglosados'!$H$5,VLOOKUP($A377,comedor,2,0),IF(L$5='Conceptos Desglosados'!$H$6,VLOOKUP($A377,alojamiento,2,0),IF(L$5='Conceptos Desglosados'!$H$7,VLOOKUP($A377,sanidad,2,0),IF(L$5='Conceptos Desglosados'!$H$8,VLOOKUP($A377,servicios,2,0),IF(L$5='Conceptos Desglosados'!$H$9,VLOOKUP($A377,comyaloj,2,0),IF(L$5='Conceptos Desglosados'!$H$10,VLOOKUP($A377,comandancia,2,0),IF(L$5='Conceptos Desglosados'!$H$11,VLOOKUP($A377,mantenimiento,2,0),IF(L$5='Conceptos Desglosados'!$H$12,VLOOKUP($A377,serestatal,2,0),IF(L$5='Conceptos Desglosados'!$H$13,VLOOKUP($A377,conferencias,2,0),"")))))))))),"")*L$3,"")</f>
        <v/>
      </c>
      <c r="M377" t="str">
        <f>IFERROR(IFERROR(IF(M$5='Conceptos Desglosados'!$H$4,VLOOKUP($A377,dormitorios,2,0),IF(M$5='Conceptos Desglosados'!$H$5,VLOOKUP($A377,comedor,2,0),IF(M$5='Conceptos Desglosados'!$H$6,VLOOKUP($A377,alojamiento,2,0),IF(M$5='Conceptos Desglosados'!$H$7,VLOOKUP($A377,sanidad,2,0),IF(M$5='Conceptos Desglosados'!$H$8,VLOOKUP($A377,servicios,2,0),IF(M$5='Conceptos Desglosados'!$H$9,VLOOKUP($A377,comyaloj,2,0),IF(M$5='Conceptos Desglosados'!$H$10,VLOOKUP($A377,comandancia,2,0),IF(M$5='Conceptos Desglosados'!$H$11,VLOOKUP($A377,mantenimiento,2,0),IF(M$5='Conceptos Desglosados'!$H$12,VLOOKUP($A377,serestatal,2,0),IF(M$5='Conceptos Desglosados'!$H$13,VLOOKUP($A377,conferencias,2,0),"")))))))))),"")*M$3,"")</f>
        <v/>
      </c>
      <c r="O377">
        <f>SUM(K377:M377)</f>
        <v>0</v>
      </c>
    </row>
    <row r="378" spans="1:15" x14ac:dyDescent="0.35">
      <c r="A378">
        <v>373</v>
      </c>
      <c r="B378" t="s">
        <v>11</v>
      </c>
      <c r="C378" t="s">
        <v>824</v>
      </c>
      <c r="D378" t="s">
        <v>825</v>
      </c>
      <c r="E378" t="s">
        <v>1059</v>
      </c>
      <c r="F378" t="s">
        <v>1060</v>
      </c>
      <c r="G378" t="s">
        <v>9</v>
      </c>
      <c r="H378">
        <v>1.9750000000000001</v>
      </c>
      <c r="I378">
        <v>2.7149999999999999</v>
      </c>
      <c r="J378" t="s">
        <v>6</v>
      </c>
      <c r="K378" t="str">
        <f>IFERROR(IFERROR(IF(K$5='Conceptos Desglosados'!$H$4,VLOOKUP($A378,dormitorios,2,0),IF(K$5='Conceptos Desglosados'!$H$5,VLOOKUP($A378,comedor,2,0),IF(K$5='Conceptos Desglosados'!$H$6,VLOOKUP($A378,alojamiento,2,0),IF(K$5='Conceptos Desglosados'!$H$7,VLOOKUP($A378,sanidad,2,0),IF(K$5='Conceptos Desglosados'!$H$8,VLOOKUP($A378,servicios,2,0),IF(K$5='Conceptos Desglosados'!$H$9,VLOOKUP($A378,comyaloj,2,0),IF(K$5='Conceptos Desglosados'!$H$10,VLOOKUP($A378,comandancia,2,0),IF(K$5='Conceptos Desglosados'!$H$11,VLOOKUP($A378,mantenimiento,2,0),IF(K$5='Conceptos Desglosados'!$H$12,VLOOKUP($A378,serestatal,2,0),IF(K$5='Conceptos Desglosados'!$H$13,VLOOKUP($A378,conferencias,2,0),"")))))))))),"")*K$3,"")</f>
        <v/>
      </c>
      <c r="L378">
        <f>IFERROR(IFERROR(IF(L$5='Conceptos Desglosados'!$H$4,VLOOKUP($A378,dormitorios,2,0),IF(L$5='Conceptos Desglosados'!$H$5,VLOOKUP($A378,comedor,2,0),IF(L$5='Conceptos Desglosados'!$H$6,VLOOKUP($A378,alojamiento,2,0),IF(L$5='Conceptos Desglosados'!$H$7,VLOOKUP($A378,sanidad,2,0),IF(L$5='Conceptos Desglosados'!$H$8,VLOOKUP($A378,servicios,2,0),IF(L$5='Conceptos Desglosados'!$H$9,VLOOKUP($A378,comyaloj,2,0),IF(L$5='Conceptos Desglosados'!$H$10,VLOOKUP($A378,comandancia,2,0),IF(L$5='Conceptos Desglosados'!$H$11,VLOOKUP($A378,mantenimiento,2,0),IF(L$5='Conceptos Desglosados'!$H$12,VLOOKUP($A378,serestatal,2,0),IF(L$5='Conceptos Desglosados'!$H$13,VLOOKUP($A378,conferencias,2,0),"")))))))))),"")*L$3,"")</f>
        <v>3</v>
      </c>
      <c r="M378" t="str">
        <f>IFERROR(IFERROR(IF(M$5='Conceptos Desglosados'!$H$4,VLOOKUP($A378,dormitorios,2,0),IF(M$5='Conceptos Desglosados'!$H$5,VLOOKUP($A378,comedor,2,0),IF(M$5='Conceptos Desglosados'!$H$6,VLOOKUP($A378,alojamiento,2,0),IF(M$5='Conceptos Desglosados'!$H$7,VLOOKUP($A378,sanidad,2,0),IF(M$5='Conceptos Desglosados'!$H$8,VLOOKUP($A378,servicios,2,0),IF(M$5='Conceptos Desglosados'!$H$9,VLOOKUP($A378,comyaloj,2,0),IF(M$5='Conceptos Desglosados'!$H$10,VLOOKUP($A378,comandancia,2,0),IF(M$5='Conceptos Desglosados'!$H$11,VLOOKUP($A378,mantenimiento,2,0),IF(M$5='Conceptos Desglosados'!$H$12,VLOOKUP($A378,serestatal,2,0),IF(M$5='Conceptos Desglosados'!$H$13,VLOOKUP($A378,conferencias,2,0),"")))))))))),"")*M$3,"")</f>
        <v/>
      </c>
      <c r="O378">
        <f>SUM(K378:M378)</f>
        <v>3</v>
      </c>
    </row>
    <row r="379" spans="1:15" x14ac:dyDescent="0.35">
      <c r="A379">
        <v>374</v>
      </c>
      <c r="B379" t="s">
        <v>11</v>
      </c>
      <c r="C379" t="s">
        <v>854</v>
      </c>
      <c r="D379" t="s">
        <v>855</v>
      </c>
      <c r="E379" t="s">
        <v>853</v>
      </c>
      <c r="F379" t="s">
        <v>704</v>
      </c>
      <c r="G379" t="s">
        <v>9</v>
      </c>
      <c r="H379">
        <v>1.9750000000000001</v>
      </c>
      <c r="I379">
        <v>2.7149999999999999</v>
      </c>
      <c r="J379" t="s">
        <v>6</v>
      </c>
      <c r="K379" t="str">
        <f>IFERROR(IFERROR(IF(K$5='Conceptos Desglosados'!$H$4,VLOOKUP($A379,dormitorios,2,0),IF(K$5='Conceptos Desglosados'!$H$5,VLOOKUP($A379,comedor,2,0),IF(K$5='Conceptos Desglosados'!$H$6,VLOOKUP($A379,alojamiento,2,0),IF(K$5='Conceptos Desglosados'!$H$7,VLOOKUP($A379,sanidad,2,0),IF(K$5='Conceptos Desglosados'!$H$8,VLOOKUP($A379,servicios,2,0),IF(K$5='Conceptos Desglosados'!$H$9,VLOOKUP($A379,comyaloj,2,0),IF(K$5='Conceptos Desglosados'!$H$10,VLOOKUP($A379,comandancia,2,0),IF(K$5='Conceptos Desglosados'!$H$11,VLOOKUP($A379,mantenimiento,2,0),IF(K$5='Conceptos Desglosados'!$H$12,VLOOKUP($A379,serestatal,2,0),IF(K$5='Conceptos Desglosados'!$H$13,VLOOKUP($A379,conferencias,2,0),"")))))))))),"")*K$3,"")</f>
        <v/>
      </c>
      <c r="L379" t="str">
        <f>IFERROR(IFERROR(IF(L$5='Conceptos Desglosados'!$H$4,VLOOKUP($A379,dormitorios,2,0),IF(L$5='Conceptos Desglosados'!$H$5,VLOOKUP($A379,comedor,2,0),IF(L$5='Conceptos Desglosados'!$H$6,VLOOKUP($A379,alojamiento,2,0),IF(L$5='Conceptos Desglosados'!$H$7,VLOOKUP($A379,sanidad,2,0),IF(L$5='Conceptos Desglosados'!$H$8,VLOOKUP($A379,servicios,2,0),IF(L$5='Conceptos Desglosados'!$H$9,VLOOKUP($A379,comyaloj,2,0),IF(L$5='Conceptos Desglosados'!$H$10,VLOOKUP($A379,comandancia,2,0),IF(L$5='Conceptos Desglosados'!$H$11,VLOOKUP($A379,mantenimiento,2,0),IF(L$5='Conceptos Desglosados'!$H$12,VLOOKUP($A379,serestatal,2,0),IF(L$5='Conceptos Desglosados'!$H$13,VLOOKUP($A379,conferencias,2,0),"")))))))))),"")*L$3,"")</f>
        <v/>
      </c>
      <c r="M379" t="str">
        <f>IFERROR(IFERROR(IF(M$5='Conceptos Desglosados'!$H$4,VLOOKUP($A379,dormitorios,2,0),IF(M$5='Conceptos Desglosados'!$H$5,VLOOKUP($A379,comedor,2,0),IF(M$5='Conceptos Desglosados'!$H$6,VLOOKUP($A379,alojamiento,2,0),IF(M$5='Conceptos Desglosados'!$H$7,VLOOKUP($A379,sanidad,2,0),IF(M$5='Conceptos Desglosados'!$H$8,VLOOKUP($A379,servicios,2,0),IF(M$5='Conceptos Desglosados'!$H$9,VLOOKUP($A379,comyaloj,2,0),IF(M$5='Conceptos Desglosados'!$H$10,VLOOKUP($A379,comandancia,2,0),IF(M$5='Conceptos Desglosados'!$H$11,VLOOKUP($A379,mantenimiento,2,0),IF(M$5='Conceptos Desglosados'!$H$12,VLOOKUP($A379,serestatal,2,0),IF(M$5='Conceptos Desglosados'!$H$13,VLOOKUP($A379,conferencias,2,0),"")))))))))),"")*M$3,"")</f>
        <v/>
      </c>
      <c r="O379">
        <f>SUM(K379:M379)</f>
        <v>0</v>
      </c>
    </row>
    <row r="380" spans="1:15" x14ac:dyDescent="0.35">
      <c r="A380">
        <v>375</v>
      </c>
      <c r="B380" t="s">
        <v>11</v>
      </c>
      <c r="C380" t="s">
        <v>867</v>
      </c>
      <c r="D380" t="s">
        <v>868</v>
      </c>
      <c r="E380" t="s">
        <v>853</v>
      </c>
      <c r="F380" t="s">
        <v>704</v>
      </c>
      <c r="G380" t="s">
        <v>9</v>
      </c>
      <c r="H380">
        <v>1.9750000000000001</v>
      </c>
      <c r="I380">
        <v>2.7149999999999999</v>
      </c>
      <c r="J380" t="s">
        <v>6</v>
      </c>
      <c r="K380" t="str">
        <f>IFERROR(IFERROR(IF(K$5='Conceptos Desglosados'!$H$4,VLOOKUP($A380,dormitorios,2,0),IF(K$5='Conceptos Desglosados'!$H$5,VLOOKUP($A380,comedor,2,0),IF(K$5='Conceptos Desglosados'!$H$6,VLOOKUP($A380,alojamiento,2,0),IF(K$5='Conceptos Desglosados'!$H$7,VLOOKUP($A380,sanidad,2,0),IF(K$5='Conceptos Desglosados'!$H$8,VLOOKUP($A380,servicios,2,0),IF(K$5='Conceptos Desglosados'!$H$9,VLOOKUP($A380,comyaloj,2,0),IF(K$5='Conceptos Desglosados'!$H$10,VLOOKUP($A380,comandancia,2,0),IF(K$5='Conceptos Desglosados'!$H$11,VLOOKUP($A380,mantenimiento,2,0),IF(K$5='Conceptos Desglosados'!$H$12,VLOOKUP($A380,serestatal,2,0),IF(K$5='Conceptos Desglosados'!$H$13,VLOOKUP($A380,conferencias,2,0),"")))))))))),"")*K$3,"")</f>
        <v/>
      </c>
      <c r="L380" t="str">
        <f>IFERROR(IFERROR(IF(L$5='Conceptos Desglosados'!$H$4,VLOOKUP($A380,dormitorios,2,0),IF(L$5='Conceptos Desglosados'!$H$5,VLOOKUP($A380,comedor,2,0),IF(L$5='Conceptos Desglosados'!$H$6,VLOOKUP($A380,alojamiento,2,0),IF(L$5='Conceptos Desglosados'!$H$7,VLOOKUP($A380,sanidad,2,0),IF(L$5='Conceptos Desglosados'!$H$8,VLOOKUP($A380,servicios,2,0),IF(L$5='Conceptos Desglosados'!$H$9,VLOOKUP($A380,comyaloj,2,0),IF(L$5='Conceptos Desglosados'!$H$10,VLOOKUP($A380,comandancia,2,0),IF(L$5='Conceptos Desglosados'!$H$11,VLOOKUP($A380,mantenimiento,2,0),IF(L$5='Conceptos Desglosados'!$H$12,VLOOKUP($A380,serestatal,2,0),IF(L$5='Conceptos Desglosados'!$H$13,VLOOKUP($A380,conferencias,2,0),"")))))))))),"")*L$3,"")</f>
        <v/>
      </c>
      <c r="M380" t="str">
        <f>IFERROR(IFERROR(IF(M$5='Conceptos Desglosados'!$H$4,VLOOKUP($A380,dormitorios,2,0),IF(M$5='Conceptos Desglosados'!$H$5,VLOOKUP($A380,comedor,2,0),IF(M$5='Conceptos Desglosados'!$H$6,VLOOKUP($A380,alojamiento,2,0),IF(M$5='Conceptos Desglosados'!$H$7,VLOOKUP($A380,sanidad,2,0),IF(M$5='Conceptos Desglosados'!$H$8,VLOOKUP($A380,servicios,2,0),IF(M$5='Conceptos Desglosados'!$H$9,VLOOKUP($A380,comyaloj,2,0),IF(M$5='Conceptos Desglosados'!$H$10,VLOOKUP($A380,comandancia,2,0),IF(M$5='Conceptos Desglosados'!$H$11,VLOOKUP($A380,mantenimiento,2,0),IF(M$5='Conceptos Desglosados'!$H$12,VLOOKUP($A380,serestatal,2,0),IF(M$5='Conceptos Desglosados'!$H$13,VLOOKUP($A380,conferencias,2,0),"")))))))))),"")*M$3,"")</f>
        <v/>
      </c>
      <c r="O380">
        <f>SUM(K380:M380)</f>
        <v>0</v>
      </c>
    </row>
    <row r="381" spans="1:15" x14ac:dyDescent="0.35">
      <c r="A381">
        <v>376</v>
      </c>
      <c r="B381" t="s">
        <v>11</v>
      </c>
      <c r="C381" t="s">
        <v>869</v>
      </c>
      <c r="D381" t="s">
        <v>870</v>
      </c>
      <c r="E381" t="s">
        <v>853</v>
      </c>
      <c r="F381" t="s">
        <v>704</v>
      </c>
      <c r="G381" t="s">
        <v>9</v>
      </c>
      <c r="H381">
        <v>1.9750000000000001</v>
      </c>
      <c r="I381">
        <v>2.7149999999999999</v>
      </c>
      <c r="J381" t="s">
        <v>6</v>
      </c>
      <c r="K381" t="str">
        <f>IFERROR(IFERROR(IF(K$5='Conceptos Desglosados'!$H$4,VLOOKUP($A381,dormitorios,2,0),IF(K$5='Conceptos Desglosados'!$H$5,VLOOKUP($A381,comedor,2,0),IF(K$5='Conceptos Desglosados'!$H$6,VLOOKUP($A381,alojamiento,2,0),IF(K$5='Conceptos Desglosados'!$H$7,VLOOKUP($A381,sanidad,2,0),IF(K$5='Conceptos Desglosados'!$H$8,VLOOKUP($A381,servicios,2,0),IF(K$5='Conceptos Desglosados'!$H$9,VLOOKUP($A381,comyaloj,2,0),IF(K$5='Conceptos Desglosados'!$H$10,VLOOKUP($A381,comandancia,2,0),IF(K$5='Conceptos Desglosados'!$H$11,VLOOKUP($A381,mantenimiento,2,0),IF(K$5='Conceptos Desglosados'!$H$12,VLOOKUP($A381,serestatal,2,0),IF(K$5='Conceptos Desglosados'!$H$13,VLOOKUP($A381,conferencias,2,0),"")))))))))),"")*K$3,"")</f>
        <v/>
      </c>
      <c r="L381" t="str">
        <f>IFERROR(IFERROR(IF(L$5='Conceptos Desglosados'!$H$4,VLOOKUP($A381,dormitorios,2,0),IF(L$5='Conceptos Desglosados'!$H$5,VLOOKUP($A381,comedor,2,0),IF(L$5='Conceptos Desglosados'!$H$6,VLOOKUP($A381,alojamiento,2,0),IF(L$5='Conceptos Desglosados'!$H$7,VLOOKUP($A381,sanidad,2,0),IF(L$5='Conceptos Desglosados'!$H$8,VLOOKUP($A381,servicios,2,0),IF(L$5='Conceptos Desglosados'!$H$9,VLOOKUP($A381,comyaloj,2,0),IF(L$5='Conceptos Desglosados'!$H$10,VLOOKUP($A381,comandancia,2,0),IF(L$5='Conceptos Desglosados'!$H$11,VLOOKUP($A381,mantenimiento,2,0),IF(L$5='Conceptos Desglosados'!$H$12,VLOOKUP($A381,serestatal,2,0),IF(L$5='Conceptos Desglosados'!$H$13,VLOOKUP($A381,conferencias,2,0),"")))))))))),"")*L$3,"")</f>
        <v/>
      </c>
      <c r="M381" t="str">
        <f>IFERROR(IFERROR(IF(M$5='Conceptos Desglosados'!$H$4,VLOOKUP($A381,dormitorios,2,0),IF(M$5='Conceptos Desglosados'!$H$5,VLOOKUP($A381,comedor,2,0),IF(M$5='Conceptos Desglosados'!$H$6,VLOOKUP($A381,alojamiento,2,0),IF(M$5='Conceptos Desglosados'!$H$7,VLOOKUP($A381,sanidad,2,0),IF(M$5='Conceptos Desglosados'!$H$8,VLOOKUP($A381,servicios,2,0),IF(M$5='Conceptos Desglosados'!$H$9,VLOOKUP($A381,comyaloj,2,0),IF(M$5='Conceptos Desglosados'!$H$10,VLOOKUP($A381,comandancia,2,0),IF(M$5='Conceptos Desglosados'!$H$11,VLOOKUP($A381,mantenimiento,2,0),IF(M$5='Conceptos Desglosados'!$H$12,VLOOKUP($A381,serestatal,2,0),IF(M$5='Conceptos Desglosados'!$H$13,VLOOKUP($A381,conferencias,2,0),"")))))))))),"")*M$3,"")</f>
        <v/>
      </c>
      <c r="O381">
        <f>SUM(K381:M381)</f>
        <v>0</v>
      </c>
    </row>
    <row r="382" spans="1:15" x14ac:dyDescent="0.35">
      <c r="A382">
        <v>377</v>
      </c>
      <c r="B382" t="s">
        <v>11</v>
      </c>
      <c r="C382" t="s">
        <v>987</v>
      </c>
      <c r="D382" t="s">
        <v>988</v>
      </c>
      <c r="E382" t="s">
        <v>1</v>
      </c>
      <c r="F382" t="s">
        <v>965</v>
      </c>
      <c r="G382" t="s">
        <v>9</v>
      </c>
      <c r="H382">
        <v>1.9750000000000001</v>
      </c>
      <c r="I382">
        <v>2.7149999999999999</v>
      </c>
      <c r="J382" t="s">
        <v>6</v>
      </c>
      <c r="K382" t="str">
        <f>IFERROR(IFERROR(IF(K$5='Conceptos Desglosados'!$H$4,VLOOKUP($A382,dormitorios,2,0),IF(K$5='Conceptos Desglosados'!$H$5,VLOOKUP($A382,comedor,2,0),IF(K$5='Conceptos Desglosados'!$H$6,VLOOKUP($A382,alojamiento,2,0),IF(K$5='Conceptos Desglosados'!$H$7,VLOOKUP($A382,sanidad,2,0),IF(K$5='Conceptos Desglosados'!$H$8,VLOOKUP($A382,servicios,2,0),IF(K$5='Conceptos Desglosados'!$H$9,VLOOKUP($A382,comyaloj,2,0),IF(K$5='Conceptos Desglosados'!$H$10,VLOOKUP($A382,comandancia,2,0),IF(K$5='Conceptos Desglosados'!$H$11,VLOOKUP($A382,mantenimiento,2,0),IF(K$5='Conceptos Desglosados'!$H$12,VLOOKUP($A382,serestatal,2,0),IF(K$5='Conceptos Desglosados'!$H$13,VLOOKUP($A382,conferencias,2,0),"")))))))))),"")*K$3,"")</f>
        <v/>
      </c>
      <c r="L382" t="str">
        <f>IFERROR(IFERROR(IF(L$5='Conceptos Desglosados'!$H$4,VLOOKUP($A382,dormitorios,2,0),IF(L$5='Conceptos Desglosados'!$H$5,VLOOKUP($A382,comedor,2,0),IF(L$5='Conceptos Desglosados'!$H$6,VLOOKUP($A382,alojamiento,2,0),IF(L$5='Conceptos Desglosados'!$H$7,VLOOKUP($A382,sanidad,2,0),IF(L$5='Conceptos Desglosados'!$H$8,VLOOKUP($A382,servicios,2,0),IF(L$5='Conceptos Desglosados'!$H$9,VLOOKUP($A382,comyaloj,2,0),IF(L$5='Conceptos Desglosados'!$H$10,VLOOKUP($A382,comandancia,2,0),IF(L$5='Conceptos Desglosados'!$H$11,VLOOKUP($A382,mantenimiento,2,0),IF(L$5='Conceptos Desglosados'!$H$12,VLOOKUP($A382,serestatal,2,0),IF(L$5='Conceptos Desglosados'!$H$13,VLOOKUP($A382,conferencias,2,0),"")))))))))),"")*L$3,"")</f>
        <v/>
      </c>
      <c r="M382">
        <f>IFERROR(IFERROR(IF(M$5='Conceptos Desglosados'!$H$4,VLOOKUP($A382,dormitorios,2,0),IF(M$5='Conceptos Desglosados'!$H$5,VLOOKUP($A382,comedor,2,0),IF(M$5='Conceptos Desglosados'!$H$6,VLOOKUP($A382,alojamiento,2,0),IF(M$5='Conceptos Desglosados'!$H$7,VLOOKUP($A382,sanidad,2,0),IF(M$5='Conceptos Desglosados'!$H$8,VLOOKUP($A382,servicios,2,0),IF(M$5='Conceptos Desglosados'!$H$9,VLOOKUP($A382,comyaloj,2,0),IF(M$5='Conceptos Desglosados'!$H$10,VLOOKUP($A382,comandancia,2,0),IF(M$5='Conceptos Desglosados'!$H$11,VLOOKUP($A382,mantenimiento,2,0),IF(M$5='Conceptos Desglosados'!$H$12,VLOOKUP($A382,serestatal,2,0),IF(M$5='Conceptos Desglosados'!$H$13,VLOOKUP($A382,conferencias,2,0),"")))))))))),"")*M$3,"")</f>
        <v>48</v>
      </c>
      <c r="O382">
        <f>SUM(K382:M382)</f>
        <v>48</v>
      </c>
    </row>
    <row r="383" spans="1:15" x14ac:dyDescent="0.35">
      <c r="A383">
        <v>378</v>
      </c>
      <c r="B383" t="s">
        <v>11</v>
      </c>
      <c r="C383" t="s">
        <v>1090</v>
      </c>
      <c r="D383" t="s">
        <v>1091</v>
      </c>
      <c r="E383" t="s">
        <v>1</v>
      </c>
      <c r="F383" t="s">
        <v>132</v>
      </c>
      <c r="G383" t="s">
        <v>9</v>
      </c>
      <c r="H383">
        <v>0.95199999999999996</v>
      </c>
      <c r="I383">
        <v>2.7149999999999999</v>
      </c>
      <c r="J383" t="s">
        <v>6</v>
      </c>
      <c r="K383" t="str">
        <f>IFERROR(IFERROR(IF(K$5='Conceptos Desglosados'!$H$4,VLOOKUP($A383,dormitorios,2,0),IF(K$5='Conceptos Desglosados'!$H$5,VLOOKUP($A383,comedor,2,0),IF(K$5='Conceptos Desglosados'!$H$6,VLOOKUP($A383,alojamiento,2,0),IF(K$5='Conceptos Desglosados'!$H$7,VLOOKUP($A383,sanidad,2,0),IF(K$5='Conceptos Desglosados'!$H$8,VLOOKUP($A383,servicios,2,0),IF(K$5='Conceptos Desglosados'!$H$9,VLOOKUP($A383,comyaloj,2,0),IF(K$5='Conceptos Desglosados'!$H$10,VLOOKUP($A383,comandancia,2,0),IF(K$5='Conceptos Desglosados'!$H$11,VLOOKUP($A383,mantenimiento,2,0),IF(K$5='Conceptos Desglosados'!$H$12,VLOOKUP($A383,serestatal,2,0),IF(K$5='Conceptos Desglosados'!$H$13,VLOOKUP($A383,conferencias,2,0),"")))))))))),"")*K$3,"")</f>
        <v/>
      </c>
      <c r="L383" t="str">
        <f>IFERROR(IFERROR(IF(L$5='Conceptos Desglosados'!$H$4,VLOOKUP($A383,dormitorios,2,0),IF(L$5='Conceptos Desglosados'!$H$5,VLOOKUP($A383,comedor,2,0),IF(L$5='Conceptos Desglosados'!$H$6,VLOOKUP($A383,alojamiento,2,0),IF(L$5='Conceptos Desglosados'!$H$7,VLOOKUP($A383,sanidad,2,0),IF(L$5='Conceptos Desglosados'!$H$8,VLOOKUP($A383,servicios,2,0),IF(L$5='Conceptos Desglosados'!$H$9,VLOOKUP($A383,comyaloj,2,0),IF(L$5='Conceptos Desglosados'!$H$10,VLOOKUP($A383,comandancia,2,0),IF(L$5='Conceptos Desglosados'!$H$11,VLOOKUP($A383,mantenimiento,2,0),IF(L$5='Conceptos Desglosados'!$H$12,VLOOKUP($A383,serestatal,2,0),IF(L$5='Conceptos Desglosados'!$H$13,VLOOKUP($A383,conferencias,2,0),"")))))))))),"")*L$3,"")</f>
        <v/>
      </c>
      <c r="M383" t="str">
        <f>IFERROR(IFERROR(IF(M$5='Conceptos Desglosados'!$H$4,VLOOKUP($A383,dormitorios,2,0),IF(M$5='Conceptos Desglosados'!$H$5,VLOOKUP($A383,comedor,2,0),IF(M$5='Conceptos Desglosados'!$H$6,VLOOKUP($A383,alojamiento,2,0),IF(M$5='Conceptos Desglosados'!$H$7,VLOOKUP($A383,sanidad,2,0),IF(M$5='Conceptos Desglosados'!$H$8,VLOOKUP($A383,servicios,2,0),IF(M$5='Conceptos Desglosados'!$H$9,VLOOKUP($A383,comyaloj,2,0),IF(M$5='Conceptos Desglosados'!$H$10,VLOOKUP($A383,comandancia,2,0),IF(M$5='Conceptos Desglosados'!$H$11,VLOOKUP($A383,mantenimiento,2,0),IF(M$5='Conceptos Desglosados'!$H$12,VLOOKUP($A383,serestatal,2,0),IF(M$5='Conceptos Desglosados'!$H$13,VLOOKUP($A383,conferencias,2,0),"")))))))))),"")*M$3,"")</f>
        <v/>
      </c>
      <c r="O383">
        <f>SUM(K383:M383)</f>
        <v>0</v>
      </c>
    </row>
    <row r="384" spans="1:15" x14ac:dyDescent="0.35">
      <c r="A384">
        <v>379</v>
      </c>
      <c r="B384" t="s">
        <v>11</v>
      </c>
      <c r="C384" t="s">
        <v>95</v>
      </c>
      <c r="D384" t="s">
        <v>264</v>
      </c>
      <c r="E384" t="s">
        <v>300</v>
      </c>
      <c r="F384" t="s">
        <v>132</v>
      </c>
      <c r="G384" t="s">
        <v>9</v>
      </c>
      <c r="H384">
        <v>1.9750000000000001</v>
      </c>
      <c r="I384">
        <v>2.7149999999999999</v>
      </c>
      <c r="J384" t="s">
        <v>6</v>
      </c>
      <c r="K384">
        <f>IFERROR(IFERROR(IF(K$5='Conceptos Desglosados'!$H$4,VLOOKUP($A384,dormitorios,2,0),IF(K$5='Conceptos Desglosados'!$H$5,VLOOKUP($A384,comedor,2,0),IF(K$5='Conceptos Desglosados'!$H$6,VLOOKUP($A384,alojamiento,2,0),IF(K$5='Conceptos Desglosados'!$H$7,VLOOKUP($A384,sanidad,2,0),IF(K$5='Conceptos Desglosados'!$H$8,VLOOKUP($A384,servicios,2,0),IF(K$5='Conceptos Desglosados'!$H$9,VLOOKUP($A384,comyaloj,2,0),IF(K$5='Conceptos Desglosados'!$H$10,VLOOKUP($A384,comandancia,2,0),IF(K$5='Conceptos Desglosados'!$H$11,VLOOKUP($A384,mantenimiento,2,0),IF(K$5='Conceptos Desglosados'!$H$12,VLOOKUP($A384,serestatal,2,0),IF(K$5='Conceptos Desglosados'!$H$13,VLOOKUP($A384,conferencias,2,0),"")))))))))),"")*K$3,"")</f>
        <v>6</v>
      </c>
      <c r="L384">
        <f>IFERROR(IFERROR(IF(L$5='Conceptos Desglosados'!$H$4,VLOOKUP($A384,dormitorios,2,0),IF(L$5='Conceptos Desglosados'!$H$5,VLOOKUP($A384,comedor,2,0),IF(L$5='Conceptos Desglosados'!$H$6,VLOOKUP($A384,alojamiento,2,0),IF(L$5='Conceptos Desglosados'!$H$7,VLOOKUP($A384,sanidad,2,0),IF(L$5='Conceptos Desglosados'!$H$8,VLOOKUP($A384,servicios,2,0),IF(L$5='Conceptos Desglosados'!$H$9,VLOOKUP($A384,comyaloj,2,0),IF(L$5='Conceptos Desglosados'!$H$10,VLOOKUP($A384,comandancia,2,0),IF(L$5='Conceptos Desglosados'!$H$11,VLOOKUP($A384,mantenimiento,2,0),IF(L$5='Conceptos Desglosados'!$H$12,VLOOKUP($A384,serestatal,2,0),IF(L$5='Conceptos Desglosados'!$H$13,VLOOKUP($A384,conferencias,2,0),"")))))))))),"")*L$3,"")</f>
        <v>10</v>
      </c>
      <c r="M384" t="str">
        <f>IFERROR(IFERROR(IF(M$5='Conceptos Desglosados'!$H$4,VLOOKUP($A384,dormitorios,2,0),IF(M$5='Conceptos Desglosados'!$H$5,VLOOKUP($A384,comedor,2,0),IF(M$5='Conceptos Desglosados'!$H$6,VLOOKUP($A384,alojamiento,2,0),IF(M$5='Conceptos Desglosados'!$H$7,VLOOKUP($A384,sanidad,2,0),IF(M$5='Conceptos Desglosados'!$H$8,VLOOKUP($A384,servicios,2,0),IF(M$5='Conceptos Desglosados'!$H$9,VLOOKUP($A384,comyaloj,2,0),IF(M$5='Conceptos Desglosados'!$H$10,VLOOKUP($A384,comandancia,2,0),IF(M$5='Conceptos Desglosados'!$H$11,VLOOKUP($A384,mantenimiento,2,0),IF(M$5='Conceptos Desglosados'!$H$12,VLOOKUP($A384,serestatal,2,0),IF(M$5='Conceptos Desglosados'!$H$13,VLOOKUP($A384,conferencias,2,0),"")))))))))),"")*M$3,"")</f>
        <v/>
      </c>
      <c r="O384">
        <f>SUM(K384:M384)</f>
        <v>16</v>
      </c>
    </row>
    <row r="385" spans="1:15" x14ac:dyDescent="0.35">
      <c r="A385">
        <v>380</v>
      </c>
      <c r="B385" t="s">
        <v>11</v>
      </c>
      <c r="C385" t="s">
        <v>96</v>
      </c>
      <c r="D385" t="s">
        <v>265</v>
      </c>
      <c r="E385" t="s">
        <v>24</v>
      </c>
      <c r="F385" t="s">
        <v>132</v>
      </c>
      <c r="G385" t="s">
        <v>9</v>
      </c>
      <c r="H385">
        <v>1.9750000000000001</v>
      </c>
      <c r="I385">
        <v>2.7149999999999999</v>
      </c>
      <c r="J385" t="s">
        <v>6</v>
      </c>
      <c r="K385">
        <f>IFERROR(IFERROR(IF(K$5='Conceptos Desglosados'!$H$4,VLOOKUP($A385,dormitorios,2,0),IF(K$5='Conceptos Desglosados'!$H$5,VLOOKUP($A385,comedor,2,0),IF(K$5='Conceptos Desglosados'!$H$6,VLOOKUP($A385,alojamiento,2,0),IF(K$5='Conceptos Desglosados'!$H$7,VLOOKUP($A385,sanidad,2,0),IF(K$5='Conceptos Desglosados'!$H$8,VLOOKUP($A385,servicios,2,0),IF(K$5='Conceptos Desglosados'!$H$9,VLOOKUP($A385,comyaloj,2,0),IF(K$5='Conceptos Desglosados'!$H$10,VLOOKUP($A385,comandancia,2,0),IF(K$5='Conceptos Desglosados'!$H$11,VLOOKUP($A385,mantenimiento,2,0),IF(K$5='Conceptos Desglosados'!$H$12,VLOOKUP($A385,serestatal,2,0),IF(K$5='Conceptos Desglosados'!$H$13,VLOOKUP($A385,conferencias,2,0),"")))))))))),"")*K$3,"")</f>
        <v>14</v>
      </c>
      <c r="L385" t="str">
        <f>IFERROR(IFERROR(IF(L$5='Conceptos Desglosados'!$H$4,VLOOKUP($A385,dormitorios,2,0),IF(L$5='Conceptos Desglosados'!$H$5,VLOOKUP($A385,comedor,2,0),IF(L$5='Conceptos Desglosados'!$H$6,VLOOKUP($A385,alojamiento,2,0),IF(L$5='Conceptos Desglosados'!$H$7,VLOOKUP($A385,sanidad,2,0),IF(L$5='Conceptos Desglosados'!$H$8,VLOOKUP($A385,servicios,2,0),IF(L$5='Conceptos Desglosados'!$H$9,VLOOKUP($A385,comyaloj,2,0),IF(L$5='Conceptos Desglosados'!$H$10,VLOOKUP($A385,comandancia,2,0),IF(L$5='Conceptos Desglosados'!$H$11,VLOOKUP($A385,mantenimiento,2,0),IF(L$5='Conceptos Desglosados'!$H$12,VLOOKUP($A385,serestatal,2,0),IF(L$5='Conceptos Desglosados'!$H$13,VLOOKUP($A385,conferencias,2,0),"")))))))))),"")*L$3,"")</f>
        <v/>
      </c>
      <c r="M385" t="str">
        <f>IFERROR(IFERROR(IF(M$5='Conceptos Desglosados'!$H$4,VLOOKUP($A385,dormitorios,2,0),IF(M$5='Conceptos Desglosados'!$H$5,VLOOKUP($A385,comedor,2,0),IF(M$5='Conceptos Desglosados'!$H$6,VLOOKUP($A385,alojamiento,2,0),IF(M$5='Conceptos Desglosados'!$H$7,VLOOKUP($A385,sanidad,2,0),IF(M$5='Conceptos Desglosados'!$H$8,VLOOKUP($A385,servicios,2,0),IF(M$5='Conceptos Desglosados'!$H$9,VLOOKUP($A385,comyaloj,2,0),IF(M$5='Conceptos Desglosados'!$H$10,VLOOKUP($A385,comandancia,2,0),IF(M$5='Conceptos Desglosados'!$H$11,VLOOKUP($A385,mantenimiento,2,0),IF(M$5='Conceptos Desglosados'!$H$12,VLOOKUP($A385,serestatal,2,0),IF(M$5='Conceptos Desglosados'!$H$13,VLOOKUP($A385,conferencias,2,0),"")))))))))),"")*M$3,"")</f>
        <v/>
      </c>
      <c r="O385">
        <f>SUM(K385:M385)</f>
        <v>14</v>
      </c>
    </row>
    <row r="386" spans="1:15" x14ac:dyDescent="0.35">
      <c r="A386">
        <v>381</v>
      </c>
      <c r="B386" t="s">
        <v>11</v>
      </c>
      <c r="C386" t="s">
        <v>121</v>
      </c>
      <c r="D386" t="s">
        <v>266</v>
      </c>
      <c r="E386" t="s">
        <v>112</v>
      </c>
      <c r="F386" t="s">
        <v>132</v>
      </c>
      <c r="G386" t="s">
        <v>9</v>
      </c>
      <c r="H386">
        <v>1.9750000000000001</v>
      </c>
      <c r="I386">
        <v>2.7149999999999999</v>
      </c>
      <c r="J386" t="s">
        <v>6</v>
      </c>
      <c r="K386" t="str">
        <f>IFERROR(IFERROR(IF(K$5='Conceptos Desglosados'!$H$4,VLOOKUP($A386,dormitorios,2,0),IF(K$5='Conceptos Desglosados'!$H$5,VLOOKUP($A386,comedor,2,0),IF(K$5='Conceptos Desglosados'!$H$6,VLOOKUP($A386,alojamiento,2,0),IF(K$5='Conceptos Desglosados'!$H$7,VLOOKUP($A386,sanidad,2,0),IF(K$5='Conceptos Desglosados'!$H$8,VLOOKUP($A386,servicios,2,0),IF(K$5='Conceptos Desglosados'!$H$9,VLOOKUP($A386,comyaloj,2,0),IF(K$5='Conceptos Desglosados'!$H$10,VLOOKUP($A386,comandancia,2,0),IF(K$5='Conceptos Desglosados'!$H$11,VLOOKUP($A386,mantenimiento,2,0),IF(K$5='Conceptos Desglosados'!$H$12,VLOOKUP($A386,serestatal,2,0),IF(K$5='Conceptos Desglosados'!$H$13,VLOOKUP($A386,conferencias,2,0),"")))))))))),"")*K$3,"")</f>
        <v/>
      </c>
      <c r="L386">
        <f>IFERROR(IFERROR(IF(L$5='Conceptos Desglosados'!$H$4,VLOOKUP($A386,dormitorios,2,0),IF(L$5='Conceptos Desglosados'!$H$5,VLOOKUP($A386,comedor,2,0),IF(L$5='Conceptos Desglosados'!$H$6,VLOOKUP($A386,alojamiento,2,0),IF(L$5='Conceptos Desglosados'!$H$7,VLOOKUP($A386,sanidad,2,0),IF(L$5='Conceptos Desglosados'!$H$8,VLOOKUP($A386,servicios,2,0),IF(L$5='Conceptos Desglosados'!$H$9,VLOOKUP($A386,comyaloj,2,0),IF(L$5='Conceptos Desglosados'!$H$10,VLOOKUP($A386,comandancia,2,0),IF(L$5='Conceptos Desglosados'!$H$11,VLOOKUP($A386,mantenimiento,2,0),IF(L$5='Conceptos Desglosados'!$H$12,VLOOKUP($A386,serestatal,2,0),IF(L$5='Conceptos Desglosados'!$H$13,VLOOKUP($A386,conferencias,2,0),"")))))))))),"")*L$3,"")</f>
        <v>2</v>
      </c>
      <c r="M386" t="str">
        <f>IFERROR(IFERROR(IF(M$5='Conceptos Desglosados'!$H$4,VLOOKUP($A386,dormitorios,2,0),IF(M$5='Conceptos Desglosados'!$H$5,VLOOKUP($A386,comedor,2,0),IF(M$5='Conceptos Desglosados'!$H$6,VLOOKUP($A386,alojamiento,2,0),IF(M$5='Conceptos Desglosados'!$H$7,VLOOKUP($A386,sanidad,2,0),IF(M$5='Conceptos Desglosados'!$H$8,VLOOKUP($A386,servicios,2,0),IF(M$5='Conceptos Desglosados'!$H$9,VLOOKUP($A386,comyaloj,2,0),IF(M$5='Conceptos Desglosados'!$H$10,VLOOKUP($A386,comandancia,2,0),IF(M$5='Conceptos Desglosados'!$H$11,VLOOKUP($A386,mantenimiento,2,0),IF(M$5='Conceptos Desglosados'!$H$12,VLOOKUP($A386,serestatal,2,0),IF(M$5='Conceptos Desglosados'!$H$13,VLOOKUP($A386,conferencias,2,0),"")))))))))),"")*M$3,"")</f>
        <v/>
      </c>
      <c r="O386">
        <f>SUM(K386:M386)</f>
        <v>2</v>
      </c>
    </row>
    <row r="387" spans="1:15" x14ac:dyDescent="0.35">
      <c r="A387">
        <v>382</v>
      </c>
      <c r="B387" t="s">
        <v>11</v>
      </c>
      <c r="C387" t="s">
        <v>97</v>
      </c>
      <c r="D387" t="s">
        <v>267</v>
      </c>
      <c r="E387" t="s">
        <v>419</v>
      </c>
      <c r="F387" t="s">
        <v>132</v>
      </c>
      <c r="G387" t="s">
        <v>9</v>
      </c>
      <c r="H387">
        <v>1.9750000000000001</v>
      </c>
      <c r="I387">
        <v>2.7149999999999999</v>
      </c>
      <c r="J387" t="s">
        <v>6</v>
      </c>
      <c r="K387">
        <f>IFERROR(IFERROR(IF(K$5='Conceptos Desglosados'!$H$4,VLOOKUP($A387,dormitorios,2,0),IF(K$5='Conceptos Desglosados'!$H$5,VLOOKUP($A387,comedor,2,0),IF(K$5='Conceptos Desglosados'!$H$6,VLOOKUP($A387,alojamiento,2,0),IF(K$5='Conceptos Desglosados'!$H$7,VLOOKUP($A387,sanidad,2,0),IF(K$5='Conceptos Desglosados'!$H$8,VLOOKUP($A387,servicios,2,0),IF(K$5='Conceptos Desglosados'!$H$9,VLOOKUP($A387,comyaloj,2,0),IF(K$5='Conceptos Desglosados'!$H$10,VLOOKUP($A387,comandancia,2,0),IF(K$5='Conceptos Desglosados'!$H$11,VLOOKUP($A387,mantenimiento,2,0),IF(K$5='Conceptos Desglosados'!$H$12,VLOOKUP($A387,serestatal,2,0),IF(K$5='Conceptos Desglosados'!$H$13,VLOOKUP($A387,conferencias,2,0),"")))))))))),"")*K$3,"")</f>
        <v>74</v>
      </c>
      <c r="L387" t="str">
        <f>IFERROR(IFERROR(IF(L$5='Conceptos Desglosados'!$H$4,VLOOKUP($A387,dormitorios,2,0),IF(L$5='Conceptos Desglosados'!$H$5,VLOOKUP($A387,comedor,2,0),IF(L$5='Conceptos Desglosados'!$H$6,VLOOKUP($A387,alojamiento,2,0),IF(L$5='Conceptos Desglosados'!$H$7,VLOOKUP($A387,sanidad,2,0),IF(L$5='Conceptos Desglosados'!$H$8,VLOOKUP($A387,servicios,2,0),IF(L$5='Conceptos Desglosados'!$H$9,VLOOKUP($A387,comyaloj,2,0),IF(L$5='Conceptos Desglosados'!$H$10,VLOOKUP($A387,comandancia,2,0),IF(L$5='Conceptos Desglosados'!$H$11,VLOOKUP($A387,mantenimiento,2,0),IF(L$5='Conceptos Desglosados'!$H$12,VLOOKUP($A387,serestatal,2,0),IF(L$5='Conceptos Desglosados'!$H$13,VLOOKUP($A387,conferencias,2,0),"")))))))))),"")*L$3,"")</f>
        <v/>
      </c>
      <c r="M387" t="str">
        <f>IFERROR(IFERROR(IF(M$5='Conceptos Desglosados'!$H$4,VLOOKUP($A387,dormitorios,2,0),IF(M$5='Conceptos Desglosados'!$H$5,VLOOKUP($A387,comedor,2,0),IF(M$5='Conceptos Desglosados'!$H$6,VLOOKUP($A387,alojamiento,2,0),IF(M$5='Conceptos Desglosados'!$H$7,VLOOKUP($A387,sanidad,2,0),IF(M$5='Conceptos Desglosados'!$H$8,VLOOKUP($A387,servicios,2,0),IF(M$5='Conceptos Desglosados'!$H$9,VLOOKUP($A387,comyaloj,2,0),IF(M$5='Conceptos Desglosados'!$H$10,VLOOKUP($A387,comandancia,2,0),IF(M$5='Conceptos Desglosados'!$H$11,VLOOKUP($A387,mantenimiento,2,0),IF(M$5='Conceptos Desglosados'!$H$12,VLOOKUP($A387,serestatal,2,0),IF(M$5='Conceptos Desglosados'!$H$13,VLOOKUP($A387,conferencias,2,0),"")))))))))),"")*M$3,"")</f>
        <v/>
      </c>
      <c r="O387">
        <f>SUM(K387:M387)</f>
        <v>74</v>
      </c>
    </row>
    <row r="388" spans="1:15" x14ac:dyDescent="0.35">
      <c r="A388">
        <v>383</v>
      </c>
      <c r="B388" t="s">
        <v>11</v>
      </c>
      <c r="C388" t="s">
        <v>100</v>
      </c>
      <c r="D388" t="s">
        <v>268</v>
      </c>
      <c r="E388" t="s">
        <v>301</v>
      </c>
      <c r="F388" t="s">
        <v>132</v>
      </c>
      <c r="G388" t="s">
        <v>9</v>
      </c>
      <c r="H388">
        <v>1.9750000000000001</v>
      </c>
      <c r="I388">
        <v>2.7149999999999999</v>
      </c>
      <c r="J388" t="s">
        <v>6</v>
      </c>
      <c r="K388" t="str">
        <f>IFERROR(IFERROR(IF(K$5='Conceptos Desglosados'!$H$4,VLOOKUP($A388,dormitorios,2,0),IF(K$5='Conceptos Desglosados'!$H$5,VLOOKUP($A388,comedor,2,0),IF(K$5='Conceptos Desglosados'!$H$6,VLOOKUP($A388,alojamiento,2,0),IF(K$5='Conceptos Desglosados'!$H$7,VLOOKUP($A388,sanidad,2,0),IF(K$5='Conceptos Desglosados'!$H$8,VLOOKUP($A388,servicios,2,0),IF(K$5='Conceptos Desglosados'!$H$9,VLOOKUP($A388,comyaloj,2,0),IF(K$5='Conceptos Desglosados'!$H$10,VLOOKUP($A388,comandancia,2,0),IF(K$5='Conceptos Desglosados'!$H$11,VLOOKUP($A388,mantenimiento,2,0),IF(K$5='Conceptos Desglosados'!$H$12,VLOOKUP($A388,serestatal,2,0),IF(K$5='Conceptos Desglosados'!$H$13,VLOOKUP($A388,conferencias,2,0),"")))))))))),"")*K$3,"")</f>
        <v/>
      </c>
      <c r="L388" t="str">
        <f>IFERROR(IFERROR(IF(L$5='Conceptos Desglosados'!$H$4,VLOOKUP($A388,dormitorios,2,0),IF(L$5='Conceptos Desglosados'!$H$5,VLOOKUP($A388,comedor,2,0),IF(L$5='Conceptos Desglosados'!$H$6,VLOOKUP($A388,alojamiento,2,0),IF(L$5='Conceptos Desglosados'!$H$7,VLOOKUP($A388,sanidad,2,0),IF(L$5='Conceptos Desglosados'!$H$8,VLOOKUP($A388,servicios,2,0),IF(L$5='Conceptos Desglosados'!$H$9,VLOOKUP($A388,comyaloj,2,0),IF(L$5='Conceptos Desglosados'!$H$10,VLOOKUP($A388,comandancia,2,0),IF(L$5='Conceptos Desglosados'!$H$11,VLOOKUP($A388,mantenimiento,2,0),IF(L$5='Conceptos Desglosados'!$H$12,VLOOKUP($A388,serestatal,2,0),IF(L$5='Conceptos Desglosados'!$H$13,VLOOKUP($A388,conferencias,2,0),"")))))))))),"")*L$3,"")</f>
        <v/>
      </c>
      <c r="M388" t="str">
        <f>IFERROR(IFERROR(IF(M$5='Conceptos Desglosados'!$H$4,VLOOKUP($A388,dormitorios,2,0),IF(M$5='Conceptos Desglosados'!$H$5,VLOOKUP($A388,comedor,2,0),IF(M$5='Conceptos Desglosados'!$H$6,VLOOKUP($A388,alojamiento,2,0),IF(M$5='Conceptos Desglosados'!$H$7,VLOOKUP($A388,sanidad,2,0),IF(M$5='Conceptos Desglosados'!$H$8,VLOOKUP($A388,servicios,2,0),IF(M$5='Conceptos Desglosados'!$H$9,VLOOKUP($A388,comyaloj,2,0),IF(M$5='Conceptos Desglosados'!$H$10,VLOOKUP($A388,comandancia,2,0),IF(M$5='Conceptos Desglosados'!$H$11,VLOOKUP($A388,mantenimiento,2,0),IF(M$5='Conceptos Desglosados'!$H$12,VLOOKUP($A388,serestatal,2,0),IF(M$5='Conceptos Desglosados'!$H$13,VLOOKUP($A388,conferencias,2,0),"")))))))))),"")*M$3,"")</f>
        <v/>
      </c>
      <c r="O388">
        <f>SUM(K388:M388)</f>
        <v>0</v>
      </c>
    </row>
    <row r="389" spans="1:15" x14ac:dyDescent="0.35">
      <c r="A389">
        <v>384</v>
      </c>
      <c r="B389" t="s">
        <v>11</v>
      </c>
      <c r="C389" t="s">
        <v>99</v>
      </c>
      <c r="D389" t="s">
        <v>269</v>
      </c>
      <c r="E389" t="s">
        <v>420</v>
      </c>
      <c r="F389" t="s">
        <v>132</v>
      </c>
      <c r="G389" t="s">
        <v>9</v>
      </c>
      <c r="H389">
        <v>1.9750000000000001</v>
      </c>
      <c r="I389">
        <v>2.7149999999999999</v>
      </c>
      <c r="J389" t="s">
        <v>6</v>
      </c>
      <c r="K389">
        <f>IFERROR(IFERROR(IF(K$5='Conceptos Desglosados'!$H$4,VLOOKUP($A389,dormitorios,2,0),IF(K$5='Conceptos Desglosados'!$H$5,VLOOKUP($A389,comedor,2,0),IF(K$5='Conceptos Desglosados'!$H$6,VLOOKUP($A389,alojamiento,2,0),IF(K$5='Conceptos Desglosados'!$H$7,VLOOKUP($A389,sanidad,2,0),IF(K$5='Conceptos Desglosados'!$H$8,VLOOKUP($A389,servicios,2,0),IF(K$5='Conceptos Desglosados'!$H$9,VLOOKUP($A389,comyaloj,2,0),IF(K$5='Conceptos Desglosados'!$H$10,VLOOKUP($A389,comandancia,2,0),IF(K$5='Conceptos Desglosados'!$H$11,VLOOKUP($A389,mantenimiento,2,0),IF(K$5='Conceptos Desglosados'!$H$12,VLOOKUP($A389,serestatal,2,0),IF(K$5='Conceptos Desglosados'!$H$13,VLOOKUP($A389,conferencias,2,0),"")))))))))),"")*K$3,"")</f>
        <v>4</v>
      </c>
      <c r="L389" t="str">
        <f>IFERROR(IFERROR(IF(L$5='Conceptos Desglosados'!$H$4,VLOOKUP($A389,dormitorios,2,0),IF(L$5='Conceptos Desglosados'!$H$5,VLOOKUP($A389,comedor,2,0),IF(L$5='Conceptos Desglosados'!$H$6,VLOOKUP($A389,alojamiento,2,0),IF(L$5='Conceptos Desglosados'!$H$7,VLOOKUP($A389,sanidad,2,0),IF(L$5='Conceptos Desglosados'!$H$8,VLOOKUP($A389,servicios,2,0),IF(L$5='Conceptos Desglosados'!$H$9,VLOOKUP($A389,comyaloj,2,0),IF(L$5='Conceptos Desglosados'!$H$10,VLOOKUP($A389,comandancia,2,0),IF(L$5='Conceptos Desglosados'!$H$11,VLOOKUP($A389,mantenimiento,2,0),IF(L$5='Conceptos Desglosados'!$H$12,VLOOKUP($A389,serestatal,2,0),IF(L$5='Conceptos Desglosados'!$H$13,VLOOKUP($A389,conferencias,2,0),"")))))))))),"")*L$3,"")</f>
        <v/>
      </c>
      <c r="M389" t="str">
        <f>IFERROR(IFERROR(IF(M$5='Conceptos Desglosados'!$H$4,VLOOKUP($A389,dormitorios,2,0),IF(M$5='Conceptos Desglosados'!$H$5,VLOOKUP($A389,comedor,2,0),IF(M$5='Conceptos Desglosados'!$H$6,VLOOKUP($A389,alojamiento,2,0),IF(M$5='Conceptos Desglosados'!$H$7,VLOOKUP($A389,sanidad,2,0),IF(M$5='Conceptos Desglosados'!$H$8,VLOOKUP($A389,servicios,2,0),IF(M$5='Conceptos Desglosados'!$H$9,VLOOKUP($A389,comyaloj,2,0),IF(M$5='Conceptos Desglosados'!$H$10,VLOOKUP($A389,comandancia,2,0),IF(M$5='Conceptos Desglosados'!$H$11,VLOOKUP($A389,mantenimiento,2,0),IF(M$5='Conceptos Desglosados'!$H$12,VLOOKUP($A389,serestatal,2,0),IF(M$5='Conceptos Desglosados'!$H$13,VLOOKUP($A389,conferencias,2,0),"")))))))))),"")*M$3,"")</f>
        <v/>
      </c>
      <c r="O389">
        <f>SUM(K389:M389)</f>
        <v>4</v>
      </c>
    </row>
    <row r="390" spans="1:15" x14ac:dyDescent="0.35">
      <c r="A390">
        <v>385</v>
      </c>
      <c r="B390" t="s">
        <v>11</v>
      </c>
      <c r="C390" t="s">
        <v>122</v>
      </c>
      <c r="D390" t="s">
        <v>270</v>
      </c>
      <c r="E390" t="s">
        <v>113</v>
      </c>
      <c r="F390" t="s">
        <v>132</v>
      </c>
      <c r="G390" t="s">
        <v>9</v>
      </c>
      <c r="H390">
        <v>1.9750000000000001</v>
      </c>
      <c r="I390">
        <v>2.7149999999999999</v>
      </c>
      <c r="J390" t="s">
        <v>6</v>
      </c>
      <c r="K390">
        <f>IFERROR(IFERROR(IF(K$5='Conceptos Desglosados'!$H$4,VLOOKUP($A390,dormitorios,2,0),IF(K$5='Conceptos Desglosados'!$H$5,VLOOKUP($A390,comedor,2,0),IF(K$5='Conceptos Desglosados'!$H$6,VLOOKUP($A390,alojamiento,2,0),IF(K$5='Conceptos Desglosados'!$H$7,VLOOKUP($A390,sanidad,2,0),IF(K$5='Conceptos Desglosados'!$H$8,VLOOKUP($A390,servicios,2,0),IF(K$5='Conceptos Desglosados'!$H$9,VLOOKUP($A390,comyaloj,2,0),IF(K$5='Conceptos Desglosados'!$H$10,VLOOKUP($A390,comandancia,2,0),IF(K$5='Conceptos Desglosados'!$H$11,VLOOKUP($A390,mantenimiento,2,0),IF(K$5='Conceptos Desglosados'!$H$12,VLOOKUP($A390,serestatal,2,0),IF(K$5='Conceptos Desglosados'!$H$13,VLOOKUP($A390,conferencias,2,0),"")))))))))),"")*K$3,"")</f>
        <v>2</v>
      </c>
      <c r="L390" t="str">
        <f>IFERROR(IFERROR(IF(L$5='Conceptos Desglosados'!$H$4,VLOOKUP($A390,dormitorios,2,0),IF(L$5='Conceptos Desglosados'!$H$5,VLOOKUP($A390,comedor,2,0),IF(L$5='Conceptos Desglosados'!$H$6,VLOOKUP($A390,alojamiento,2,0),IF(L$5='Conceptos Desglosados'!$H$7,VLOOKUP($A390,sanidad,2,0),IF(L$5='Conceptos Desglosados'!$H$8,VLOOKUP($A390,servicios,2,0),IF(L$5='Conceptos Desglosados'!$H$9,VLOOKUP($A390,comyaloj,2,0),IF(L$5='Conceptos Desglosados'!$H$10,VLOOKUP($A390,comandancia,2,0),IF(L$5='Conceptos Desglosados'!$H$11,VLOOKUP($A390,mantenimiento,2,0),IF(L$5='Conceptos Desglosados'!$H$12,VLOOKUP($A390,serestatal,2,0),IF(L$5='Conceptos Desglosados'!$H$13,VLOOKUP($A390,conferencias,2,0),"")))))))))),"")*L$3,"")</f>
        <v/>
      </c>
      <c r="M390" t="str">
        <f>IFERROR(IFERROR(IF(M$5='Conceptos Desglosados'!$H$4,VLOOKUP($A390,dormitorios,2,0),IF(M$5='Conceptos Desglosados'!$H$5,VLOOKUP($A390,comedor,2,0),IF(M$5='Conceptos Desglosados'!$H$6,VLOOKUP($A390,alojamiento,2,0),IF(M$5='Conceptos Desglosados'!$H$7,VLOOKUP($A390,sanidad,2,0),IF(M$5='Conceptos Desglosados'!$H$8,VLOOKUP($A390,servicios,2,0),IF(M$5='Conceptos Desglosados'!$H$9,VLOOKUP($A390,comyaloj,2,0),IF(M$5='Conceptos Desglosados'!$H$10,VLOOKUP($A390,comandancia,2,0),IF(M$5='Conceptos Desglosados'!$H$11,VLOOKUP($A390,mantenimiento,2,0),IF(M$5='Conceptos Desglosados'!$H$12,VLOOKUP($A390,serestatal,2,0),IF(M$5='Conceptos Desglosados'!$H$13,VLOOKUP($A390,conferencias,2,0),"")))))))))),"")*M$3,"")</f>
        <v/>
      </c>
      <c r="O390">
        <f>SUM(K390:M390)</f>
        <v>2</v>
      </c>
    </row>
    <row r="391" spans="1:15" x14ac:dyDescent="0.35">
      <c r="A391">
        <v>386</v>
      </c>
      <c r="B391" t="s">
        <v>11</v>
      </c>
      <c r="C391" t="s">
        <v>519</v>
      </c>
      <c r="D391" t="s">
        <v>520</v>
      </c>
      <c r="E391" t="s">
        <v>1061</v>
      </c>
      <c r="F391" t="s">
        <v>887</v>
      </c>
      <c r="G391" t="s">
        <v>9</v>
      </c>
      <c r="H391">
        <v>1.9750000000000001</v>
      </c>
      <c r="I391">
        <v>2.7149999999999999</v>
      </c>
      <c r="J391" t="s">
        <v>6</v>
      </c>
      <c r="K391" t="str">
        <f>IFERROR(IFERROR(IF(K$5='Conceptos Desglosados'!$H$4,VLOOKUP($A391,dormitorios,2,0),IF(K$5='Conceptos Desglosados'!$H$5,VLOOKUP($A391,comedor,2,0),IF(K$5='Conceptos Desglosados'!$H$6,VLOOKUP($A391,alojamiento,2,0),IF(K$5='Conceptos Desglosados'!$H$7,VLOOKUP($A391,sanidad,2,0),IF(K$5='Conceptos Desglosados'!$H$8,VLOOKUP($A391,servicios,2,0),IF(K$5='Conceptos Desglosados'!$H$9,VLOOKUP($A391,comyaloj,2,0),IF(K$5='Conceptos Desglosados'!$H$10,VLOOKUP($A391,comandancia,2,0),IF(K$5='Conceptos Desglosados'!$H$11,VLOOKUP($A391,mantenimiento,2,0),IF(K$5='Conceptos Desglosados'!$H$12,VLOOKUP($A391,serestatal,2,0),IF(K$5='Conceptos Desglosados'!$H$13,VLOOKUP($A391,conferencias,2,0),"")))))))))),"")*K$3,"")</f>
        <v/>
      </c>
      <c r="L391" t="str">
        <f>IFERROR(IFERROR(IF(L$5='Conceptos Desglosados'!$H$4,VLOOKUP($A391,dormitorios,2,0),IF(L$5='Conceptos Desglosados'!$H$5,VLOOKUP($A391,comedor,2,0),IF(L$5='Conceptos Desglosados'!$H$6,VLOOKUP($A391,alojamiento,2,0),IF(L$5='Conceptos Desglosados'!$H$7,VLOOKUP($A391,sanidad,2,0),IF(L$5='Conceptos Desglosados'!$H$8,VLOOKUP($A391,servicios,2,0),IF(L$5='Conceptos Desglosados'!$H$9,VLOOKUP($A391,comyaloj,2,0),IF(L$5='Conceptos Desglosados'!$H$10,VLOOKUP($A391,comandancia,2,0),IF(L$5='Conceptos Desglosados'!$H$11,VLOOKUP($A391,mantenimiento,2,0),IF(L$5='Conceptos Desglosados'!$H$12,VLOOKUP($A391,serestatal,2,0),IF(L$5='Conceptos Desglosados'!$H$13,VLOOKUP($A391,conferencias,2,0),"")))))))))),"")*L$3,"")</f>
        <v/>
      </c>
      <c r="M391" t="str">
        <f>IFERROR(IFERROR(IF(M$5='Conceptos Desglosados'!$H$4,VLOOKUP($A391,dormitorios,2,0),IF(M$5='Conceptos Desglosados'!$H$5,VLOOKUP($A391,comedor,2,0),IF(M$5='Conceptos Desglosados'!$H$6,VLOOKUP($A391,alojamiento,2,0),IF(M$5='Conceptos Desglosados'!$H$7,VLOOKUP($A391,sanidad,2,0),IF(M$5='Conceptos Desglosados'!$H$8,VLOOKUP($A391,servicios,2,0),IF(M$5='Conceptos Desglosados'!$H$9,VLOOKUP($A391,comyaloj,2,0),IF(M$5='Conceptos Desglosados'!$H$10,VLOOKUP($A391,comandancia,2,0),IF(M$5='Conceptos Desglosados'!$H$11,VLOOKUP($A391,mantenimiento,2,0),IF(M$5='Conceptos Desglosados'!$H$12,VLOOKUP($A391,serestatal,2,0),IF(M$5='Conceptos Desglosados'!$H$13,VLOOKUP($A391,conferencias,2,0),"")))))))))),"")*M$3,"")</f>
        <v/>
      </c>
      <c r="O391">
        <f>SUM(K391:M391)</f>
        <v>0</v>
      </c>
    </row>
    <row r="392" spans="1:15" x14ac:dyDescent="0.35">
      <c r="A392">
        <v>387</v>
      </c>
      <c r="B392" t="s">
        <v>11</v>
      </c>
      <c r="C392" t="s">
        <v>529</v>
      </c>
      <c r="D392" t="s">
        <v>530</v>
      </c>
      <c r="E392" t="s">
        <v>531</v>
      </c>
      <c r="F392" t="s">
        <v>887</v>
      </c>
      <c r="G392" t="s">
        <v>9</v>
      </c>
      <c r="H392">
        <v>1.9750000000000001</v>
      </c>
      <c r="I392">
        <v>2.7149999999999999</v>
      </c>
      <c r="J392" t="s">
        <v>6</v>
      </c>
      <c r="K392" t="str">
        <f>IFERROR(IFERROR(IF(K$5='Conceptos Desglosados'!$H$4,VLOOKUP($A392,dormitorios,2,0),IF(K$5='Conceptos Desglosados'!$H$5,VLOOKUP($A392,comedor,2,0),IF(K$5='Conceptos Desglosados'!$H$6,VLOOKUP($A392,alojamiento,2,0),IF(K$5='Conceptos Desglosados'!$H$7,VLOOKUP($A392,sanidad,2,0),IF(K$5='Conceptos Desglosados'!$H$8,VLOOKUP($A392,servicios,2,0),IF(K$5='Conceptos Desglosados'!$H$9,VLOOKUP($A392,comyaloj,2,0),IF(K$5='Conceptos Desglosados'!$H$10,VLOOKUP($A392,comandancia,2,0),IF(K$5='Conceptos Desglosados'!$H$11,VLOOKUP($A392,mantenimiento,2,0),IF(K$5='Conceptos Desglosados'!$H$12,VLOOKUP($A392,serestatal,2,0),IF(K$5='Conceptos Desglosados'!$H$13,VLOOKUP($A392,conferencias,2,0),"")))))))))),"")*K$3,"")</f>
        <v/>
      </c>
      <c r="L392" t="str">
        <f>IFERROR(IFERROR(IF(L$5='Conceptos Desglosados'!$H$4,VLOOKUP($A392,dormitorios,2,0),IF(L$5='Conceptos Desglosados'!$H$5,VLOOKUP($A392,comedor,2,0),IF(L$5='Conceptos Desglosados'!$H$6,VLOOKUP($A392,alojamiento,2,0),IF(L$5='Conceptos Desglosados'!$H$7,VLOOKUP($A392,sanidad,2,0),IF(L$5='Conceptos Desglosados'!$H$8,VLOOKUP($A392,servicios,2,0),IF(L$5='Conceptos Desglosados'!$H$9,VLOOKUP($A392,comyaloj,2,0),IF(L$5='Conceptos Desglosados'!$H$10,VLOOKUP($A392,comandancia,2,0),IF(L$5='Conceptos Desglosados'!$H$11,VLOOKUP($A392,mantenimiento,2,0),IF(L$5='Conceptos Desglosados'!$H$12,VLOOKUP($A392,serestatal,2,0),IF(L$5='Conceptos Desglosados'!$H$13,VLOOKUP($A392,conferencias,2,0),"")))))))))),"")*L$3,"")</f>
        <v/>
      </c>
      <c r="M392" t="str">
        <f>IFERROR(IFERROR(IF(M$5='Conceptos Desglosados'!$H$4,VLOOKUP($A392,dormitorios,2,0),IF(M$5='Conceptos Desglosados'!$H$5,VLOOKUP($A392,comedor,2,0),IF(M$5='Conceptos Desglosados'!$H$6,VLOOKUP($A392,alojamiento,2,0),IF(M$5='Conceptos Desglosados'!$H$7,VLOOKUP($A392,sanidad,2,0),IF(M$5='Conceptos Desglosados'!$H$8,VLOOKUP($A392,servicios,2,0),IF(M$5='Conceptos Desglosados'!$H$9,VLOOKUP($A392,comyaloj,2,0),IF(M$5='Conceptos Desglosados'!$H$10,VLOOKUP($A392,comandancia,2,0),IF(M$5='Conceptos Desglosados'!$H$11,VLOOKUP($A392,mantenimiento,2,0),IF(M$5='Conceptos Desglosados'!$H$12,VLOOKUP($A392,serestatal,2,0),IF(M$5='Conceptos Desglosados'!$H$13,VLOOKUP($A392,conferencias,2,0),"")))))))))),"")*M$3,"")</f>
        <v/>
      </c>
      <c r="O392">
        <f>SUM(K392:M392)</f>
        <v>0</v>
      </c>
    </row>
    <row r="393" spans="1:15" x14ac:dyDescent="0.35">
      <c r="A393">
        <v>388</v>
      </c>
      <c r="B393" t="s">
        <v>11</v>
      </c>
      <c r="C393" t="s">
        <v>598</v>
      </c>
      <c r="D393" t="s">
        <v>599</v>
      </c>
      <c r="E393" t="s">
        <v>419</v>
      </c>
      <c r="F393" t="s">
        <v>704</v>
      </c>
      <c r="G393" t="s">
        <v>9</v>
      </c>
      <c r="H393">
        <v>1.9750000000000001</v>
      </c>
      <c r="I393">
        <v>2.7149999999999999</v>
      </c>
      <c r="J393" t="s">
        <v>6</v>
      </c>
      <c r="K393" t="str">
        <f>IFERROR(IFERROR(IF(K$5='Conceptos Desglosados'!$H$4,VLOOKUP($A393,dormitorios,2,0),IF(K$5='Conceptos Desglosados'!$H$5,VLOOKUP($A393,comedor,2,0),IF(K$5='Conceptos Desglosados'!$H$6,VLOOKUP($A393,alojamiento,2,0),IF(K$5='Conceptos Desglosados'!$H$7,VLOOKUP($A393,sanidad,2,0),IF(K$5='Conceptos Desglosados'!$H$8,VLOOKUP($A393,servicios,2,0),IF(K$5='Conceptos Desglosados'!$H$9,VLOOKUP($A393,comyaloj,2,0),IF(K$5='Conceptos Desglosados'!$H$10,VLOOKUP($A393,comandancia,2,0),IF(K$5='Conceptos Desglosados'!$H$11,VLOOKUP($A393,mantenimiento,2,0),IF(K$5='Conceptos Desglosados'!$H$12,VLOOKUP($A393,serestatal,2,0),IF(K$5='Conceptos Desglosados'!$H$13,VLOOKUP($A393,conferencias,2,0),"")))))))))),"")*K$3,"")</f>
        <v/>
      </c>
      <c r="L393" t="str">
        <f>IFERROR(IFERROR(IF(L$5='Conceptos Desglosados'!$H$4,VLOOKUP($A393,dormitorios,2,0),IF(L$5='Conceptos Desglosados'!$H$5,VLOOKUP($A393,comedor,2,0),IF(L$5='Conceptos Desglosados'!$H$6,VLOOKUP($A393,alojamiento,2,0),IF(L$5='Conceptos Desglosados'!$H$7,VLOOKUP($A393,sanidad,2,0),IF(L$5='Conceptos Desglosados'!$H$8,VLOOKUP($A393,servicios,2,0),IF(L$5='Conceptos Desglosados'!$H$9,VLOOKUP($A393,comyaloj,2,0),IF(L$5='Conceptos Desglosados'!$H$10,VLOOKUP($A393,comandancia,2,0),IF(L$5='Conceptos Desglosados'!$H$11,VLOOKUP($A393,mantenimiento,2,0),IF(L$5='Conceptos Desglosados'!$H$12,VLOOKUP($A393,serestatal,2,0),IF(L$5='Conceptos Desglosados'!$H$13,VLOOKUP($A393,conferencias,2,0),"")))))))))),"")*L$3,"")</f>
        <v/>
      </c>
      <c r="M393" t="str">
        <f>IFERROR(IFERROR(IF(M$5='Conceptos Desglosados'!$H$4,VLOOKUP($A393,dormitorios,2,0),IF(M$5='Conceptos Desglosados'!$H$5,VLOOKUP($A393,comedor,2,0),IF(M$5='Conceptos Desglosados'!$H$6,VLOOKUP($A393,alojamiento,2,0),IF(M$5='Conceptos Desglosados'!$H$7,VLOOKUP($A393,sanidad,2,0),IF(M$5='Conceptos Desglosados'!$H$8,VLOOKUP($A393,servicios,2,0),IF(M$5='Conceptos Desglosados'!$H$9,VLOOKUP($A393,comyaloj,2,0),IF(M$5='Conceptos Desglosados'!$H$10,VLOOKUP($A393,comandancia,2,0),IF(M$5='Conceptos Desglosados'!$H$11,VLOOKUP($A393,mantenimiento,2,0),IF(M$5='Conceptos Desglosados'!$H$12,VLOOKUP($A393,serestatal,2,0),IF(M$5='Conceptos Desglosados'!$H$13,VLOOKUP($A393,conferencias,2,0),"")))))))))),"")*M$3,"")</f>
        <v/>
      </c>
      <c r="O393">
        <f>SUM(K393:M393)</f>
        <v>0</v>
      </c>
    </row>
    <row r="394" spans="1:15" x14ac:dyDescent="0.35">
      <c r="A394">
        <v>389</v>
      </c>
      <c r="B394" t="s">
        <v>11</v>
      </c>
      <c r="C394" t="s">
        <v>600</v>
      </c>
      <c r="D394" t="s">
        <v>601</v>
      </c>
      <c r="E394" t="s">
        <v>602</v>
      </c>
      <c r="F394" t="s">
        <v>132</v>
      </c>
      <c r="G394" t="s">
        <v>9</v>
      </c>
      <c r="H394">
        <v>1.9750000000000001</v>
      </c>
      <c r="I394">
        <v>2.7149999999999999</v>
      </c>
      <c r="J394" t="s">
        <v>6</v>
      </c>
      <c r="K394" t="str">
        <f>IFERROR(IFERROR(IF(K$5='Conceptos Desglosados'!$H$4,VLOOKUP($A394,dormitorios,2,0),IF(K$5='Conceptos Desglosados'!$H$5,VLOOKUP($A394,comedor,2,0),IF(K$5='Conceptos Desglosados'!$H$6,VLOOKUP($A394,alojamiento,2,0),IF(K$5='Conceptos Desglosados'!$H$7,VLOOKUP($A394,sanidad,2,0),IF(K$5='Conceptos Desglosados'!$H$8,VLOOKUP($A394,servicios,2,0),IF(K$5='Conceptos Desglosados'!$H$9,VLOOKUP($A394,comyaloj,2,0),IF(K$5='Conceptos Desglosados'!$H$10,VLOOKUP($A394,comandancia,2,0),IF(K$5='Conceptos Desglosados'!$H$11,VLOOKUP($A394,mantenimiento,2,0),IF(K$5='Conceptos Desglosados'!$H$12,VLOOKUP($A394,serestatal,2,0),IF(K$5='Conceptos Desglosados'!$H$13,VLOOKUP($A394,conferencias,2,0),"")))))))))),"")*K$3,"")</f>
        <v/>
      </c>
      <c r="L394" t="str">
        <f>IFERROR(IFERROR(IF(L$5='Conceptos Desglosados'!$H$4,VLOOKUP($A394,dormitorios,2,0),IF(L$5='Conceptos Desglosados'!$H$5,VLOOKUP($A394,comedor,2,0),IF(L$5='Conceptos Desglosados'!$H$6,VLOOKUP($A394,alojamiento,2,0),IF(L$5='Conceptos Desglosados'!$H$7,VLOOKUP($A394,sanidad,2,0),IF(L$5='Conceptos Desglosados'!$H$8,VLOOKUP($A394,servicios,2,0),IF(L$5='Conceptos Desglosados'!$H$9,VLOOKUP($A394,comyaloj,2,0),IF(L$5='Conceptos Desglosados'!$H$10,VLOOKUP($A394,comandancia,2,0),IF(L$5='Conceptos Desglosados'!$H$11,VLOOKUP($A394,mantenimiento,2,0),IF(L$5='Conceptos Desglosados'!$H$12,VLOOKUP($A394,serestatal,2,0),IF(L$5='Conceptos Desglosados'!$H$13,VLOOKUP($A394,conferencias,2,0),"")))))))))),"")*L$3,"")</f>
        <v/>
      </c>
      <c r="M394" t="str">
        <f>IFERROR(IFERROR(IF(M$5='Conceptos Desglosados'!$H$4,VLOOKUP($A394,dormitorios,2,0),IF(M$5='Conceptos Desglosados'!$H$5,VLOOKUP($A394,comedor,2,0),IF(M$5='Conceptos Desglosados'!$H$6,VLOOKUP($A394,alojamiento,2,0),IF(M$5='Conceptos Desglosados'!$H$7,VLOOKUP($A394,sanidad,2,0),IF(M$5='Conceptos Desglosados'!$H$8,VLOOKUP($A394,servicios,2,0),IF(M$5='Conceptos Desglosados'!$H$9,VLOOKUP($A394,comyaloj,2,0),IF(M$5='Conceptos Desglosados'!$H$10,VLOOKUP($A394,comandancia,2,0),IF(M$5='Conceptos Desglosados'!$H$11,VLOOKUP($A394,mantenimiento,2,0),IF(M$5='Conceptos Desglosados'!$H$12,VLOOKUP($A394,serestatal,2,0),IF(M$5='Conceptos Desglosados'!$H$13,VLOOKUP($A394,conferencias,2,0),"")))))))))),"")*M$3,"")</f>
        <v/>
      </c>
      <c r="O394">
        <f>SUM(K394:M394)</f>
        <v>0</v>
      </c>
    </row>
    <row r="395" spans="1:15" x14ac:dyDescent="0.35">
      <c r="A395">
        <v>390</v>
      </c>
      <c r="B395" t="s">
        <v>11</v>
      </c>
      <c r="C395" t="s">
        <v>603</v>
      </c>
      <c r="D395" t="s">
        <v>604</v>
      </c>
      <c r="E395" t="s">
        <v>605</v>
      </c>
      <c r="F395" t="s">
        <v>132</v>
      </c>
      <c r="G395" t="s">
        <v>9</v>
      </c>
      <c r="H395">
        <v>1.9750000000000001</v>
      </c>
      <c r="I395">
        <v>2.7149999999999999</v>
      </c>
      <c r="J395" t="s">
        <v>6</v>
      </c>
      <c r="K395" t="str">
        <f>IFERROR(IFERROR(IF(K$5='Conceptos Desglosados'!$H$4,VLOOKUP($A395,dormitorios,2,0),IF(K$5='Conceptos Desglosados'!$H$5,VLOOKUP($A395,comedor,2,0),IF(K$5='Conceptos Desglosados'!$H$6,VLOOKUP($A395,alojamiento,2,0),IF(K$5='Conceptos Desglosados'!$H$7,VLOOKUP($A395,sanidad,2,0),IF(K$5='Conceptos Desglosados'!$H$8,VLOOKUP($A395,servicios,2,0),IF(K$5='Conceptos Desglosados'!$H$9,VLOOKUP($A395,comyaloj,2,0),IF(K$5='Conceptos Desglosados'!$H$10,VLOOKUP($A395,comandancia,2,0),IF(K$5='Conceptos Desglosados'!$H$11,VLOOKUP($A395,mantenimiento,2,0),IF(K$5='Conceptos Desglosados'!$H$12,VLOOKUP($A395,serestatal,2,0),IF(K$5='Conceptos Desglosados'!$H$13,VLOOKUP($A395,conferencias,2,0),"")))))))))),"")*K$3,"")</f>
        <v/>
      </c>
      <c r="L395" t="str">
        <f>IFERROR(IFERROR(IF(L$5='Conceptos Desglosados'!$H$4,VLOOKUP($A395,dormitorios,2,0),IF(L$5='Conceptos Desglosados'!$H$5,VLOOKUP($A395,comedor,2,0),IF(L$5='Conceptos Desglosados'!$H$6,VLOOKUP($A395,alojamiento,2,0),IF(L$5='Conceptos Desglosados'!$H$7,VLOOKUP($A395,sanidad,2,0),IF(L$5='Conceptos Desglosados'!$H$8,VLOOKUP($A395,servicios,2,0),IF(L$5='Conceptos Desglosados'!$H$9,VLOOKUP($A395,comyaloj,2,0),IF(L$5='Conceptos Desglosados'!$H$10,VLOOKUP($A395,comandancia,2,0),IF(L$5='Conceptos Desglosados'!$H$11,VLOOKUP($A395,mantenimiento,2,0),IF(L$5='Conceptos Desglosados'!$H$12,VLOOKUP($A395,serestatal,2,0),IF(L$5='Conceptos Desglosados'!$H$13,VLOOKUP($A395,conferencias,2,0),"")))))))))),"")*L$3,"")</f>
        <v/>
      </c>
      <c r="M395" t="str">
        <f>IFERROR(IFERROR(IF(M$5='Conceptos Desglosados'!$H$4,VLOOKUP($A395,dormitorios,2,0),IF(M$5='Conceptos Desglosados'!$H$5,VLOOKUP($A395,comedor,2,0),IF(M$5='Conceptos Desglosados'!$H$6,VLOOKUP($A395,alojamiento,2,0),IF(M$5='Conceptos Desglosados'!$H$7,VLOOKUP($A395,sanidad,2,0),IF(M$5='Conceptos Desglosados'!$H$8,VLOOKUP($A395,servicios,2,0),IF(M$5='Conceptos Desglosados'!$H$9,VLOOKUP($A395,comyaloj,2,0),IF(M$5='Conceptos Desglosados'!$H$10,VLOOKUP($A395,comandancia,2,0),IF(M$5='Conceptos Desglosados'!$H$11,VLOOKUP($A395,mantenimiento,2,0),IF(M$5='Conceptos Desglosados'!$H$12,VLOOKUP($A395,serestatal,2,0),IF(M$5='Conceptos Desglosados'!$H$13,VLOOKUP($A395,conferencias,2,0),"")))))))))),"")*M$3,"")</f>
        <v/>
      </c>
      <c r="O395">
        <f>SUM(K395:M395)</f>
        <v>0</v>
      </c>
    </row>
    <row r="396" spans="1:15" x14ac:dyDescent="0.35">
      <c r="A396">
        <v>391</v>
      </c>
      <c r="B396" t="s">
        <v>11</v>
      </c>
      <c r="C396" t="s">
        <v>657</v>
      </c>
      <c r="D396" t="s">
        <v>658</v>
      </c>
      <c r="E396" t="s">
        <v>24</v>
      </c>
      <c r="F396" t="s">
        <v>704</v>
      </c>
      <c r="G396" t="s">
        <v>9</v>
      </c>
      <c r="H396">
        <v>1.9750000000000001</v>
      </c>
      <c r="I396">
        <v>2.7149999999999999</v>
      </c>
      <c r="J396" t="s">
        <v>6</v>
      </c>
      <c r="K396" t="str">
        <f>IFERROR(IFERROR(IF(K$5='Conceptos Desglosados'!$H$4,VLOOKUP($A396,dormitorios,2,0),IF(K$5='Conceptos Desglosados'!$H$5,VLOOKUP($A396,comedor,2,0),IF(K$5='Conceptos Desglosados'!$H$6,VLOOKUP($A396,alojamiento,2,0),IF(K$5='Conceptos Desglosados'!$H$7,VLOOKUP($A396,sanidad,2,0),IF(K$5='Conceptos Desglosados'!$H$8,VLOOKUP($A396,servicios,2,0),IF(K$5='Conceptos Desglosados'!$H$9,VLOOKUP($A396,comyaloj,2,0),IF(K$5='Conceptos Desglosados'!$H$10,VLOOKUP($A396,comandancia,2,0),IF(K$5='Conceptos Desglosados'!$H$11,VLOOKUP($A396,mantenimiento,2,0),IF(K$5='Conceptos Desglosados'!$H$12,VLOOKUP($A396,serestatal,2,0),IF(K$5='Conceptos Desglosados'!$H$13,VLOOKUP($A396,conferencias,2,0),"")))))))))),"")*K$3,"")</f>
        <v/>
      </c>
      <c r="L396" t="str">
        <f>IFERROR(IFERROR(IF(L$5='Conceptos Desglosados'!$H$4,VLOOKUP($A396,dormitorios,2,0),IF(L$5='Conceptos Desglosados'!$H$5,VLOOKUP($A396,comedor,2,0),IF(L$5='Conceptos Desglosados'!$H$6,VLOOKUP($A396,alojamiento,2,0),IF(L$5='Conceptos Desglosados'!$H$7,VLOOKUP($A396,sanidad,2,0),IF(L$5='Conceptos Desglosados'!$H$8,VLOOKUP($A396,servicios,2,0),IF(L$5='Conceptos Desglosados'!$H$9,VLOOKUP($A396,comyaloj,2,0),IF(L$5='Conceptos Desglosados'!$H$10,VLOOKUP($A396,comandancia,2,0),IF(L$5='Conceptos Desglosados'!$H$11,VLOOKUP($A396,mantenimiento,2,0),IF(L$5='Conceptos Desglosados'!$H$12,VLOOKUP($A396,serestatal,2,0),IF(L$5='Conceptos Desglosados'!$H$13,VLOOKUP($A396,conferencias,2,0),"")))))))))),"")*L$3,"")</f>
        <v/>
      </c>
      <c r="M396" t="str">
        <f>IFERROR(IFERROR(IF(M$5='Conceptos Desglosados'!$H$4,VLOOKUP($A396,dormitorios,2,0),IF(M$5='Conceptos Desglosados'!$H$5,VLOOKUP($A396,comedor,2,0),IF(M$5='Conceptos Desglosados'!$H$6,VLOOKUP($A396,alojamiento,2,0),IF(M$5='Conceptos Desglosados'!$H$7,VLOOKUP($A396,sanidad,2,0),IF(M$5='Conceptos Desglosados'!$H$8,VLOOKUP($A396,servicios,2,0),IF(M$5='Conceptos Desglosados'!$H$9,VLOOKUP($A396,comyaloj,2,0),IF(M$5='Conceptos Desglosados'!$H$10,VLOOKUP($A396,comandancia,2,0),IF(M$5='Conceptos Desglosados'!$H$11,VLOOKUP($A396,mantenimiento,2,0),IF(M$5='Conceptos Desglosados'!$H$12,VLOOKUP($A396,serestatal,2,0),IF(M$5='Conceptos Desglosados'!$H$13,VLOOKUP($A396,conferencias,2,0),"")))))))))),"")*M$3,"")</f>
        <v/>
      </c>
      <c r="O396">
        <f>SUM(K396:M396)</f>
        <v>0</v>
      </c>
    </row>
    <row r="397" spans="1:15" x14ac:dyDescent="0.35">
      <c r="A397">
        <v>392</v>
      </c>
      <c r="B397" t="s">
        <v>11</v>
      </c>
      <c r="C397" t="s">
        <v>659</v>
      </c>
      <c r="D397" t="s">
        <v>660</v>
      </c>
      <c r="E397" t="s">
        <v>696</v>
      </c>
      <c r="F397" t="s">
        <v>132</v>
      </c>
      <c r="G397" t="s">
        <v>2</v>
      </c>
      <c r="H397">
        <v>1.99</v>
      </c>
      <c r="I397">
        <v>2.7149999999999999</v>
      </c>
      <c r="J397" t="s">
        <v>6</v>
      </c>
      <c r="K397" t="str">
        <f>IFERROR(IFERROR(IF(K$5='Conceptos Desglosados'!$H$4,VLOOKUP($A397,dormitorios,2,0),IF(K$5='Conceptos Desglosados'!$H$5,VLOOKUP($A397,comedor,2,0),IF(K$5='Conceptos Desglosados'!$H$6,VLOOKUP($A397,alojamiento,2,0),IF(K$5='Conceptos Desglosados'!$H$7,VLOOKUP($A397,sanidad,2,0),IF(K$5='Conceptos Desglosados'!$H$8,VLOOKUP($A397,servicios,2,0),IF(K$5='Conceptos Desglosados'!$H$9,VLOOKUP($A397,comyaloj,2,0),IF(K$5='Conceptos Desglosados'!$H$10,VLOOKUP($A397,comandancia,2,0),IF(K$5='Conceptos Desglosados'!$H$11,VLOOKUP($A397,mantenimiento,2,0),IF(K$5='Conceptos Desglosados'!$H$12,VLOOKUP($A397,serestatal,2,0),IF(K$5='Conceptos Desglosados'!$H$13,VLOOKUP($A397,conferencias,2,0),"")))))))))),"")*K$3,"")</f>
        <v/>
      </c>
      <c r="L397" t="str">
        <f>IFERROR(IFERROR(IF(L$5='Conceptos Desglosados'!$H$4,VLOOKUP($A397,dormitorios,2,0),IF(L$5='Conceptos Desglosados'!$H$5,VLOOKUP($A397,comedor,2,0),IF(L$5='Conceptos Desglosados'!$H$6,VLOOKUP($A397,alojamiento,2,0),IF(L$5='Conceptos Desglosados'!$H$7,VLOOKUP($A397,sanidad,2,0),IF(L$5='Conceptos Desglosados'!$H$8,VLOOKUP($A397,servicios,2,0),IF(L$5='Conceptos Desglosados'!$H$9,VLOOKUP($A397,comyaloj,2,0),IF(L$5='Conceptos Desglosados'!$H$10,VLOOKUP($A397,comandancia,2,0),IF(L$5='Conceptos Desglosados'!$H$11,VLOOKUP($A397,mantenimiento,2,0),IF(L$5='Conceptos Desglosados'!$H$12,VLOOKUP($A397,serestatal,2,0),IF(L$5='Conceptos Desglosados'!$H$13,VLOOKUP($A397,conferencias,2,0),"")))))))))),"")*L$3,"")</f>
        <v/>
      </c>
      <c r="M397" t="str">
        <f>IFERROR(IFERROR(IF(M$5='Conceptos Desglosados'!$H$4,VLOOKUP($A397,dormitorios,2,0),IF(M$5='Conceptos Desglosados'!$H$5,VLOOKUP($A397,comedor,2,0),IF(M$5='Conceptos Desglosados'!$H$6,VLOOKUP($A397,alojamiento,2,0),IF(M$5='Conceptos Desglosados'!$H$7,VLOOKUP($A397,sanidad,2,0),IF(M$5='Conceptos Desglosados'!$H$8,VLOOKUP($A397,servicios,2,0),IF(M$5='Conceptos Desglosados'!$H$9,VLOOKUP($A397,comyaloj,2,0),IF(M$5='Conceptos Desglosados'!$H$10,VLOOKUP($A397,comandancia,2,0),IF(M$5='Conceptos Desglosados'!$H$11,VLOOKUP($A397,mantenimiento,2,0),IF(M$5='Conceptos Desglosados'!$H$12,VLOOKUP($A397,serestatal,2,0),IF(M$5='Conceptos Desglosados'!$H$13,VLOOKUP($A397,conferencias,2,0),"")))))))))),"")*M$3,"")</f>
        <v/>
      </c>
      <c r="O397">
        <f>SUM(K397:M397)</f>
        <v>0</v>
      </c>
    </row>
    <row r="398" spans="1:15" x14ac:dyDescent="0.35">
      <c r="A398">
        <v>393</v>
      </c>
      <c r="B398" t="s">
        <v>11</v>
      </c>
      <c r="C398" t="s">
        <v>697</v>
      </c>
      <c r="D398" t="s">
        <v>698</v>
      </c>
      <c r="E398" t="s">
        <v>701</v>
      </c>
      <c r="F398" t="s">
        <v>704</v>
      </c>
      <c r="G398" t="s">
        <v>9</v>
      </c>
      <c r="H398">
        <v>1.9750000000000001</v>
      </c>
      <c r="I398">
        <v>2.7149999999999999</v>
      </c>
      <c r="J398" t="s">
        <v>6</v>
      </c>
      <c r="K398" t="str">
        <f>IFERROR(IFERROR(IF(K$5='Conceptos Desglosados'!$H$4,VLOOKUP($A398,dormitorios,2,0),IF(K$5='Conceptos Desglosados'!$H$5,VLOOKUP($A398,comedor,2,0),IF(K$5='Conceptos Desglosados'!$H$6,VLOOKUP($A398,alojamiento,2,0),IF(K$5='Conceptos Desglosados'!$H$7,VLOOKUP($A398,sanidad,2,0),IF(K$5='Conceptos Desglosados'!$H$8,VLOOKUP($A398,servicios,2,0),IF(K$5='Conceptos Desglosados'!$H$9,VLOOKUP($A398,comyaloj,2,0),IF(K$5='Conceptos Desglosados'!$H$10,VLOOKUP($A398,comandancia,2,0),IF(K$5='Conceptos Desglosados'!$H$11,VLOOKUP($A398,mantenimiento,2,0),IF(K$5='Conceptos Desglosados'!$H$12,VLOOKUP($A398,serestatal,2,0),IF(K$5='Conceptos Desglosados'!$H$13,VLOOKUP($A398,conferencias,2,0),"")))))))))),"")*K$3,"")</f>
        <v/>
      </c>
      <c r="L398" t="str">
        <f>IFERROR(IFERROR(IF(L$5='Conceptos Desglosados'!$H$4,VLOOKUP($A398,dormitorios,2,0),IF(L$5='Conceptos Desglosados'!$H$5,VLOOKUP($A398,comedor,2,0),IF(L$5='Conceptos Desglosados'!$H$6,VLOOKUP($A398,alojamiento,2,0),IF(L$5='Conceptos Desglosados'!$H$7,VLOOKUP($A398,sanidad,2,0),IF(L$5='Conceptos Desglosados'!$H$8,VLOOKUP($A398,servicios,2,0),IF(L$5='Conceptos Desglosados'!$H$9,VLOOKUP($A398,comyaloj,2,0),IF(L$5='Conceptos Desglosados'!$H$10,VLOOKUP($A398,comandancia,2,0),IF(L$5='Conceptos Desglosados'!$H$11,VLOOKUP($A398,mantenimiento,2,0),IF(L$5='Conceptos Desglosados'!$H$12,VLOOKUP($A398,serestatal,2,0),IF(L$5='Conceptos Desglosados'!$H$13,VLOOKUP($A398,conferencias,2,0),"")))))))))),"")*L$3,"")</f>
        <v/>
      </c>
      <c r="M398" t="str">
        <f>IFERROR(IFERROR(IF(M$5='Conceptos Desglosados'!$H$4,VLOOKUP($A398,dormitorios,2,0),IF(M$5='Conceptos Desglosados'!$H$5,VLOOKUP($A398,comedor,2,0),IF(M$5='Conceptos Desglosados'!$H$6,VLOOKUP($A398,alojamiento,2,0),IF(M$5='Conceptos Desglosados'!$H$7,VLOOKUP($A398,sanidad,2,0),IF(M$5='Conceptos Desglosados'!$H$8,VLOOKUP($A398,servicios,2,0),IF(M$5='Conceptos Desglosados'!$H$9,VLOOKUP($A398,comyaloj,2,0),IF(M$5='Conceptos Desglosados'!$H$10,VLOOKUP($A398,comandancia,2,0),IF(M$5='Conceptos Desglosados'!$H$11,VLOOKUP($A398,mantenimiento,2,0),IF(M$5='Conceptos Desglosados'!$H$12,VLOOKUP($A398,serestatal,2,0),IF(M$5='Conceptos Desglosados'!$H$13,VLOOKUP($A398,conferencias,2,0),"")))))))))),"")*M$3,"")</f>
        <v/>
      </c>
      <c r="O398">
        <f>SUM(K398:M398)</f>
        <v>0</v>
      </c>
    </row>
    <row r="399" spans="1:15" x14ac:dyDescent="0.35">
      <c r="A399">
        <v>394</v>
      </c>
      <c r="B399" t="s">
        <v>11</v>
      </c>
      <c r="C399" t="s">
        <v>699</v>
      </c>
      <c r="D399" t="s">
        <v>700</v>
      </c>
      <c r="E399" t="s">
        <v>696</v>
      </c>
      <c r="F399" t="s">
        <v>704</v>
      </c>
      <c r="G399" t="s">
        <v>9</v>
      </c>
      <c r="H399">
        <v>1.9750000000000001</v>
      </c>
      <c r="I399">
        <v>2.7149999999999999</v>
      </c>
      <c r="J399" t="s">
        <v>6</v>
      </c>
      <c r="K399" t="str">
        <f>IFERROR(IFERROR(IF(K$5='Conceptos Desglosados'!$H$4,VLOOKUP($A399,dormitorios,2,0),IF(K$5='Conceptos Desglosados'!$H$5,VLOOKUP($A399,comedor,2,0),IF(K$5='Conceptos Desglosados'!$H$6,VLOOKUP($A399,alojamiento,2,0),IF(K$5='Conceptos Desglosados'!$H$7,VLOOKUP($A399,sanidad,2,0),IF(K$5='Conceptos Desglosados'!$H$8,VLOOKUP($A399,servicios,2,0),IF(K$5='Conceptos Desglosados'!$H$9,VLOOKUP($A399,comyaloj,2,0),IF(K$5='Conceptos Desglosados'!$H$10,VLOOKUP($A399,comandancia,2,0),IF(K$5='Conceptos Desglosados'!$H$11,VLOOKUP($A399,mantenimiento,2,0),IF(K$5='Conceptos Desglosados'!$H$12,VLOOKUP($A399,serestatal,2,0),IF(K$5='Conceptos Desglosados'!$H$13,VLOOKUP($A399,conferencias,2,0),"")))))))))),"")*K$3,"")</f>
        <v/>
      </c>
      <c r="L399" t="str">
        <f>IFERROR(IFERROR(IF(L$5='Conceptos Desglosados'!$H$4,VLOOKUP($A399,dormitorios,2,0),IF(L$5='Conceptos Desglosados'!$H$5,VLOOKUP($A399,comedor,2,0),IF(L$5='Conceptos Desglosados'!$H$6,VLOOKUP($A399,alojamiento,2,0),IF(L$5='Conceptos Desglosados'!$H$7,VLOOKUP($A399,sanidad,2,0),IF(L$5='Conceptos Desglosados'!$H$8,VLOOKUP($A399,servicios,2,0),IF(L$5='Conceptos Desglosados'!$H$9,VLOOKUP($A399,comyaloj,2,0),IF(L$5='Conceptos Desglosados'!$H$10,VLOOKUP($A399,comandancia,2,0),IF(L$5='Conceptos Desglosados'!$H$11,VLOOKUP($A399,mantenimiento,2,0),IF(L$5='Conceptos Desglosados'!$H$12,VLOOKUP($A399,serestatal,2,0),IF(L$5='Conceptos Desglosados'!$H$13,VLOOKUP($A399,conferencias,2,0),"")))))))))),"")*L$3,"")</f>
        <v/>
      </c>
      <c r="M399" t="str">
        <f>IFERROR(IFERROR(IF(M$5='Conceptos Desglosados'!$H$4,VLOOKUP($A399,dormitorios,2,0),IF(M$5='Conceptos Desglosados'!$H$5,VLOOKUP($A399,comedor,2,0),IF(M$5='Conceptos Desglosados'!$H$6,VLOOKUP($A399,alojamiento,2,0),IF(M$5='Conceptos Desglosados'!$H$7,VLOOKUP($A399,sanidad,2,0),IF(M$5='Conceptos Desglosados'!$H$8,VLOOKUP($A399,servicios,2,0),IF(M$5='Conceptos Desglosados'!$H$9,VLOOKUP($A399,comyaloj,2,0),IF(M$5='Conceptos Desglosados'!$H$10,VLOOKUP($A399,comandancia,2,0),IF(M$5='Conceptos Desglosados'!$H$11,VLOOKUP($A399,mantenimiento,2,0),IF(M$5='Conceptos Desglosados'!$H$12,VLOOKUP($A399,serestatal,2,0),IF(M$5='Conceptos Desglosados'!$H$13,VLOOKUP($A399,conferencias,2,0),"")))))))))),"")*M$3,"")</f>
        <v/>
      </c>
      <c r="O399">
        <f>SUM(K399:M399)</f>
        <v>0</v>
      </c>
    </row>
    <row r="400" spans="1:15" x14ac:dyDescent="0.35">
      <c r="A400">
        <v>395</v>
      </c>
      <c r="B400" t="s">
        <v>11</v>
      </c>
      <c r="C400" t="s">
        <v>763</v>
      </c>
      <c r="D400" t="s">
        <v>764</v>
      </c>
      <c r="E400" t="s">
        <v>765</v>
      </c>
      <c r="F400" t="s">
        <v>704</v>
      </c>
      <c r="G400" t="s">
        <v>9</v>
      </c>
      <c r="H400">
        <v>1.9750000000000001</v>
      </c>
      <c r="I400">
        <v>2.7149999999999999</v>
      </c>
      <c r="J400" t="s">
        <v>6</v>
      </c>
      <c r="K400" t="str">
        <f>IFERROR(IFERROR(IF(K$5='Conceptos Desglosados'!$H$4,VLOOKUP($A400,dormitorios,2,0),IF(K$5='Conceptos Desglosados'!$H$5,VLOOKUP($A400,comedor,2,0),IF(K$5='Conceptos Desglosados'!$H$6,VLOOKUP($A400,alojamiento,2,0),IF(K$5='Conceptos Desglosados'!$H$7,VLOOKUP($A400,sanidad,2,0),IF(K$5='Conceptos Desglosados'!$H$8,VLOOKUP($A400,servicios,2,0),IF(K$5='Conceptos Desglosados'!$H$9,VLOOKUP($A400,comyaloj,2,0),IF(K$5='Conceptos Desglosados'!$H$10,VLOOKUP($A400,comandancia,2,0),IF(K$5='Conceptos Desglosados'!$H$11,VLOOKUP($A400,mantenimiento,2,0),IF(K$5='Conceptos Desglosados'!$H$12,VLOOKUP($A400,serestatal,2,0),IF(K$5='Conceptos Desglosados'!$H$13,VLOOKUP($A400,conferencias,2,0),"")))))))))),"")*K$3,"")</f>
        <v/>
      </c>
      <c r="L400">
        <f>IFERROR(IFERROR(IF(L$5='Conceptos Desglosados'!$H$4,VLOOKUP($A400,dormitorios,2,0),IF(L$5='Conceptos Desglosados'!$H$5,VLOOKUP($A400,comedor,2,0),IF(L$5='Conceptos Desglosados'!$H$6,VLOOKUP($A400,alojamiento,2,0),IF(L$5='Conceptos Desglosados'!$H$7,VLOOKUP($A400,sanidad,2,0),IF(L$5='Conceptos Desglosados'!$H$8,VLOOKUP($A400,servicios,2,0),IF(L$5='Conceptos Desglosados'!$H$9,VLOOKUP($A400,comyaloj,2,0),IF(L$5='Conceptos Desglosados'!$H$10,VLOOKUP($A400,comandancia,2,0),IF(L$5='Conceptos Desglosados'!$H$11,VLOOKUP($A400,mantenimiento,2,0),IF(L$5='Conceptos Desglosados'!$H$12,VLOOKUP($A400,serestatal,2,0),IF(L$5='Conceptos Desglosados'!$H$13,VLOOKUP($A400,conferencias,2,0),"")))))))))),"")*L$3,"")</f>
        <v>0</v>
      </c>
      <c r="M400">
        <f>IFERROR(IFERROR(IF(M$5='Conceptos Desglosados'!$H$4,VLOOKUP($A400,dormitorios,2,0),IF(M$5='Conceptos Desglosados'!$H$5,VLOOKUP($A400,comedor,2,0),IF(M$5='Conceptos Desglosados'!$H$6,VLOOKUP($A400,alojamiento,2,0),IF(M$5='Conceptos Desglosados'!$H$7,VLOOKUP($A400,sanidad,2,0),IF(M$5='Conceptos Desglosados'!$H$8,VLOOKUP($A400,servicios,2,0),IF(M$5='Conceptos Desglosados'!$H$9,VLOOKUP($A400,comyaloj,2,0),IF(M$5='Conceptos Desglosados'!$H$10,VLOOKUP($A400,comandancia,2,0),IF(M$5='Conceptos Desglosados'!$H$11,VLOOKUP($A400,mantenimiento,2,0),IF(M$5='Conceptos Desglosados'!$H$12,VLOOKUP($A400,serestatal,2,0),IF(M$5='Conceptos Desglosados'!$H$13,VLOOKUP($A400,conferencias,2,0),"")))))))))),"")*M$3,"")</f>
        <v>20</v>
      </c>
      <c r="O400">
        <f>SUM(K400:M400)</f>
        <v>20</v>
      </c>
    </row>
    <row r="401" spans="1:15" x14ac:dyDescent="0.35">
      <c r="A401">
        <v>396</v>
      </c>
      <c r="B401" t="s">
        <v>11</v>
      </c>
      <c r="C401" t="s">
        <v>779</v>
      </c>
      <c r="D401" t="s">
        <v>780</v>
      </c>
      <c r="E401" t="s">
        <v>781</v>
      </c>
      <c r="F401" t="s">
        <v>888</v>
      </c>
      <c r="G401" t="s">
        <v>9</v>
      </c>
      <c r="H401">
        <v>1.9750000000000001</v>
      </c>
      <c r="I401">
        <v>2.7149999999999999</v>
      </c>
      <c r="J401" t="s">
        <v>6</v>
      </c>
      <c r="K401" t="str">
        <f>IFERROR(IFERROR(IF(K$5='Conceptos Desglosados'!$H$4,VLOOKUP($A401,dormitorios,2,0),IF(K$5='Conceptos Desglosados'!$H$5,VLOOKUP($A401,comedor,2,0),IF(K$5='Conceptos Desglosados'!$H$6,VLOOKUP($A401,alojamiento,2,0),IF(K$5='Conceptos Desglosados'!$H$7,VLOOKUP($A401,sanidad,2,0),IF(K$5='Conceptos Desglosados'!$H$8,VLOOKUP($A401,servicios,2,0),IF(K$5='Conceptos Desglosados'!$H$9,VLOOKUP($A401,comyaloj,2,0),IF(K$5='Conceptos Desglosados'!$H$10,VLOOKUP($A401,comandancia,2,0),IF(K$5='Conceptos Desglosados'!$H$11,VLOOKUP($A401,mantenimiento,2,0),IF(K$5='Conceptos Desglosados'!$H$12,VLOOKUP($A401,serestatal,2,0),IF(K$5='Conceptos Desglosados'!$H$13,VLOOKUP($A401,conferencias,2,0),"")))))))))),"")*K$3,"")</f>
        <v/>
      </c>
      <c r="L401" t="str">
        <f>IFERROR(IFERROR(IF(L$5='Conceptos Desglosados'!$H$4,VLOOKUP($A401,dormitorios,2,0),IF(L$5='Conceptos Desglosados'!$H$5,VLOOKUP($A401,comedor,2,0),IF(L$5='Conceptos Desglosados'!$H$6,VLOOKUP($A401,alojamiento,2,0),IF(L$5='Conceptos Desglosados'!$H$7,VLOOKUP($A401,sanidad,2,0),IF(L$5='Conceptos Desglosados'!$H$8,VLOOKUP($A401,servicios,2,0),IF(L$5='Conceptos Desglosados'!$H$9,VLOOKUP($A401,comyaloj,2,0),IF(L$5='Conceptos Desglosados'!$H$10,VLOOKUP($A401,comandancia,2,0),IF(L$5='Conceptos Desglosados'!$H$11,VLOOKUP($A401,mantenimiento,2,0),IF(L$5='Conceptos Desglosados'!$H$12,VLOOKUP($A401,serestatal,2,0),IF(L$5='Conceptos Desglosados'!$H$13,VLOOKUP($A401,conferencias,2,0),"")))))))))),"")*L$3,"")</f>
        <v/>
      </c>
      <c r="M401" t="str">
        <f>IFERROR(IFERROR(IF(M$5='Conceptos Desglosados'!$H$4,VLOOKUP($A401,dormitorios,2,0),IF(M$5='Conceptos Desglosados'!$H$5,VLOOKUP($A401,comedor,2,0),IF(M$5='Conceptos Desglosados'!$H$6,VLOOKUP($A401,alojamiento,2,0),IF(M$5='Conceptos Desglosados'!$H$7,VLOOKUP($A401,sanidad,2,0),IF(M$5='Conceptos Desglosados'!$H$8,VLOOKUP($A401,servicios,2,0),IF(M$5='Conceptos Desglosados'!$H$9,VLOOKUP($A401,comyaloj,2,0),IF(M$5='Conceptos Desglosados'!$H$10,VLOOKUP($A401,comandancia,2,0),IF(M$5='Conceptos Desglosados'!$H$11,VLOOKUP($A401,mantenimiento,2,0),IF(M$5='Conceptos Desglosados'!$H$12,VLOOKUP($A401,serestatal,2,0),IF(M$5='Conceptos Desglosados'!$H$13,VLOOKUP($A401,conferencias,2,0),"")))))))))),"")*M$3,"")</f>
        <v/>
      </c>
      <c r="O401">
        <f>SUM(K401:M401)</f>
        <v>0</v>
      </c>
    </row>
    <row r="402" spans="1:15" x14ac:dyDescent="0.35">
      <c r="A402">
        <v>397</v>
      </c>
      <c r="B402" t="s">
        <v>11</v>
      </c>
      <c r="C402" t="s">
        <v>789</v>
      </c>
      <c r="D402" t="s">
        <v>790</v>
      </c>
      <c r="E402" t="s">
        <v>765</v>
      </c>
      <c r="F402" t="s">
        <v>888</v>
      </c>
      <c r="G402" t="s">
        <v>9</v>
      </c>
      <c r="H402">
        <v>1.9750000000000001</v>
      </c>
      <c r="I402">
        <v>2.7149999999999999</v>
      </c>
      <c r="J402" t="s">
        <v>6</v>
      </c>
      <c r="K402" t="str">
        <f>IFERROR(IFERROR(IF(K$5='Conceptos Desglosados'!$H$4,VLOOKUP($A402,dormitorios,2,0),IF(K$5='Conceptos Desglosados'!$H$5,VLOOKUP($A402,comedor,2,0),IF(K$5='Conceptos Desglosados'!$H$6,VLOOKUP($A402,alojamiento,2,0),IF(K$5='Conceptos Desglosados'!$H$7,VLOOKUP($A402,sanidad,2,0),IF(K$5='Conceptos Desglosados'!$H$8,VLOOKUP($A402,servicios,2,0),IF(K$5='Conceptos Desglosados'!$H$9,VLOOKUP($A402,comyaloj,2,0),IF(K$5='Conceptos Desglosados'!$H$10,VLOOKUP($A402,comandancia,2,0),IF(K$5='Conceptos Desglosados'!$H$11,VLOOKUP($A402,mantenimiento,2,0),IF(K$5='Conceptos Desglosados'!$H$12,VLOOKUP($A402,serestatal,2,0),IF(K$5='Conceptos Desglosados'!$H$13,VLOOKUP($A402,conferencias,2,0),"")))))))))),"")*K$3,"")</f>
        <v/>
      </c>
      <c r="L402" t="str">
        <f>IFERROR(IFERROR(IF(L$5='Conceptos Desglosados'!$H$4,VLOOKUP($A402,dormitorios,2,0),IF(L$5='Conceptos Desglosados'!$H$5,VLOOKUP($A402,comedor,2,0),IF(L$5='Conceptos Desglosados'!$H$6,VLOOKUP($A402,alojamiento,2,0),IF(L$5='Conceptos Desglosados'!$H$7,VLOOKUP($A402,sanidad,2,0),IF(L$5='Conceptos Desglosados'!$H$8,VLOOKUP($A402,servicios,2,0),IF(L$5='Conceptos Desglosados'!$H$9,VLOOKUP($A402,comyaloj,2,0),IF(L$5='Conceptos Desglosados'!$H$10,VLOOKUP($A402,comandancia,2,0),IF(L$5='Conceptos Desglosados'!$H$11,VLOOKUP($A402,mantenimiento,2,0),IF(L$5='Conceptos Desglosados'!$H$12,VLOOKUP($A402,serestatal,2,0),IF(L$5='Conceptos Desglosados'!$H$13,VLOOKUP($A402,conferencias,2,0),"")))))))))),"")*L$3,"")</f>
        <v/>
      </c>
      <c r="M402" t="str">
        <f>IFERROR(IFERROR(IF(M$5='Conceptos Desglosados'!$H$4,VLOOKUP($A402,dormitorios,2,0),IF(M$5='Conceptos Desglosados'!$H$5,VLOOKUP($A402,comedor,2,0),IF(M$5='Conceptos Desglosados'!$H$6,VLOOKUP($A402,alojamiento,2,0),IF(M$5='Conceptos Desglosados'!$H$7,VLOOKUP($A402,sanidad,2,0),IF(M$5='Conceptos Desglosados'!$H$8,VLOOKUP($A402,servicios,2,0),IF(M$5='Conceptos Desglosados'!$H$9,VLOOKUP($A402,comyaloj,2,0),IF(M$5='Conceptos Desglosados'!$H$10,VLOOKUP($A402,comandancia,2,0),IF(M$5='Conceptos Desglosados'!$H$11,VLOOKUP($A402,mantenimiento,2,0),IF(M$5='Conceptos Desglosados'!$H$12,VLOOKUP($A402,serestatal,2,0),IF(M$5='Conceptos Desglosados'!$H$13,VLOOKUP($A402,conferencias,2,0),"")))))))))),"")*M$3,"")</f>
        <v/>
      </c>
      <c r="O402">
        <f>SUM(K402:M402)</f>
        <v>0</v>
      </c>
    </row>
    <row r="403" spans="1:15" x14ac:dyDescent="0.35">
      <c r="A403">
        <v>398</v>
      </c>
      <c r="B403" t="s">
        <v>11</v>
      </c>
      <c r="C403" t="s">
        <v>844</v>
      </c>
      <c r="D403" t="s">
        <v>845</v>
      </c>
      <c r="E403" t="s">
        <v>846</v>
      </c>
      <c r="F403" t="s">
        <v>132</v>
      </c>
      <c r="G403" t="s">
        <v>2</v>
      </c>
      <c r="H403">
        <v>1.99</v>
      </c>
      <c r="I403">
        <v>2.7149999999999999</v>
      </c>
      <c r="J403" t="s">
        <v>6</v>
      </c>
      <c r="K403" t="str">
        <f>IFERROR(IFERROR(IF(K$5='Conceptos Desglosados'!$H$4,VLOOKUP($A403,dormitorios,2,0),IF(K$5='Conceptos Desglosados'!$H$5,VLOOKUP($A403,comedor,2,0),IF(K$5='Conceptos Desglosados'!$H$6,VLOOKUP($A403,alojamiento,2,0),IF(K$5='Conceptos Desglosados'!$H$7,VLOOKUP($A403,sanidad,2,0),IF(K$5='Conceptos Desglosados'!$H$8,VLOOKUP($A403,servicios,2,0),IF(K$5='Conceptos Desglosados'!$H$9,VLOOKUP($A403,comyaloj,2,0),IF(K$5='Conceptos Desglosados'!$H$10,VLOOKUP($A403,comandancia,2,0),IF(K$5='Conceptos Desglosados'!$H$11,VLOOKUP($A403,mantenimiento,2,0),IF(K$5='Conceptos Desglosados'!$H$12,VLOOKUP($A403,serestatal,2,0),IF(K$5='Conceptos Desglosados'!$H$13,VLOOKUP($A403,conferencias,2,0),"")))))))))),"")*K$3,"")</f>
        <v/>
      </c>
      <c r="L403" t="str">
        <f>IFERROR(IFERROR(IF(L$5='Conceptos Desglosados'!$H$4,VLOOKUP($A403,dormitorios,2,0),IF(L$5='Conceptos Desglosados'!$H$5,VLOOKUP($A403,comedor,2,0),IF(L$5='Conceptos Desglosados'!$H$6,VLOOKUP($A403,alojamiento,2,0),IF(L$5='Conceptos Desglosados'!$H$7,VLOOKUP($A403,sanidad,2,0),IF(L$5='Conceptos Desglosados'!$H$8,VLOOKUP($A403,servicios,2,0),IF(L$5='Conceptos Desglosados'!$H$9,VLOOKUP($A403,comyaloj,2,0),IF(L$5='Conceptos Desglosados'!$H$10,VLOOKUP($A403,comandancia,2,0),IF(L$5='Conceptos Desglosados'!$H$11,VLOOKUP($A403,mantenimiento,2,0),IF(L$5='Conceptos Desglosados'!$H$12,VLOOKUP($A403,serestatal,2,0),IF(L$5='Conceptos Desglosados'!$H$13,VLOOKUP($A403,conferencias,2,0),"")))))))))),"")*L$3,"")</f>
        <v/>
      </c>
      <c r="M403" t="str">
        <f>IFERROR(IFERROR(IF(M$5='Conceptos Desglosados'!$H$4,VLOOKUP($A403,dormitorios,2,0),IF(M$5='Conceptos Desglosados'!$H$5,VLOOKUP($A403,comedor,2,0),IF(M$5='Conceptos Desglosados'!$H$6,VLOOKUP($A403,alojamiento,2,0),IF(M$5='Conceptos Desglosados'!$H$7,VLOOKUP($A403,sanidad,2,0),IF(M$5='Conceptos Desglosados'!$H$8,VLOOKUP($A403,servicios,2,0),IF(M$5='Conceptos Desglosados'!$H$9,VLOOKUP($A403,comyaloj,2,0),IF(M$5='Conceptos Desglosados'!$H$10,VLOOKUP($A403,comandancia,2,0),IF(M$5='Conceptos Desglosados'!$H$11,VLOOKUP($A403,mantenimiento,2,0),IF(M$5='Conceptos Desglosados'!$H$12,VLOOKUP($A403,serestatal,2,0),IF(M$5='Conceptos Desglosados'!$H$13,VLOOKUP($A403,conferencias,2,0),"")))))))))),"")*M$3,"")</f>
        <v/>
      </c>
      <c r="O403">
        <f>SUM(K403:M403)</f>
        <v>0</v>
      </c>
    </row>
    <row r="404" spans="1:15" x14ac:dyDescent="0.35">
      <c r="A404">
        <v>399</v>
      </c>
      <c r="B404" t="s">
        <v>11</v>
      </c>
      <c r="C404" t="s">
        <v>880</v>
      </c>
      <c r="D404" t="s">
        <v>881</v>
      </c>
      <c r="E404" t="s">
        <v>882</v>
      </c>
      <c r="F404" t="s">
        <v>132</v>
      </c>
      <c r="G404" t="s">
        <v>9</v>
      </c>
      <c r="H404">
        <v>1.9750000000000001</v>
      </c>
      <c r="I404">
        <v>2.7149999999999999</v>
      </c>
      <c r="J404" t="s">
        <v>6</v>
      </c>
      <c r="K404" t="str">
        <f>IFERROR(IFERROR(IF(K$5='Conceptos Desglosados'!$H$4,VLOOKUP($A404,dormitorios,2,0),IF(K$5='Conceptos Desglosados'!$H$5,VLOOKUP($A404,comedor,2,0),IF(K$5='Conceptos Desglosados'!$H$6,VLOOKUP($A404,alojamiento,2,0),IF(K$5='Conceptos Desglosados'!$H$7,VLOOKUP($A404,sanidad,2,0),IF(K$5='Conceptos Desglosados'!$H$8,VLOOKUP($A404,servicios,2,0),IF(K$5='Conceptos Desglosados'!$H$9,VLOOKUP($A404,comyaloj,2,0),IF(K$5='Conceptos Desglosados'!$H$10,VLOOKUP($A404,comandancia,2,0),IF(K$5='Conceptos Desglosados'!$H$11,VLOOKUP($A404,mantenimiento,2,0),IF(K$5='Conceptos Desglosados'!$H$12,VLOOKUP($A404,serestatal,2,0),IF(K$5='Conceptos Desglosados'!$H$13,VLOOKUP($A404,conferencias,2,0),"")))))))))),"")*K$3,"")</f>
        <v/>
      </c>
      <c r="L404" t="str">
        <f>IFERROR(IFERROR(IF(L$5='Conceptos Desglosados'!$H$4,VLOOKUP($A404,dormitorios,2,0),IF(L$5='Conceptos Desglosados'!$H$5,VLOOKUP($A404,comedor,2,0),IF(L$5='Conceptos Desglosados'!$H$6,VLOOKUP($A404,alojamiento,2,0),IF(L$5='Conceptos Desglosados'!$H$7,VLOOKUP($A404,sanidad,2,0),IF(L$5='Conceptos Desglosados'!$H$8,VLOOKUP($A404,servicios,2,0),IF(L$5='Conceptos Desglosados'!$H$9,VLOOKUP($A404,comyaloj,2,0),IF(L$5='Conceptos Desglosados'!$H$10,VLOOKUP($A404,comandancia,2,0),IF(L$5='Conceptos Desglosados'!$H$11,VLOOKUP($A404,mantenimiento,2,0),IF(L$5='Conceptos Desglosados'!$H$12,VLOOKUP($A404,serestatal,2,0),IF(L$5='Conceptos Desglosados'!$H$13,VLOOKUP($A404,conferencias,2,0),"")))))))))),"")*L$3,"")</f>
        <v/>
      </c>
      <c r="M404" t="str">
        <f>IFERROR(IFERROR(IF(M$5='Conceptos Desglosados'!$H$4,VLOOKUP($A404,dormitorios,2,0),IF(M$5='Conceptos Desglosados'!$H$5,VLOOKUP($A404,comedor,2,0),IF(M$5='Conceptos Desglosados'!$H$6,VLOOKUP($A404,alojamiento,2,0),IF(M$5='Conceptos Desglosados'!$H$7,VLOOKUP($A404,sanidad,2,0),IF(M$5='Conceptos Desglosados'!$H$8,VLOOKUP($A404,servicios,2,0),IF(M$5='Conceptos Desglosados'!$H$9,VLOOKUP($A404,comyaloj,2,0),IF(M$5='Conceptos Desglosados'!$H$10,VLOOKUP($A404,comandancia,2,0),IF(M$5='Conceptos Desglosados'!$H$11,VLOOKUP($A404,mantenimiento,2,0),IF(M$5='Conceptos Desglosados'!$H$12,VLOOKUP($A404,serestatal,2,0),IF(M$5='Conceptos Desglosados'!$H$13,VLOOKUP($A404,conferencias,2,0),"")))))))))),"")*M$3,"")</f>
        <v/>
      </c>
      <c r="O404">
        <f>SUM(K404:M404)</f>
        <v>0</v>
      </c>
    </row>
    <row r="405" spans="1:15" x14ac:dyDescent="0.35">
      <c r="A405">
        <v>400</v>
      </c>
      <c r="B405" t="s">
        <v>11</v>
      </c>
      <c r="C405" t="s">
        <v>964</v>
      </c>
      <c r="D405" t="s">
        <v>963</v>
      </c>
      <c r="E405" t="s">
        <v>24</v>
      </c>
      <c r="F405" t="s">
        <v>704</v>
      </c>
      <c r="G405" t="s">
        <v>9</v>
      </c>
      <c r="H405">
        <v>1.978</v>
      </c>
      <c r="I405">
        <v>2.7149999999999999</v>
      </c>
      <c r="J405" t="s">
        <v>6</v>
      </c>
      <c r="K405" t="str">
        <f>IFERROR(IFERROR(IF(K$5='Conceptos Desglosados'!$H$4,VLOOKUP($A405,dormitorios,2,0),IF(K$5='Conceptos Desglosados'!$H$5,VLOOKUP($A405,comedor,2,0),IF(K$5='Conceptos Desglosados'!$H$6,VLOOKUP($A405,alojamiento,2,0),IF(K$5='Conceptos Desglosados'!$H$7,VLOOKUP($A405,sanidad,2,0),IF(K$5='Conceptos Desglosados'!$H$8,VLOOKUP($A405,servicios,2,0),IF(K$5='Conceptos Desglosados'!$H$9,VLOOKUP($A405,comyaloj,2,0),IF(K$5='Conceptos Desglosados'!$H$10,VLOOKUP($A405,comandancia,2,0),IF(K$5='Conceptos Desglosados'!$H$11,VLOOKUP($A405,mantenimiento,2,0),IF(K$5='Conceptos Desglosados'!$H$12,VLOOKUP($A405,serestatal,2,0),IF(K$5='Conceptos Desglosados'!$H$13,VLOOKUP($A405,conferencias,2,0),"")))))))))),"")*K$3,"")</f>
        <v/>
      </c>
      <c r="L405" t="str">
        <f>IFERROR(IFERROR(IF(L$5='Conceptos Desglosados'!$H$4,VLOOKUP($A405,dormitorios,2,0),IF(L$5='Conceptos Desglosados'!$H$5,VLOOKUP($A405,comedor,2,0),IF(L$5='Conceptos Desglosados'!$H$6,VLOOKUP($A405,alojamiento,2,0),IF(L$5='Conceptos Desglosados'!$H$7,VLOOKUP($A405,sanidad,2,0),IF(L$5='Conceptos Desglosados'!$H$8,VLOOKUP($A405,servicios,2,0),IF(L$5='Conceptos Desglosados'!$H$9,VLOOKUP($A405,comyaloj,2,0),IF(L$5='Conceptos Desglosados'!$H$10,VLOOKUP($A405,comandancia,2,0),IF(L$5='Conceptos Desglosados'!$H$11,VLOOKUP($A405,mantenimiento,2,0),IF(L$5='Conceptos Desglosados'!$H$12,VLOOKUP($A405,serestatal,2,0),IF(L$5='Conceptos Desglosados'!$H$13,VLOOKUP($A405,conferencias,2,0),"")))))))))),"")*L$3,"")</f>
        <v/>
      </c>
      <c r="M405" t="str">
        <f>IFERROR(IFERROR(IF(M$5='Conceptos Desglosados'!$H$4,VLOOKUP($A405,dormitorios,2,0),IF(M$5='Conceptos Desglosados'!$H$5,VLOOKUP($A405,comedor,2,0),IF(M$5='Conceptos Desglosados'!$H$6,VLOOKUP($A405,alojamiento,2,0),IF(M$5='Conceptos Desglosados'!$H$7,VLOOKUP($A405,sanidad,2,0),IF(M$5='Conceptos Desglosados'!$H$8,VLOOKUP($A405,servicios,2,0),IF(M$5='Conceptos Desglosados'!$H$9,VLOOKUP($A405,comyaloj,2,0),IF(M$5='Conceptos Desglosados'!$H$10,VLOOKUP($A405,comandancia,2,0),IF(M$5='Conceptos Desglosados'!$H$11,VLOOKUP($A405,mantenimiento,2,0),IF(M$5='Conceptos Desglosados'!$H$12,VLOOKUP($A405,serestatal,2,0),IF(M$5='Conceptos Desglosados'!$H$13,VLOOKUP($A405,conferencias,2,0),"")))))))))),"")*M$3,"")</f>
        <v/>
      </c>
      <c r="O405">
        <f>SUM(K405:M405)</f>
        <v>0</v>
      </c>
    </row>
    <row r="406" spans="1:15" x14ac:dyDescent="0.35">
      <c r="A406">
        <v>401</v>
      </c>
      <c r="B406" t="s">
        <v>11</v>
      </c>
      <c r="C406" t="s">
        <v>967</v>
      </c>
      <c r="D406" t="s">
        <v>966</v>
      </c>
      <c r="E406" t="s">
        <v>656</v>
      </c>
      <c r="F406" t="s">
        <v>704</v>
      </c>
      <c r="G406" t="s">
        <v>9</v>
      </c>
      <c r="H406">
        <v>1.978</v>
      </c>
      <c r="I406">
        <v>2.7149999999999999</v>
      </c>
      <c r="J406" t="s">
        <v>6</v>
      </c>
      <c r="K406" t="str">
        <f>IFERROR(IFERROR(IF(K$5='Conceptos Desglosados'!$H$4,VLOOKUP($A406,dormitorios,2,0),IF(K$5='Conceptos Desglosados'!$H$5,VLOOKUP($A406,comedor,2,0),IF(K$5='Conceptos Desglosados'!$H$6,VLOOKUP($A406,alojamiento,2,0),IF(K$5='Conceptos Desglosados'!$H$7,VLOOKUP($A406,sanidad,2,0),IF(K$5='Conceptos Desglosados'!$H$8,VLOOKUP($A406,servicios,2,0),IF(K$5='Conceptos Desglosados'!$H$9,VLOOKUP($A406,comyaloj,2,0),IF(K$5='Conceptos Desglosados'!$H$10,VLOOKUP($A406,comandancia,2,0),IF(K$5='Conceptos Desglosados'!$H$11,VLOOKUP($A406,mantenimiento,2,0),IF(K$5='Conceptos Desglosados'!$H$12,VLOOKUP($A406,serestatal,2,0),IF(K$5='Conceptos Desglosados'!$H$13,VLOOKUP($A406,conferencias,2,0),"")))))))))),"")*K$3,"")</f>
        <v/>
      </c>
      <c r="L406" t="str">
        <f>IFERROR(IFERROR(IF(L$5='Conceptos Desglosados'!$H$4,VLOOKUP($A406,dormitorios,2,0),IF(L$5='Conceptos Desglosados'!$H$5,VLOOKUP($A406,comedor,2,0),IF(L$5='Conceptos Desglosados'!$H$6,VLOOKUP($A406,alojamiento,2,0),IF(L$5='Conceptos Desglosados'!$H$7,VLOOKUP($A406,sanidad,2,0),IF(L$5='Conceptos Desglosados'!$H$8,VLOOKUP($A406,servicios,2,0),IF(L$5='Conceptos Desglosados'!$H$9,VLOOKUP($A406,comyaloj,2,0),IF(L$5='Conceptos Desglosados'!$H$10,VLOOKUP($A406,comandancia,2,0),IF(L$5='Conceptos Desglosados'!$H$11,VLOOKUP($A406,mantenimiento,2,0),IF(L$5='Conceptos Desglosados'!$H$12,VLOOKUP($A406,serestatal,2,0),IF(L$5='Conceptos Desglosados'!$H$13,VLOOKUP($A406,conferencias,2,0),"")))))))))),"")*L$3,"")</f>
        <v/>
      </c>
      <c r="M406" t="str">
        <f>IFERROR(IFERROR(IF(M$5='Conceptos Desglosados'!$H$4,VLOOKUP($A406,dormitorios,2,0),IF(M$5='Conceptos Desglosados'!$H$5,VLOOKUP($A406,comedor,2,0),IF(M$5='Conceptos Desglosados'!$H$6,VLOOKUP($A406,alojamiento,2,0),IF(M$5='Conceptos Desglosados'!$H$7,VLOOKUP($A406,sanidad,2,0),IF(M$5='Conceptos Desglosados'!$H$8,VLOOKUP($A406,servicios,2,0),IF(M$5='Conceptos Desglosados'!$H$9,VLOOKUP($A406,comyaloj,2,0),IF(M$5='Conceptos Desglosados'!$H$10,VLOOKUP($A406,comandancia,2,0),IF(M$5='Conceptos Desglosados'!$H$11,VLOOKUP($A406,mantenimiento,2,0),IF(M$5='Conceptos Desglosados'!$H$12,VLOOKUP($A406,serestatal,2,0),IF(M$5='Conceptos Desglosados'!$H$13,VLOOKUP($A406,conferencias,2,0),"")))))))))),"")*M$3,"")</f>
        <v/>
      </c>
      <c r="O406">
        <f>SUM(K406:M406)</f>
        <v>0</v>
      </c>
    </row>
    <row r="407" spans="1:15" x14ac:dyDescent="0.35">
      <c r="A407">
        <v>402</v>
      </c>
      <c r="B407" t="s">
        <v>11</v>
      </c>
      <c r="C407" t="s">
        <v>969</v>
      </c>
      <c r="D407" t="s">
        <v>968</v>
      </c>
      <c r="E407" t="s">
        <v>419</v>
      </c>
      <c r="F407" t="s">
        <v>965</v>
      </c>
      <c r="G407" t="s">
        <v>9</v>
      </c>
      <c r="H407">
        <v>1.978</v>
      </c>
      <c r="I407">
        <v>2.7149999999999999</v>
      </c>
      <c r="J407" t="s">
        <v>6</v>
      </c>
      <c r="K407" t="str">
        <f>IFERROR(IFERROR(IF(K$5='Conceptos Desglosados'!$H$4,VLOOKUP($A407,dormitorios,2,0),IF(K$5='Conceptos Desglosados'!$H$5,VLOOKUP($A407,comedor,2,0),IF(K$5='Conceptos Desglosados'!$H$6,VLOOKUP($A407,alojamiento,2,0),IF(K$5='Conceptos Desglosados'!$H$7,VLOOKUP($A407,sanidad,2,0),IF(K$5='Conceptos Desglosados'!$H$8,VLOOKUP($A407,servicios,2,0),IF(K$5='Conceptos Desglosados'!$H$9,VLOOKUP($A407,comyaloj,2,0),IF(K$5='Conceptos Desglosados'!$H$10,VLOOKUP($A407,comandancia,2,0),IF(K$5='Conceptos Desglosados'!$H$11,VLOOKUP($A407,mantenimiento,2,0),IF(K$5='Conceptos Desglosados'!$H$12,VLOOKUP($A407,serestatal,2,0),IF(K$5='Conceptos Desglosados'!$H$13,VLOOKUP($A407,conferencias,2,0),"")))))))))),"")*K$3,"")</f>
        <v/>
      </c>
      <c r="L407" t="str">
        <f>IFERROR(IFERROR(IF(L$5='Conceptos Desglosados'!$H$4,VLOOKUP($A407,dormitorios,2,0),IF(L$5='Conceptos Desglosados'!$H$5,VLOOKUP($A407,comedor,2,0),IF(L$5='Conceptos Desglosados'!$H$6,VLOOKUP($A407,alojamiento,2,0),IF(L$5='Conceptos Desglosados'!$H$7,VLOOKUP($A407,sanidad,2,0),IF(L$5='Conceptos Desglosados'!$H$8,VLOOKUP($A407,servicios,2,0),IF(L$5='Conceptos Desglosados'!$H$9,VLOOKUP($A407,comyaloj,2,0),IF(L$5='Conceptos Desglosados'!$H$10,VLOOKUP($A407,comandancia,2,0),IF(L$5='Conceptos Desglosados'!$H$11,VLOOKUP($A407,mantenimiento,2,0),IF(L$5='Conceptos Desglosados'!$H$12,VLOOKUP($A407,serestatal,2,0),IF(L$5='Conceptos Desglosados'!$H$13,VLOOKUP($A407,conferencias,2,0),"")))))))))),"")*L$3,"")</f>
        <v/>
      </c>
      <c r="M407">
        <f>IFERROR(IFERROR(IF(M$5='Conceptos Desglosados'!$H$4,VLOOKUP($A407,dormitorios,2,0),IF(M$5='Conceptos Desglosados'!$H$5,VLOOKUP($A407,comedor,2,0),IF(M$5='Conceptos Desglosados'!$H$6,VLOOKUP($A407,alojamiento,2,0),IF(M$5='Conceptos Desglosados'!$H$7,VLOOKUP($A407,sanidad,2,0),IF(M$5='Conceptos Desglosados'!$H$8,VLOOKUP($A407,servicios,2,0),IF(M$5='Conceptos Desglosados'!$H$9,VLOOKUP($A407,comyaloj,2,0),IF(M$5='Conceptos Desglosados'!$H$10,VLOOKUP($A407,comandancia,2,0),IF(M$5='Conceptos Desglosados'!$H$11,VLOOKUP($A407,mantenimiento,2,0),IF(M$5='Conceptos Desglosados'!$H$12,VLOOKUP($A407,serestatal,2,0),IF(M$5='Conceptos Desglosados'!$H$13,VLOOKUP($A407,conferencias,2,0),"")))))))))),"")*M$3,"")</f>
        <v>48</v>
      </c>
      <c r="O407">
        <f>SUM(K407:M407)</f>
        <v>48</v>
      </c>
    </row>
    <row r="408" spans="1:15" x14ac:dyDescent="0.35">
      <c r="A408">
        <v>403</v>
      </c>
      <c r="B408" t="s">
        <v>11</v>
      </c>
      <c r="C408" t="s">
        <v>971</v>
      </c>
      <c r="D408" t="s">
        <v>970</v>
      </c>
      <c r="E408" t="s">
        <v>976</v>
      </c>
      <c r="F408" t="s">
        <v>965</v>
      </c>
      <c r="G408" t="s">
        <v>9</v>
      </c>
      <c r="H408">
        <v>1.978</v>
      </c>
      <c r="I408">
        <v>2.7149999999999999</v>
      </c>
      <c r="J408" t="s">
        <v>6</v>
      </c>
      <c r="K408" t="str">
        <f>IFERROR(IFERROR(IF(K$5='Conceptos Desglosados'!$H$4,VLOOKUP($A408,dormitorios,2,0),IF(K$5='Conceptos Desglosados'!$H$5,VLOOKUP($A408,comedor,2,0),IF(K$5='Conceptos Desglosados'!$H$6,VLOOKUP($A408,alojamiento,2,0),IF(K$5='Conceptos Desglosados'!$H$7,VLOOKUP($A408,sanidad,2,0),IF(K$5='Conceptos Desglosados'!$H$8,VLOOKUP($A408,servicios,2,0),IF(K$5='Conceptos Desglosados'!$H$9,VLOOKUP($A408,comyaloj,2,0),IF(K$5='Conceptos Desglosados'!$H$10,VLOOKUP($A408,comandancia,2,0),IF(K$5='Conceptos Desglosados'!$H$11,VLOOKUP($A408,mantenimiento,2,0),IF(K$5='Conceptos Desglosados'!$H$12,VLOOKUP($A408,serestatal,2,0),IF(K$5='Conceptos Desglosados'!$H$13,VLOOKUP($A408,conferencias,2,0),"")))))))))),"")*K$3,"")</f>
        <v/>
      </c>
      <c r="L408" t="str">
        <f>IFERROR(IFERROR(IF(L$5='Conceptos Desglosados'!$H$4,VLOOKUP($A408,dormitorios,2,0),IF(L$5='Conceptos Desglosados'!$H$5,VLOOKUP($A408,comedor,2,0),IF(L$5='Conceptos Desglosados'!$H$6,VLOOKUP($A408,alojamiento,2,0),IF(L$5='Conceptos Desglosados'!$H$7,VLOOKUP($A408,sanidad,2,0),IF(L$5='Conceptos Desglosados'!$H$8,VLOOKUP($A408,servicios,2,0),IF(L$5='Conceptos Desglosados'!$H$9,VLOOKUP($A408,comyaloj,2,0),IF(L$5='Conceptos Desglosados'!$H$10,VLOOKUP($A408,comandancia,2,0),IF(L$5='Conceptos Desglosados'!$H$11,VLOOKUP($A408,mantenimiento,2,0),IF(L$5='Conceptos Desglosados'!$H$12,VLOOKUP($A408,serestatal,2,0),IF(L$5='Conceptos Desglosados'!$H$13,VLOOKUP($A408,conferencias,2,0),"")))))))))),"")*L$3,"")</f>
        <v/>
      </c>
      <c r="M408" t="str">
        <f>IFERROR(IFERROR(IF(M$5='Conceptos Desglosados'!$H$4,VLOOKUP($A408,dormitorios,2,0),IF(M$5='Conceptos Desglosados'!$H$5,VLOOKUP($A408,comedor,2,0),IF(M$5='Conceptos Desglosados'!$H$6,VLOOKUP($A408,alojamiento,2,0),IF(M$5='Conceptos Desglosados'!$H$7,VLOOKUP($A408,sanidad,2,0),IF(M$5='Conceptos Desglosados'!$H$8,VLOOKUP($A408,servicios,2,0),IF(M$5='Conceptos Desglosados'!$H$9,VLOOKUP($A408,comyaloj,2,0),IF(M$5='Conceptos Desglosados'!$H$10,VLOOKUP($A408,comandancia,2,0),IF(M$5='Conceptos Desglosados'!$H$11,VLOOKUP($A408,mantenimiento,2,0),IF(M$5='Conceptos Desglosados'!$H$12,VLOOKUP($A408,serestatal,2,0),IF(M$5='Conceptos Desglosados'!$H$13,VLOOKUP($A408,conferencias,2,0),"")))))))))),"")*M$3,"")</f>
        <v/>
      </c>
      <c r="O408">
        <f>SUM(K408:M408)</f>
        <v>0</v>
      </c>
    </row>
    <row r="409" spans="1:15" x14ac:dyDescent="0.35">
      <c r="A409">
        <v>404</v>
      </c>
      <c r="B409" t="s">
        <v>11</v>
      </c>
      <c r="C409" t="s">
        <v>973</v>
      </c>
      <c r="D409" t="s">
        <v>972</v>
      </c>
      <c r="E409" t="s">
        <v>1037</v>
      </c>
      <c r="F409" t="s">
        <v>965</v>
      </c>
      <c r="G409" t="s">
        <v>9</v>
      </c>
      <c r="H409">
        <v>1.978</v>
      </c>
      <c r="I409">
        <v>2.7149999999999999</v>
      </c>
      <c r="J409" t="s">
        <v>6</v>
      </c>
      <c r="K409" t="str">
        <f>IFERROR(IFERROR(IF(K$5='Conceptos Desglosados'!$H$4,VLOOKUP($A409,dormitorios,2,0),IF(K$5='Conceptos Desglosados'!$H$5,VLOOKUP($A409,comedor,2,0),IF(K$5='Conceptos Desglosados'!$H$6,VLOOKUP($A409,alojamiento,2,0),IF(K$5='Conceptos Desglosados'!$H$7,VLOOKUP($A409,sanidad,2,0),IF(K$5='Conceptos Desglosados'!$H$8,VLOOKUP($A409,servicios,2,0),IF(K$5='Conceptos Desglosados'!$H$9,VLOOKUP($A409,comyaloj,2,0),IF(K$5='Conceptos Desglosados'!$H$10,VLOOKUP($A409,comandancia,2,0),IF(K$5='Conceptos Desglosados'!$H$11,VLOOKUP($A409,mantenimiento,2,0),IF(K$5='Conceptos Desglosados'!$H$12,VLOOKUP($A409,serestatal,2,0),IF(K$5='Conceptos Desglosados'!$H$13,VLOOKUP($A409,conferencias,2,0),"")))))))))),"")*K$3,"")</f>
        <v/>
      </c>
      <c r="L409" t="str">
        <f>IFERROR(IFERROR(IF(L$5='Conceptos Desglosados'!$H$4,VLOOKUP($A409,dormitorios,2,0),IF(L$5='Conceptos Desglosados'!$H$5,VLOOKUP($A409,comedor,2,0),IF(L$5='Conceptos Desglosados'!$H$6,VLOOKUP($A409,alojamiento,2,0),IF(L$5='Conceptos Desglosados'!$H$7,VLOOKUP($A409,sanidad,2,0),IF(L$5='Conceptos Desglosados'!$H$8,VLOOKUP($A409,servicios,2,0),IF(L$5='Conceptos Desglosados'!$H$9,VLOOKUP($A409,comyaloj,2,0),IF(L$5='Conceptos Desglosados'!$H$10,VLOOKUP($A409,comandancia,2,0),IF(L$5='Conceptos Desglosados'!$H$11,VLOOKUP($A409,mantenimiento,2,0),IF(L$5='Conceptos Desglosados'!$H$12,VLOOKUP($A409,serestatal,2,0),IF(L$5='Conceptos Desglosados'!$H$13,VLOOKUP($A409,conferencias,2,0),"")))))))))),"")*L$3,"")</f>
        <v/>
      </c>
      <c r="M409" t="str">
        <f>IFERROR(IFERROR(IF(M$5='Conceptos Desglosados'!$H$4,VLOOKUP($A409,dormitorios,2,0),IF(M$5='Conceptos Desglosados'!$H$5,VLOOKUP($A409,comedor,2,0),IF(M$5='Conceptos Desglosados'!$H$6,VLOOKUP($A409,alojamiento,2,0),IF(M$5='Conceptos Desglosados'!$H$7,VLOOKUP($A409,sanidad,2,0),IF(M$5='Conceptos Desglosados'!$H$8,VLOOKUP($A409,servicios,2,0),IF(M$5='Conceptos Desglosados'!$H$9,VLOOKUP($A409,comyaloj,2,0),IF(M$5='Conceptos Desglosados'!$H$10,VLOOKUP($A409,comandancia,2,0),IF(M$5='Conceptos Desglosados'!$H$11,VLOOKUP($A409,mantenimiento,2,0),IF(M$5='Conceptos Desglosados'!$H$12,VLOOKUP($A409,serestatal,2,0),IF(M$5='Conceptos Desglosados'!$H$13,VLOOKUP($A409,conferencias,2,0),"")))))))))),"")*M$3,"")</f>
        <v/>
      </c>
      <c r="O409">
        <f>SUM(K409:M409)</f>
        <v>0</v>
      </c>
    </row>
    <row r="410" spans="1:15" x14ac:dyDescent="0.35">
      <c r="A410">
        <v>405</v>
      </c>
      <c r="B410" t="s">
        <v>11</v>
      </c>
      <c r="C410" t="s">
        <v>975</v>
      </c>
      <c r="D410" t="s">
        <v>974</v>
      </c>
      <c r="E410" t="s">
        <v>300</v>
      </c>
      <c r="F410" t="s">
        <v>965</v>
      </c>
      <c r="G410" t="s">
        <v>9</v>
      </c>
      <c r="H410">
        <v>1.978</v>
      </c>
      <c r="I410">
        <v>2.7149999999999999</v>
      </c>
      <c r="J410" t="s">
        <v>6</v>
      </c>
      <c r="K410" t="str">
        <f>IFERROR(IFERROR(IF(K$5='Conceptos Desglosados'!$H$4,VLOOKUP($A410,dormitorios,2,0),IF(K$5='Conceptos Desglosados'!$H$5,VLOOKUP($A410,comedor,2,0),IF(K$5='Conceptos Desglosados'!$H$6,VLOOKUP($A410,alojamiento,2,0),IF(K$5='Conceptos Desglosados'!$H$7,VLOOKUP($A410,sanidad,2,0),IF(K$5='Conceptos Desglosados'!$H$8,VLOOKUP($A410,servicios,2,0),IF(K$5='Conceptos Desglosados'!$H$9,VLOOKUP($A410,comyaloj,2,0),IF(K$5='Conceptos Desglosados'!$H$10,VLOOKUP($A410,comandancia,2,0),IF(K$5='Conceptos Desglosados'!$H$11,VLOOKUP($A410,mantenimiento,2,0),IF(K$5='Conceptos Desglosados'!$H$12,VLOOKUP($A410,serestatal,2,0),IF(K$5='Conceptos Desglosados'!$H$13,VLOOKUP($A410,conferencias,2,0),"")))))))))),"")*K$3,"")</f>
        <v/>
      </c>
      <c r="L410" t="str">
        <f>IFERROR(IFERROR(IF(L$5='Conceptos Desglosados'!$H$4,VLOOKUP($A410,dormitorios,2,0),IF(L$5='Conceptos Desglosados'!$H$5,VLOOKUP($A410,comedor,2,0),IF(L$5='Conceptos Desglosados'!$H$6,VLOOKUP($A410,alojamiento,2,0),IF(L$5='Conceptos Desglosados'!$H$7,VLOOKUP($A410,sanidad,2,0),IF(L$5='Conceptos Desglosados'!$H$8,VLOOKUP($A410,servicios,2,0),IF(L$5='Conceptos Desglosados'!$H$9,VLOOKUP($A410,comyaloj,2,0),IF(L$5='Conceptos Desglosados'!$H$10,VLOOKUP($A410,comandancia,2,0),IF(L$5='Conceptos Desglosados'!$H$11,VLOOKUP($A410,mantenimiento,2,0),IF(L$5='Conceptos Desglosados'!$H$12,VLOOKUP($A410,serestatal,2,0),IF(L$5='Conceptos Desglosados'!$H$13,VLOOKUP($A410,conferencias,2,0),"")))))))))),"")*L$3,"")</f>
        <v/>
      </c>
      <c r="M410">
        <f>IFERROR(IFERROR(IF(M$5='Conceptos Desglosados'!$H$4,VLOOKUP($A410,dormitorios,2,0),IF(M$5='Conceptos Desglosados'!$H$5,VLOOKUP($A410,comedor,2,0),IF(M$5='Conceptos Desglosados'!$H$6,VLOOKUP($A410,alojamiento,2,0),IF(M$5='Conceptos Desglosados'!$H$7,VLOOKUP($A410,sanidad,2,0),IF(M$5='Conceptos Desglosados'!$H$8,VLOOKUP($A410,servicios,2,0),IF(M$5='Conceptos Desglosados'!$H$9,VLOOKUP($A410,comyaloj,2,0),IF(M$5='Conceptos Desglosados'!$H$10,VLOOKUP($A410,comandancia,2,0),IF(M$5='Conceptos Desglosados'!$H$11,VLOOKUP($A410,mantenimiento,2,0),IF(M$5='Conceptos Desglosados'!$H$12,VLOOKUP($A410,serestatal,2,0),IF(M$5='Conceptos Desglosados'!$H$13,VLOOKUP($A410,conferencias,2,0),"")))))))))),"")*M$3,"")</f>
        <v>4</v>
      </c>
      <c r="O410">
        <f>SUM(K410:M410)</f>
        <v>4</v>
      </c>
    </row>
    <row r="411" spans="1:15" x14ac:dyDescent="0.35">
      <c r="A411">
        <v>406</v>
      </c>
      <c r="B411" t="s">
        <v>11</v>
      </c>
      <c r="C411" t="s">
        <v>1108</v>
      </c>
      <c r="D411" t="s">
        <v>1109</v>
      </c>
      <c r="E411" t="s">
        <v>1110</v>
      </c>
      <c r="F411" t="s">
        <v>704</v>
      </c>
      <c r="J411" t="s">
        <v>6</v>
      </c>
      <c r="K411" t="str">
        <f>IFERROR(IFERROR(IF(K$5='Conceptos Desglosados'!$H$4,VLOOKUP($A411,dormitorios,2,0),IF(K$5='Conceptos Desglosados'!$H$5,VLOOKUP($A411,comedor,2,0),IF(K$5='Conceptos Desglosados'!$H$6,VLOOKUP($A411,alojamiento,2,0),IF(K$5='Conceptos Desglosados'!$H$7,VLOOKUP($A411,sanidad,2,0),IF(K$5='Conceptos Desglosados'!$H$8,VLOOKUP($A411,servicios,2,0),IF(K$5='Conceptos Desglosados'!$H$9,VLOOKUP($A411,comyaloj,2,0),IF(K$5='Conceptos Desglosados'!$H$10,VLOOKUP($A411,comandancia,2,0),IF(K$5='Conceptos Desglosados'!$H$11,VLOOKUP($A411,mantenimiento,2,0),IF(K$5='Conceptos Desglosados'!$H$12,VLOOKUP($A411,serestatal,2,0),IF(K$5='Conceptos Desglosados'!$H$13,VLOOKUP($A411,conferencias,2,0),"")))))))))),"")*K$3,"")</f>
        <v/>
      </c>
      <c r="L411" t="str">
        <f>IFERROR(IFERROR(IF(L$5='Conceptos Desglosados'!$H$4,VLOOKUP($A411,dormitorios,2,0),IF(L$5='Conceptos Desglosados'!$H$5,VLOOKUP($A411,comedor,2,0),IF(L$5='Conceptos Desglosados'!$H$6,VLOOKUP($A411,alojamiento,2,0),IF(L$5='Conceptos Desglosados'!$H$7,VLOOKUP($A411,sanidad,2,0),IF(L$5='Conceptos Desglosados'!$H$8,VLOOKUP($A411,servicios,2,0),IF(L$5='Conceptos Desglosados'!$H$9,VLOOKUP($A411,comyaloj,2,0),IF(L$5='Conceptos Desglosados'!$H$10,VLOOKUP($A411,comandancia,2,0),IF(L$5='Conceptos Desglosados'!$H$11,VLOOKUP($A411,mantenimiento,2,0),IF(L$5='Conceptos Desglosados'!$H$12,VLOOKUP($A411,serestatal,2,0),IF(L$5='Conceptos Desglosados'!$H$13,VLOOKUP($A411,conferencias,2,0),"")))))))))),"")*L$3,"")</f>
        <v/>
      </c>
      <c r="M411" t="str">
        <f>IFERROR(IFERROR(IF(M$5='Conceptos Desglosados'!$H$4,VLOOKUP($A411,dormitorios,2,0),IF(M$5='Conceptos Desglosados'!$H$5,VLOOKUP($A411,comedor,2,0),IF(M$5='Conceptos Desglosados'!$H$6,VLOOKUP($A411,alojamiento,2,0),IF(M$5='Conceptos Desglosados'!$H$7,VLOOKUP($A411,sanidad,2,0),IF(M$5='Conceptos Desglosados'!$H$8,VLOOKUP($A411,servicios,2,0),IF(M$5='Conceptos Desglosados'!$H$9,VLOOKUP($A411,comyaloj,2,0),IF(M$5='Conceptos Desglosados'!$H$10,VLOOKUP($A411,comandancia,2,0),IF(M$5='Conceptos Desglosados'!$H$11,VLOOKUP($A411,mantenimiento,2,0),IF(M$5='Conceptos Desglosados'!$H$12,VLOOKUP($A411,serestatal,2,0),IF(M$5='Conceptos Desglosados'!$H$13,VLOOKUP($A411,conferencias,2,0),"")))))))))),"")*M$3,"")</f>
        <v/>
      </c>
      <c r="O411">
        <f>SUM(K411:M411)</f>
        <v>0</v>
      </c>
    </row>
    <row r="412" spans="1:15" x14ac:dyDescent="0.35">
      <c r="A412">
        <v>407</v>
      </c>
      <c r="B412" t="s">
        <v>11</v>
      </c>
      <c r="C412" t="s">
        <v>1108</v>
      </c>
      <c r="D412" t="s">
        <v>1253</v>
      </c>
      <c r="E412" t="s">
        <v>300</v>
      </c>
      <c r="F412" t="s">
        <v>132</v>
      </c>
      <c r="G412" t="s">
        <v>9</v>
      </c>
      <c r="H412">
        <v>2</v>
      </c>
      <c r="I412">
        <v>4.3179999999999996</v>
      </c>
      <c r="J412" t="s">
        <v>6</v>
      </c>
      <c r="K412">
        <f>IFERROR(IFERROR(IF(K$5='Conceptos Desglosados'!$H$4,VLOOKUP($A412,dormitorios,2,0),IF(K$5='Conceptos Desglosados'!$H$5,VLOOKUP($A412,comedor,2,0),IF(K$5='Conceptos Desglosados'!$H$6,VLOOKUP($A412,alojamiento,2,0),IF(K$5='Conceptos Desglosados'!$H$7,VLOOKUP($A412,sanidad,2,0),IF(K$5='Conceptos Desglosados'!$H$8,VLOOKUP($A412,servicios,2,0),IF(K$5='Conceptos Desglosados'!$H$9,VLOOKUP($A412,comyaloj,2,0),IF(K$5='Conceptos Desglosados'!$H$10,VLOOKUP($A412,comandancia,2,0),IF(K$5='Conceptos Desglosados'!$H$11,VLOOKUP($A412,mantenimiento,2,0),IF(K$5='Conceptos Desglosados'!$H$12,VLOOKUP($A412,serestatal,2,0),IF(K$5='Conceptos Desglosados'!$H$13,VLOOKUP($A412,conferencias,2,0),"")))))))))),"")*K$3,"")</f>
        <v>6</v>
      </c>
      <c r="L412" t="str">
        <f>IFERROR(IFERROR(IF(L$5='Conceptos Desglosados'!$H$4,VLOOKUP($A412,dormitorios,2,0),IF(L$5='Conceptos Desglosados'!$H$5,VLOOKUP($A412,comedor,2,0),IF(L$5='Conceptos Desglosados'!$H$6,VLOOKUP($A412,alojamiento,2,0),IF(L$5='Conceptos Desglosados'!$H$7,VLOOKUP($A412,sanidad,2,0),IF(L$5='Conceptos Desglosados'!$H$8,VLOOKUP($A412,servicios,2,0),IF(L$5='Conceptos Desglosados'!$H$9,VLOOKUP($A412,comyaloj,2,0),IF(L$5='Conceptos Desglosados'!$H$10,VLOOKUP($A412,comandancia,2,0),IF(L$5='Conceptos Desglosados'!$H$11,VLOOKUP($A412,mantenimiento,2,0),IF(L$5='Conceptos Desglosados'!$H$12,VLOOKUP($A412,serestatal,2,0),IF(L$5='Conceptos Desglosados'!$H$13,VLOOKUP($A412,conferencias,2,0),"")))))))))),"")*L$3,"")</f>
        <v/>
      </c>
      <c r="M412" t="str">
        <f>IFERROR(IFERROR(IF(M$5='Conceptos Desglosados'!$H$4,VLOOKUP($A412,dormitorios,2,0),IF(M$5='Conceptos Desglosados'!$H$5,VLOOKUP($A412,comedor,2,0),IF(M$5='Conceptos Desglosados'!$H$6,VLOOKUP($A412,alojamiento,2,0),IF(M$5='Conceptos Desglosados'!$H$7,VLOOKUP($A412,sanidad,2,0),IF(M$5='Conceptos Desglosados'!$H$8,VLOOKUP($A412,servicios,2,0),IF(M$5='Conceptos Desglosados'!$H$9,VLOOKUP($A412,comyaloj,2,0),IF(M$5='Conceptos Desglosados'!$H$10,VLOOKUP($A412,comandancia,2,0),IF(M$5='Conceptos Desglosados'!$H$11,VLOOKUP($A412,mantenimiento,2,0),IF(M$5='Conceptos Desglosados'!$H$12,VLOOKUP($A412,serestatal,2,0),IF(M$5='Conceptos Desglosados'!$H$13,VLOOKUP($A412,conferencias,2,0),"")))))))))),"")*M$3,"")</f>
        <v/>
      </c>
      <c r="O412">
        <f>SUM(K412:M412)</f>
        <v>6</v>
      </c>
    </row>
    <row r="413" spans="1:15" x14ac:dyDescent="0.35">
      <c r="A413">
        <v>408</v>
      </c>
      <c r="B413" t="s">
        <v>11</v>
      </c>
      <c r="C413" t="s">
        <v>1134</v>
      </c>
      <c r="D413" t="s">
        <v>1254</v>
      </c>
      <c r="E413" t="s">
        <v>300</v>
      </c>
      <c r="F413" t="s">
        <v>132</v>
      </c>
      <c r="G413" t="s">
        <v>9</v>
      </c>
      <c r="H413">
        <v>1.9750000000000001</v>
      </c>
      <c r="I413">
        <v>4.3179999999999996</v>
      </c>
      <c r="J413" t="s">
        <v>6</v>
      </c>
      <c r="K413">
        <f>IFERROR(IFERROR(IF(K$5='Conceptos Desglosados'!$H$4,VLOOKUP($A413,dormitorios,2,0),IF(K$5='Conceptos Desglosados'!$H$5,VLOOKUP($A413,comedor,2,0),IF(K$5='Conceptos Desglosados'!$H$6,VLOOKUP($A413,alojamiento,2,0),IF(K$5='Conceptos Desglosados'!$H$7,VLOOKUP($A413,sanidad,2,0),IF(K$5='Conceptos Desglosados'!$H$8,VLOOKUP($A413,servicios,2,0),IF(K$5='Conceptos Desglosados'!$H$9,VLOOKUP($A413,comyaloj,2,0),IF(K$5='Conceptos Desglosados'!$H$10,VLOOKUP($A413,comandancia,2,0),IF(K$5='Conceptos Desglosados'!$H$11,VLOOKUP($A413,mantenimiento,2,0),IF(K$5='Conceptos Desglosados'!$H$12,VLOOKUP($A413,serestatal,2,0),IF(K$5='Conceptos Desglosados'!$H$13,VLOOKUP($A413,conferencias,2,0),"")))))))))),"")*K$3,"")</f>
        <v>6</v>
      </c>
      <c r="L413" t="str">
        <f>IFERROR(IFERROR(IF(L$5='Conceptos Desglosados'!$H$4,VLOOKUP($A413,dormitorios,2,0),IF(L$5='Conceptos Desglosados'!$H$5,VLOOKUP($A413,comedor,2,0),IF(L$5='Conceptos Desglosados'!$H$6,VLOOKUP($A413,alojamiento,2,0),IF(L$5='Conceptos Desglosados'!$H$7,VLOOKUP($A413,sanidad,2,0),IF(L$5='Conceptos Desglosados'!$H$8,VLOOKUP($A413,servicios,2,0),IF(L$5='Conceptos Desglosados'!$H$9,VLOOKUP($A413,comyaloj,2,0),IF(L$5='Conceptos Desglosados'!$H$10,VLOOKUP($A413,comandancia,2,0),IF(L$5='Conceptos Desglosados'!$H$11,VLOOKUP($A413,mantenimiento,2,0),IF(L$5='Conceptos Desglosados'!$H$12,VLOOKUP($A413,serestatal,2,0),IF(L$5='Conceptos Desglosados'!$H$13,VLOOKUP($A413,conferencias,2,0),"")))))))))),"")*L$3,"")</f>
        <v/>
      </c>
      <c r="M413" t="str">
        <f>IFERROR(IFERROR(IF(M$5='Conceptos Desglosados'!$H$4,VLOOKUP($A413,dormitorios,2,0),IF(M$5='Conceptos Desglosados'!$H$5,VLOOKUP($A413,comedor,2,0),IF(M$5='Conceptos Desglosados'!$H$6,VLOOKUP($A413,alojamiento,2,0),IF(M$5='Conceptos Desglosados'!$H$7,VLOOKUP($A413,sanidad,2,0),IF(M$5='Conceptos Desglosados'!$H$8,VLOOKUP($A413,servicios,2,0),IF(M$5='Conceptos Desglosados'!$H$9,VLOOKUP($A413,comyaloj,2,0),IF(M$5='Conceptos Desglosados'!$H$10,VLOOKUP($A413,comandancia,2,0),IF(M$5='Conceptos Desglosados'!$H$11,VLOOKUP($A413,mantenimiento,2,0),IF(M$5='Conceptos Desglosados'!$H$12,VLOOKUP($A413,serestatal,2,0),IF(M$5='Conceptos Desglosados'!$H$13,VLOOKUP($A413,conferencias,2,0),"")))))))))),"")*M$3,"")</f>
        <v/>
      </c>
      <c r="O413">
        <f>SUM(K413:M413)</f>
        <v>6</v>
      </c>
    </row>
    <row r="414" spans="1:15" x14ac:dyDescent="0.35">
      <c r="A414">
        <v>409</v>
      </c>
      <c r="B414" t="s">
        <v>11</v>
      </c>
      <c r="C414" t="s">
        <v>1135</v>
      </c>
      <c r="D414" t="s">
        <v>1255</v>
      </c>
      <c r="E414" t="s">
        <v>419</v>
      </c>
      <c r="F414" t="s">
        <v>132</v>
      </c>
      <c r="G414" t="s">
        <v>9</v>
      </c>
      <c r="H414">
        <v>1.9750000000000001</v>
      </c>
      <c r="I414">
        <v>4.3179999999999996</v>
      </c>
      <c r="J414" t="s">
        <v>6</v>
      </c>
      <c r="K414">
        <f>IFERROR(IFERROR(IF(K$5='Conceptos Desglosados'!$H$4,VLOOKUP($A414,dormitorios,2,0),IF(K$5='Conceptos Desglosados'!$H$5,VLOOKUP($A414,comedor,2,0),IF(K$5='Conceptos Desglosados'!$H$6,VLOOKUP($A414,alojamiento,2,0),IF(K$5='Conceptos Desglosados'!$H$7,VLOOKUP($A414,sanidad,2,0),IF(K$5='Conceptos Desglosados'!$H$8,VLOOKUP($A414,servicios,2,0),IF(K$5='Conceptos Desglosados'!$H$9,VLOOKUP($A414,comyaloj,2,0),IF(K$5='Conceptos Desglosados'!$H$10,VLOOKUP($A414,comandancia,2,0),IF(K$5='Conceptos Desglosados'!$H$11,VLOOKUP($A414,mantenimiento,2,0),IF(K$5='Conceptos Desglosados'!$H$12,VLOOKUP($A414,serestatal,2,0),IF(K$5='Conceptos Desglosados'!$H$13,VLOOKUP($A414,conferencias,2,0),"")))))))))),"")*K$3,"")</f>
        <v>6</v>
      </c>
      <c r="L414" t="str">
        <f>IFERROR(IFERROR(IF(L$5='Conceptos Desglosados'!$H$4,VLOOKUP($A414,dormitorios,2,0),IF(L$5='Conceptos Desglosados'!$H$5,VLOOKUP($A414,comedor,2,0),IF(L$5='Conceptos Desglosados'!$H$6,VLOOKUP($A414,alojamiento,2,0),IF(L$5='Conceptos Desglosados'!$H$7,VLOOKUP($A414,sanidad,2,0),IF(L$5='Conceptos Desglosados'!$H$8,VLOOKUP($A414,servicios,2,0),IF(L$5='Conceptos Desglosados'!$H$9,VLOOKUP($A414,comyaloj,2,0),IF(L$5='Conceptos Desglosados'!$H$10,VLOOKUP($A414,comandancia,2,0),IF(L$5='Conceptos Desglosados'!$H$11,VLOOKUP($A414,mantenimiento,2,0),IF(L$5='Conceptos Desglosados'!$H$12,VLOOKUP($A414,serestatal,2,0),IF(L$5='Conceptos Desglosados'!$H$13,VLOOKUP($A414,conferencias,2,0),"")))))))))),"")*L$3,"")</f>
        <v/>
      </c>
      <c r="M414" t="str">
        <f>IFERROR(IFERROR(IF(M$5='Conceptos Desglosados'!$H$4,VLOOKUP($A414,dormitorios,2,0),IF(M$5='Conceptos Desglosados'!$H$5,VLOOKUP($A414,comedor,2,0),IF(M$5='Conceptos Desglosados'!$H$6,VLOOKUP($A414,alojamiento,2,0),IF(M$5='Conceptos Desglosados'!$H$7,VLOOKUP($A414,sanidad,2,0),IF(M$5='Conceptos Desglosados'!$H$8,VLOOKUP($A414,servicios,2,0),IF(M$5='Conceptos Desglosados'!$H$9,VLOOKUP($A414,comyaloj,2,0),IF(M$5='Conceptos Desglosados'!$H$10,VLOOKUP($A414,comandancia,2,0),IF(M$5='Conceptos Desglosados'!$H$11,VLOOKUP($A414,mantenimiento,2,0),IF(M$5='Conceptos Desglosados'!$H$12,VLOOKUP($A414,serestatal,2,0),IF(M$5='Conceptos Desglosados'!$H$13,VLOOKUP($A414,conferencias,2,0),"")))))))))),"")*M$3,"")</f>
        <v/>
      </c>
      <c r="O414">
        <f>SUM(K414:M414)</f>
        <v>6</v>
      </c>
    </row>
    <row r="415" spans="1:15" x14ac:dyDescent="0.35">
      <c r="A415">
        <v>410</v>
      </c>
      <c r="B415" t="s">
        <v>11</v>
      </c>
      <c r="C415" t="s">
        <v>101</v>
      </c>
      <c r="D415" t="s">
        <v>272</v>
      </c>
      <c r="E415" t="s">
        <v>114</v>
      </c>
      <c r="F415" t="s">
        <v>132</v>
      </c>
      <c r="G415" t="s">
        <v>9</v>
      </c>
      <c r="H415">
        <v>1.9750000000000001</v>
      </c>
      <c r="I415">
        <v>2.7149999999999999</v>
      </c>
      <c r="J415" t="s">
        <v>6</v>
      </c>
      <c r="K415" t="str">
        <f>IFERROR(IFERROR(IF(K$5='Conceptos Desglosados'!$H$4,VLOOKUP($A415,dormitorios,2,0),IF(K$5='Conceptos Desglosados'!$H$5,VLOOKUP($A415,comedor,2,0),IF(K$5='Conceptos Desglosados'!$H$6,VLOOKUP($A415,alojamiento,2,0),IF(K$5='Conceptos Desglosados'!$H$7,VLOOKUP($A415,sanidad,2,0),IF(K$5='Conceptos Desglosados'!$H$8,VLOOKUP($A415,servicios,2,0),IF(K$5='Conceptos Desglosados'!$H$9,VLOOKUP($A415,comyaloj,2,0),IF(K$5='Conceptos Desglosados'!$H$10,VLOOKUP($A415,comandancia,2,0),IF(K$5='Conceptos Desglosados'!$H$11,VLOOKUP($A415,mantenimiento,2,0),IF(K$5='Conceptos Desglosados'!$H$12,VLOOKUP($A415,serestatal,2,0),IF(K$5='Conceptos Desglosados'!$H$13,VLOOKUP($A415,conferencias,2,0),"")))))))))),"")*K$3,"")</f>
        <v/>
      </c>
      <c r="L415" t="str">
        <f>IFERROR(IFERROR(IF(L$5='Conceptos Desglosados'!$H$4,VLOOKUP($A415,dormitorios,2,0),IF(L$5='Conceptos Desglosados'!$H$5,VLOOKUP($A415,comedor,2,0),IF(L$5='Conceptos Desglosados'!$H$6,VLOOKUP($A415,alojamiento,2,0),IF(L$5='Conceptos Desglosados'!$H$7,VLOOKUP($A415,sanidad,2,0),IF(L$5='Conceptos Desglosados'!$H$8,VLOOKUP($A415,servicios,2,0),IF(L$5='Conceptos Desglosados'!$H$9,VLOOKUP($A415,comyaloj,2,0),IF(L$5='Conceptos Desglosados'!$H$10,VLOOKUP($A415,comandancia,2,0),IF(L$5='Conceptos Desglosados'!$H$11,VLOOKUP($A415,mantenimiento,2,0),IF(L$5='Conceptos Desglosados'!$H$12,VLOOKUP($A415,serestatal,2,0),IF(L$5='Conceptos Desglosados'!$H$13,VLOOKUP($A415,conferencias,2,0),"")))))))))),"")*L$3,"")</f>
        <v/>
      </c>
      <c r="M415" t="str">
        <f>IFERROR(IFERROR(IF(M$5='Conceptos Desglosados'!$H$4,VLOOKUP($A415,dormitorios,2,0),IF(M$5='Conceptos Desglosados'!$H$5,VLOOKUP($A415,comedor,2,0),IF(M$5='Conceptos Desglosados'!$H$6,VLOOKUP($A415,alojamiento,2,0),IF(M$5='Conceptos Desglosados'!$H$7,VLOOKUP($A415,sanidad,2,0),IF(M$5='Conceptos Desglosados'!$H$8,VLOOKUP($A415,servicios,2,0),IF(M$5='Conceptos Desglosados'!$H$9,VLOOKUP($A415,comyaloj,2,0),IF(M$5='Conceptos Desglosados'!$H$10,VLOOKUP($A415,comandancia,2,0),IF(M$5='Conceptos Desglosados'!$H$11,VLOOKUP($A415,mantenimiento,2,0),IF(M$5='Conceptos Desglosados'!$H$12,VLOOKUP($A415,serestatal,2,0),IF(M$5='Conceptos Desglosados'!$H$13,VLOOKUP($A415,conferencias,2,0),"")))))))))),"")*M$3,"")</f>
        <v/>
      </c>
      <c r="O415">
        <f>SUM(K415:M415)</f>
        <v>0</v>
      </c>
    </row>
    <row r="416" spans="1:15" x14ac:dyDescent="0.35">
      <c r="A416">
        <v>411</v>
      </c>
      <c r="B416" t="s">
        <v>11</v>
      </c>
      <c r="C416" t="s">
        <v>102</v>
      </c>
      <c r="D416" t="s">
        <v>273</v>
      </c>
      <c r="E416" t="s">
        <v>115</v>
      </c>
      <c r="F416" t="s">
        <v>132</v>
      </c>
      <c r="G416" t="s">
        <v>9</v>
      </c>
      <c r="H416">
        <v>1.9750000000000001</v>
      </c>
      <c r="I416">
        <v>2.7149999999999999</v>
      </c>
      <c r="J416" t="s">
        <v>6</v>
      </c>
      <c r="K416" t="str">
        <f>IFERROR(IFERROR(IF(K$5='Conceptos Desglosados'!$H$4,VLOOKUP($A416,dormitorios,2,0),IF(K$5='Conceptos Desglosados'!$H$5,VLOOKUP($A416,comedor,2,0),IF(K$5='Conceptos Desglosados'!$H$6,VLOOKUP($A416,alojamiento,2,0),IF(K$5='Conceptos Desglosados'!$H$7,VLOOKUP($A416,sanidad,2,0),IF(K$5='Conceptos Desglosados'!$H$8,VLOOKUP($A416,servicios,2,0),IF(K$5='Conceptos Desglosados'!$H$9,VLOOKUP($A416,comyaloj,2,0),IF(K$5='Conceptos Desglosados'!$H$10,VLOOKUP($A416,comandancia,2,0),IF(K$5='Conceptos Desglosados'!$H$11,VLOOKUP($A416,mantenimiento,2,0),IF(K$5='Conceptos Desglosados'!$H$12,VLOOKUP($A416,serestatal,2,0),IF(K$5='Conceptos Desglosados'!$H$13,VLOOKUP($A416,conferencias,2,0),"")))))))))),"")*K$3,"")</f>
        <v/>
      </c>
      <c r="L416" t="str">
        <f>IFERROR(IFERROR(IF(L$5='Conceptos Desglosados'!$H$4,VLOOKUP($A416,dormitorios,2,0),IF(L$5='Conceptos Desglosados'!$H$5,VLOOKUP($A416,comedor,2,0),IF(L$5='Conceptos Desglosados'!$H$6,VLOOKUP($A416,alojamiento,2,0),IF(L$5='Conceptos Desglosados'!$H$7,VLOOKUP($A416,sanidad,2,0),IF(L$5='Conceptos Desglosados'!$H$8,VLOOKUP($A416,servicios,2,0),IF(L$5='Conceptos Desglosados'!$H$9,VLOOKUP($A416,comyaloj,2,0),IF(L$5='Conceptos Desglosados'!$H$10,VLOOKUP($A416,comandancia,2,0),IF(L$5='Conceptos Desglosados'!$H$11,VLOOKUP($A416,mantenimiento,2,0),IF(L$5='Conceptos Desglosados'!$H$12,VLOOKUP($A416,serestatal,2,0),IF(L$5='Conceptos Desglosados'!$H$13,VLOOKUP($A416,conferencias,2,0),"")))))))))),"")*L$3,"")</f>
        <v/>
      </c>
      <c r="M416" t="str">
        <f>IFERROR(IFERROR(IF(M$5='Conceptos Desglosados'!$H$4,VLOOKUP($A416,dormitorios,2,0),IF(M$5='Conceptos Desglosados'!$H$5,VLOOKUP($A416,comedor,2,0),IF(M$5='Conceptos Desglosados'!$H$6,VLOOKUP($A416,alojamiento,2,0),IF(M$5='Conceptos Desglosados'!$H$7,VLOOKUP($A416,sanidad,2,0),IF(M$5='Conceptos Desglosados'!$H$8,VLOOKUP($A416,servicios,2,0),IF(M$5='Conceptos Desglosados'!$H$9,VLOOKUP($A416,comyaloj,2,0),IF(M$5='Conceptos Desglosados'!$H$10,VLOOKUP($A416,comandancia,2,0),IF(M$5='Conceptos Desglosados'!$H$11,VLOOKUP($A416,mantenimiento,2,0),IF(M$5='Conceptos Desglosados'!$H$12,VLOOKUP($A416,serestatal,2,0),IF(M$5='Conceptos Desglosados'!$H$13,VLOOKUP($A416,conferencias,2,0),"")))))))))),"")*M$3,"")</f>
        <v/>
      </c>
      <c r="O416">
        <f>SUM(K416:M416)</f>
        <v>0</v>
      </c>
    </row>
    <row r="417" spans="1:15" x14ac:dyDescent="0.35">
      <c r="A417">
        <v>412</v>
      </c>
      <c r="B417" t="s">
        <v>11</v>
      </c>
      <c r="C417" t="s">
        <v>98</v>
      </c>
      <c r="D417" t="s">
        <v>274</v>
      </c>
      <c r="E417" t="s">
        <v>332</v>
      </c>
      <c r="F417" t="s">
        <v>132</v>
      </c>
      <c r="G417" t="s">
        <v>9</v>
      </c>
      <c r="H417">
        <v>1.9750000000000001</v>
      </c>
      <c r="I417">
        <v>2.7149999999999999</v>
      </c>
      <c r="J417" t="s">
        <v>6</v>
      </c>
      <c r="K417" t="str">
        <f>IFERROR(IFERROR(IF(K$5='Conceptos Desglosados'!$H$4,VLOOKUP($A417,dormitorios,2,0),IF(K$5='Conceptos Desglosados'!$H$5,VLOOKUP($A417,comedor,2,0),IF(K$5='Conceptos Desglosados'!$H$6,VLOOKUP($A417,alojamiento,2,0),IF(K$5='Conceptos Desglosados'!$H$7,VLOOKUP($A417,sanidad,2,0),IF(K$5='Conceptos Desglosados'!$H$8,VLOOKUP($A417,servicios,2,0),IF(K$5='Conceptos Desglosados'!$H$9,VLOOKUP($A417,comyaloj,2,0),IF(K$5='Conceptos Desglosados'!$H$10,VLOOKUP($A417,comandancia,2,0),IF(K$5='Conceptos Desglosados'!$H$11,VLOOKUP($A417,mantenimiento,2,0),IF(K$5='Conceptos Desglosados'!$H$12,VLOOKUP($A417,serestatal,2,0),IF(K$5='Conceptos Desglosados'!$H$13,VLOOKUP($A417,conferencias,2,0),"")))))))))),"")*K$3,"")</f>
        <v/>
      </c>
      <c r="L417" t="str">
        <f>IFERROR(IFERROR(IF(L$5='Conceptos Desglosados'!$H$4,VLOOKUP($A417,dormitorios,2,0),IF(L$5='Conceptos Desglosados'!$H$5,VLOOKUP($A417,comedor,2,0),IF(L$5='Conceptos Desglosados'!$H$6,VLOOKUP($A417,alojamiento,2,0),IF(L$5='Conceptos Desglosados'!$H$7,VLOOKUP($A417,sanidad,2,0),IF(L$5='Conceptos Desglosados'!$H$8,VLOOKUP($A417,servicios,2,0),IF(L$5='Conceptos Desglosados'!$H$9,VLOOKUP($A417,comyaloj,2,0),IF(L$5='Conceptos Desglosados'!$H$10,VLOOKUP($A417,comandancia,2,0),IF(L$5='Conceptos Desglosados'!$H$11,VLOOKUP($A417,mantenimiento,2,0),IF(L$5='Conceptos Desglosados'!$H$12,VLOOKUP($A417,serestatal,2,0),IF(L$5='Conceptos Desglosados'!$H$13,VLOOKUP($A417,conferencias,2,0),"")))))))))),"")*L$3,"")</f>
        <v/>
      </c>
      <c r="M417" t="str">
        <f>IFERROR(IFERROR(IF(M$5='Conceptos Desglosados'!$H$4,VLOOKUP($A417,dormitorios,2,0),IF(M$5='Conceptos Desglosados'!$H$5,VLOOKUP($A417,comedor,2,0),IF(M$5='Conceptos Desglosados'!$H$6,VLOOKUP($A417,alojamiento,2,0),IF(M$5='Conceptos Desglosados'!$H$7,VLOOKUP($A417,sanidad,2,0),IF(M$5='Conceptos Desglosados'!$H$8,VLOOKUP($A417,servicios,2,0),IF(M$5='Conceptos Desglosados'!$H$9,VLOOKUP($A417,comyaloj,2,0),IF(M$5='Conceptos Desglosados'!$H$10,VLOOKUP($A417,comandancia,2,0),IF(M$5='Conceptos Desglosados'!$H$11,VLOOKUP($A417,mantenimiento,2,0),IF(M$5='Conceptos Desglosados'!$H$12,VLOOKUP($A417,serestatal,2,0),IF(M$5='Conceptos Desglosados'!$H$13,VLOOKUP($A417,conferencias,2,0),"")))))))))),"")*M$3,"")</f>
        <v/>
      </c>
      <c r="O417">
        <f>SUM(K417:M417)</f>
        <v>0</v>
      </c>
    </row>
    <row r="418" spans="1:15" x14ac:dyDescent="0.35">
      <c r="A418">
        <v>413</v>
      </c>
      <c r="B418" t="s">
        <v>11</v>
      </c>
      <c r="C418" t="s">
        <v>512</v>
      </c>
      <c r="D418" t="s">
        <v>513</v>
      </c>
      <c r="E418" t="s">
        <v>332</v>
      </c>
      <c r="F418" t="s">
        <v>704</v>
      </c>
      <c r="G418" t="s">
        <v>9</v>
      </c>
      <c r="H418">
        <v>1.9750000000000001</v>
      </c>
      <c r="I418">
        <v>2.7149999999999999</v>
      </c>
      <c r="J418" t="s">
        <v>6</v>
      </c>
      <c r="K418" t="str">
        <f>IFERROR(IFERROR(IF(K$5='Conceptos Desglosados'!$H$4,VLOOKUP($A418,dormitorios,2,0),IF(K$5='Conceptos Desglosados'!$H$5,VLOOKUP($A418,comedor,2,0),IF(K$5='Conceptos Desglosados'!$H$6,VLOOKUP($A418,alojamiento,2,0),IF(K$5='Conceptos Desglosados'!$H$7,VLOOKUP($A418,sanidad,2,0),IF(K$5='Conceptos Desglosados'!$H$8,VLOOKUP($A418,servicios,2,0),IF(K$5='Conceptos Desglosados'!$H$9,VLOOKUP($A418,comyaloj,2,0),IF(K$5='Conceptos Desglosados'!$H$10,VLOOKUP($A418,comandancia,2,0),IF(K$5='Conceptos Desglosados'!$H$11,VLOOKUP($A418,mantenimiento,2,0),IF(K$5='Conceptos Desglosados'!$H$12,VLOOKUP($A418,serestatal,2,0),IF(K$5='Conceptos Desglosados'!$H$13,VLOOKUP($A418,conferencias,2,0),"")))))))))),"")*K$3,"")</f>
        <v/>
      </c>
      <c r="L418" t="str">
        <f>IFERROR(IFERROR(IF(L$5='Conceptos Desglosados'!$H$4,VLOOKUP($A418,dormitorios,2,0),IF(L$5='Conceptos Desglosados'!$H$5,VLOOKUP($A418,comedor,2,0),IF(L$5='Conceptos Desglosados'!$H$6,VLOOKUP($A418,alojamiento,2,0),IF(L$5='Conceptos Desglosados'!$H$7,VLOOKUP($A418,sanidad,2,0),IF(L$5='Conceptos Desglosados'!$H$8,VLOOKUP($A418,servicios,2,0),IF(L$5='Conceptos Desglosados'!$H$9,VLOOKUP($A418,comyaloj,2,0),IF(L$5='Conceptos Desglosados'!$H$10,VLOOKUP($A418,comandancia,2,0),IF(L$5='Conceptos Desglosados'!$H$11,VLOOKUP($A418,mantenimiento,2,0),IF(L$5='Conceptos Desglosados'!$H$12,VLOOKUP($A418,serestatal,2,0),IF(L$5='Conceptos Desglosados'!$H$13,VLOOKUP($A418,conferencias,2,0),"")))))))))),"")*L$3,"")</f>
        <v/>
      </c>
      <c r="M418" t="str">
        <f>IFERROR(IFERROR(IF(M$5='Conceptos Desglosados'!$H$4,VLOOKUP($A418,dormitorios,2,0),IF(M$5='Conceptos Desglosados'!$H$5,VLOOKUP($A418,comedor,2,0),IF(M$5='Conceptos Desglosados'!$H$6,VLOOKUP($A418,alojamiento,2,0),IF(M$5='Conceptos Desglosados'!$H$7,VLOOKUP($A418,sanidad,2,0),IF(M$5='Conceptos Desglosados'!$H$8,VLOOKUP($A418,servicios,2,0),IF(M$5='Conceptos Desglosados'!$H$9,VLOOKUP($A418,comyaloj,2,0),IF(M$5='Conceptos Desglosados'!$H$10,VLOOKUP($A418,comandancia,2,0),IF(M$5='Conceptos Desglosados'!$H$11,VLOOKUP($A418,mantenimiento,2,0),IF(M$5='Conceptos Desglosados'!$H$12,VLOOKUP($A418,serestatal,2,0),IF(M$5='Conceptos Desglosados'!$H$13,VLOOKUP($A418,conferencias,2,0),"")))))))))),"")*M$3,"")</f>
        <v/>
      </c>
      <c r="O418">
        <f>SUM(K418:M418)</f>
        <v>0</v>
      </c>
    </row>
    <row r="419" spans="1:15" x14ac:dyDescent="0.35">
      <c r="A419">
        <v>414</v>
      </c>
      <c r="B419" t="s">
        <v>11</v>
      </c>
      <c r="C419" t="s">
        <v>571</v>
      </c>
      <c r="D419" t="s">
        <v>572</v>
      </c>
      <c r="E419" t="s">
        <v>573</v>
      </c>
      <c r="F419" t="s">
        <v>132</v>
      </c>
      <c r="G419" t="s">
        <v>9</v>
      </c>
      <c r="H419">
        <v>1.9750000000000001</v>
      </c>
      <c r="I419">
        <v>2.7149999999999999</v>
      </c>
      <c r="J419" t="s">
        <v>6</v>
      </c>
      <c r="K419" t="str">
        <f>IFERROR(IFERROR(IF(K$5='Conceptos Desglosados'!$H$4,VLOOKUP($A419,dormitorios,2,0),IF(K$5='Conceptos Desglosados'!$H$5,VLOOKUP($A419,comedor,2,0),IF(K$5='Conceptos Desglosados'!$H$6,VLOOKUP($A419,alojamiento,2,0),IF(K$5='Conceptos Desglosados'!$H$7,VLOOKUP($A419,sanidad,2,0),IF(K$5='Conceptos Desglosados'!$H$8,VLOOKUP($A419,servicios,2,0),IF(K$5='Conceptos Desglosados'!$H$9,VLOOKUP($A419,comyaloj,2,0),IF(K$5='Conceptos Desglosados'!$H$10,VLOOKUP($A419,comandancia,2,0),IF(K$5='Conceptos Desglosados'!$H$11,VLOOKUP($A419,mantenimiento,2,0),IF(K$5='Conceptos Desglosados'!$H$12,VLOOKUP($A419,serestatal,2,0),IF(K$5='Conceptos Desglosados'!$H$13,VLOOKUP($A419,conferencias,2,0),"")))))))))),"")*K$3,"")</f>
        <v/>
      </c>
      <c r="L419" t="str">
        <f>IFERROR(IFERROR(IF(L$5='Conceptos Desglosados'!$H$4,VLOOKUP($A419,dormitorios,2,0),IF(L$5='Conceptos Desglosados'!$H$5,VLOOKUP($A419,comedor,2,0),IF(L$5='Conceptos Desglosados'!$H$6,VLOOKUP($A419,alojamiento,2,0),IF(L$5='Conceptos Desglosados'!$H$7,VLOOKUP($A419,sanidad,2,0),IF(L$5='Conceptos Desglosados'!$H$8,VLOOKUP($A419,servicios,2,0),IF(L$5='Conceptos Desglosados'!$H$9,VLOOKUP($A419,comyaloj,2,0),IF(L$5='Conceptos Desglosados'!$H$10,VLOOKUP($A419,comandancia,2,0),IF(L$5='Conceptos Desglosados'!$H$11,VLOOKUP($A419,mantenimiento,2,0),IF(L$5='Conceptos Desglosados'!$H$12,VLOOKUP($A419,serestatal,2,0),IF(L$5='Conceptos Desglosados'!$H$13,VLOOKUP($A419,conferencias,2,0),"")))))))))),"")*L$3,"")</f>
        <v/>
      </c>
      <c r="M419" t="str">
        <f>IFERROR(IFERROR(IF(M$5='Conceptos Desglosados'!$H$4,VLOOKUP($A419,dormitorios,2,0),IF(M$5='Conceptos Desglosados'!$H$5,VLOOKUP($A419,comedor,2,0),IF(M$5='Conceptos Desglosados'!$H$6,VLOOKUP($A419,alojamiento,2,0),IF(M$5='Conceptos Desglosados'!$H$7,VLOOKUP($A419,sanidad,2,0),IF(M$5='Conceptos Desglosados'!$H$8,VLOOKUP($A419,servicios,2,0),IF(M$5='Conceptos Desglosados'!$H$9,VLOOKUP($A419,comyaloj,2,0),IF(M$5='Conceptos Desglosados'!$H$10,VLOOKUP($A419,comandancia,2,0),IF(M$5='Conceptos Desglosados'!$H$11,VLOOKUP($A419,mantenimiento,2,0),IF(M$5='Conceptos Desglosados'!$H$12,VLOOKUP($A419,serestatal,2,0),IF(M$5='Conceptos Desglosados'!$H$13,VLOOKUP($A419,conferencias,2,0),"")))))))))),"")*M$3,"")</f>
        <v/>
      </c>
      <c r="O419">
        <f>SUM(K419:M419)</f>
        <v>0</v>
      </c>
    </row>
    <row r="420" spans="1:15" x14ac:dyDescent="0.35">
      <c r="A420">
        <v>415</v>
      </c>
      <c r="B420" t="s">
        <v>11</v>
      </c>
      <c r="C420" t="s">
        <v>606</v>
      </c>
      <c r="D420" t="s">
        <v>607</v>
      </c>
      <c r="E420" t="s">
        <v>114</v>
      </c>
      <c r="F420" t="s">
        <v>704</v>
      </c>
      <c r="G420" t="s">
        <v>9</v>
      </c>
      <c r="H420">
        <v>1.9750000000000001</v>
      </c>
      <c r="I420">
        <v>2.7149999999999999</v>
      </c>
      <c r="J420" t="s">
        <v>6</v>
      </c>
      <c r="K420" t="str">
        <f>IFERROR(IFERROR(IF(K$5='Conceptos Desglosados'!$H$4,VLOOKUP($A420,dormitorios,2,0),IF(K$5='Conceptos Desglosados'!$H$5,VLOOKUP($A420,comedor,2,0),IF(K$5='Conceptos Desglosados'!$H$6,VLOOKUP($A420,alojamiento,2,0),IF(K$5='Conceptos Desglosados'!$H$7,VLOOKUP($A420,sanidad,2,0),IF(K$5='Conceptos Desglosados'!$H$8,VLOOKUP($A420,servicios,2,0),IF(K$5='Conceptos Desglosados'!$H$9,VLOOKUP($A420,comyaloj,2,0),IF(K$5='Conceptos Desglosados'!$H$10,VLOOKUP($A420,comandancia,2,0),IF(K$5='Conceptos Desglosados'!$H$11,VLOOKUP($A420,mantenimiento,2,0),IF(K$5='Conceptos Desglosados'!$H$12,VLOOKUP($A420,serestatal,2,0),IF(K$5='Conceptos Desglosados'!$H$13,VLOOKUP($A420,conferencias,2,0),"")))))))))),"")*K$3,"")</f>
        <v/>
      </c>
      <c r="L420" t="str">
        <f>IFERROR(IFERROR(IF(L$5='Conceptos Desglosados'!$H$4,VLOOKUP($A420,dormitorios,2,0),IF(L$5='Conceptos Desglosados'!$H$5,VLOOKUP($A420,comedor,2,0),IF(L$5='Conceptos Desglosados'!$H$6,VLOOKUP($A420,alojamiento,2,0),IF(L$5='Conceptos Desglosados'!$H$7,VLOOKUP($A420,sanidad,2,0),IF(L$5='Conceptos Desglosados'!$H$8,VLOOKUP($A420,servicios,2,0),IF(L$5='Conceptos Desglosados'!$H$9,VLOOKUP($A420,comyaloj,2,0),IF(L$5='Conceptos Desglosados'!$H$10,VLOOKUP($A420,comandancia,2,0),IF(L$5='Conceptos Desglosados'!$H$11,VLOOKUP($A420,mantenimiento,2,0),IF(L$5='Conceptos Desglosados'!$H$12,VLOOKUP($A420,serestatal,2,0),IF(L$5='Conceptos Desglosados'!$H$13,VLOOKUP($A420,conferencias,2,0),"")))))))))),"")*L$3,"")</f>
        <v/>
      </c>
      <c r="M420" t="str">
        <f>IFERROR(IFERROR(IF(M$5='Conceptos Desglosados'!$H$4,VLOOKUP($A420,dormitorios,2,0),IF(M$5='Conceptos Desglosados'!$H$5,VLOOKUP($A420,comedor,2,0),IF(M$5='Conceptos Desglosados'!$H$6,VLOOKUP($A420,alojamiento,2,0),IF(M$5='Conceptos Desglosados'!$H$7,VLOOKUP($A420,sanidad,2,0),IF(M$5='Conceptos Desglosados'!$H$8,VLOOKUP($A420,servicios,2,0),IF(M$5='Conceptos Desglosados'!$H$9,VLOOKUP($A420,comyaloj,2,0),IF(M$5='Conceptos Desglosados'!$H$10,VLOOKUP($A420,comandancia,2,0),IF(M$5='Conceptos Desglosados'!$H$11,VLOOKUP($A420,mantenimiento,2,0),IF(M$5='Conceptos Desglosados'!$H$12,VLOOKUP($A420,serestatal,2,0),IF(M$5='Conceptos Desglosados'!$H$13,VLOOKUP($A420,conferencias,2,0),"")))))))))),"")*M$3,"")</f>
        <v/>
      </c>
      <c r="O420">
        <f>SUM(K420:M420)</f>
        <v>0</v>
      </c>
    </row>
    <row r="421" spans="1:15" x14ac:dyDescent="0.35">
      <c r="A421">
        <v>416</v>
      </c>
      <c r="B421" t="s">
        <v>11</v>
      </c>
      <c r="C421" t="s">
        <v>702</v>
      </c>
      <c r="D421" t="s">
        <v>703</v>
      </c>
      <c r="E421" t="s">
        <v>115</v>
      </c>
      <c r="F421" t="s">
        <v>704</v>
      </c>
      <c r="G421" t="s">
        <v>9</v>
      </c>
      <c r="H421">
        <v>1.9750000000000001</v>
      </c>
      <c r="I421">
        <v>2.7149999999999999</v>
      </c>
      <c r="J421" t="s">
        <v>6</v>
      </c>
      <c r="K421" t="str">
        <f>IFERROR(IFERROR(IF(K$5='Conceptos Desglosados'!$H$4,VLOOKUP($A421,dormitorios,2,0),IF(K$5='Conceptos Desglosados'!$H$5,VLOOKUP($A421,comedor,2,0),IF(K$5='Conceptos Desglosados'!$H$6,VLOOKUP($A421,alojamiento,2,0),IF(K$5='Conceptos Desglosados'!$H$7,VLOOKUP($A421,sanidad,2,0),IF(K$5='Conceptos Desglosados'!$H$8,VLOOKUP($A421,servicios,2,0),IF(K$5='Conceptos Desglosados'!$H$9,VLOOKUP($A421,comyaloj,2,0),IF(K$5='Conceptos Desglosados'!$H$10,VLOOKUP($A421,comandancia,2,0),IF(K$5='Conceptos Desglosados'!$H$11,VLOOKUP($A421,mantenimiento,2,0),IF(K$5='Conceptos Desglosados'!$H$12,VLOOKUP($A421,serestatal,2,0),IF(K$5='Conceptos Desglosados'!$H$13,VLOOKUP($A421,conferencias,2,0),"")))))))))),"")*K$3,"")</f>
        <v/>
      </c>
      <c r="L421" t="str">
        <f>IFERROR(IFERROR(IF(L$5='Conceptos Desglosados'!$H$4,VLOOKUP($A421,dormitorios,2,0),IF(L$5='Conceptos Desglosados'!$H$5,VLOOKUP($A421,comedor,2,0),IF(L$5='Conceptos Desglosados'!$H$6,VLOOKUP($A421,alojamiento,2,0),IF(L$5='Conceptos Desglosados'!$H$7,VLOOKUP($A421,sanidad,2,0),IF(L$5='Conceptos Desglosados'!$H$8,VLOOKUP($A421,servicios,2,0),IF(L$5='Conceptos Desglosados'!$H$9,VLOOKUP($A421,comyaloj,2,0),IF(L$5='Conceptos Desglosados'!$H$10,VLOOKUP($A421,comandancia,2,0),IF(L$5='Conceptos Desglosados'!$H$11,VLOOKUP($A421,mantenimiento,2,0),IF(L$5='Conceptos Desglosados'!$H$12,VLOOKUP($A421,serestatal,2,0),IF(L$5='Conceptos Desglosados'!$H$13,VLOOKUP($A421,conferencias,2,0),"")))))))))),"")*L$3,"")</f>
        <v/>
      </c>
      <c r="M421" t="str">
        <f>IFERROR(IFERROR(IF(M$5='Conceptos Desglosados'!$H$4,VLOOKUP($A421,dormitorios,2,0),IF(M$5='Conceptos Desglosados'!$H$5,VLOOKUP($A421,comedor,2,0),IF(M$5='Conceptos Desglosados'!$H$6,VLOOKUP($A421,alojamiento,2,0),IF(M$5='Conceptos Desglosados'!$H$7,VLOOKUP($A421,sanidad,2,0),IF(M$5='Conceptos Desglosados'!$H$8,VLOOKUP($A421,servicios,2,0),IF(M$5='Conceptos Desglosados'!$H$9,VLOOKUP($A421,comyaloj,2,0),IF(M$5='Conceptos Desglosados'!$H$10,VLOOKUP($A421,comandancia,2,0),IF(M$5='Conceptos Desglosados'!$H$11,VLOOKUP($A421,mantenimiento,2,0),IF(M$5='Conceptos Desglosados'!$H$12,VLOOKUP($A421,serestatal,2,0),IF(M$5='Conceptos Desglosados'!$H$13,VLOOKUP($A421,conferencias,2,0),"")))))))))),"")*M$3,"")</f>
        <v/>
      </c>
      <c r="O421">
        <f>SUM(K421:M421)</f>
        <v>0</v>
      </c>
    </row>
    <row r="422" spans="1:15" x14ac:dyDescent="0.35">
      <c r="A422">
        <v>417</v>
      </c>
      <c r="B422" t="s">
        <v>11</v>
      </c>
      <c r="C422" t="s">
        <v>977</v>
      </c>
      <c r="D422" t="s">
        <v>978</v>
      </c>
      <c r="E422" t="s">
        <v>1101</v>
      </c>
      <c r="F422" t="s">
        <v>965</v>
      </c>
      <c r="G422" t="s">
        <v>9</v>
      </c>
      <c r="H422">
        <v>1.9750000000000001</v>
      </c>
      <c r="I422">
        <v>2.7149999999999999</v>
      </c>
      <c r="J422" t="s">
        <v>6</v>
      </c>
      <c r="K422" t="str">
        <f>IFERROR(IFERROR(IF(K$5='Conceptos Desglosados'!$H$4,VLOOKUP($A422,dormitorios,2,0),IF(K$5='Conceptos Desglosados'!$H$5,VLOOKUP($A422,comedor,2,0),IF(K$5='Conceptos Desglosados'!$H$6,VLOOKUP($A422,alojamiento,2,0),IF(K$5='Conceptos Desglosados'!$H$7,VLOOKUP($A422,sanidad,2,0),IF(K$5='Conceptos Desglosados'!$H$8,VLOOKUP($A422,servicios,2,0),IF(K$5='Conceptos Desglosados'!$H$9,VLOOKUP($A422,comyaloj,2,0),IF(K$5='Conceptos Desglosados'!$H$10,VLOOKUP($A422,comandancia,2,0),IF(K$5='Conceptos Desglosados'!$H$11,VLOOKUP($A422,mantenimiento,2,0),IF(K$5='Conceptos Desglosados'!$H$12,VLOOKUP($A422,serestatal,2,0),IF(K$5='Conceptos Desglosados'!$H$13,VLOOKUP($A422,conferencias,2,0),"")))))))))),"")*K$3,"")</f>
        <v/>
      </c>
      <c r="L422" t="str">
        <f>IFERROR(IFERROR(IF(L$5='Conceptos Desglosados'!$H$4,VLOOKUP($A422,dormitorios,2,0),IF(L$5='Conceptos Desglosados'!$H$5,VLOOKUP($A422,comedor,2,0),IF(L$5='Conceptos Desglosados'!$H$6,VLOOKUP($A422,alojamiento,2,0),IF(L$5='Conceptos Desglosados'!$H$7,VLOOKUP($A422,sanidad,2,0),IF(L$5='Conceptos Desglosados'!$H$8,VLOOKUP($A422,servicios,2,0),IF(L$5='Conceptos Desglosados'!$H$9,VLOOKUP($A422,comyaloj,2,0),IF(L$5='Conceptos Desglosados'!$H$10,VLOOKUP($A422,comandancia,2,0),IF(L$5='Conceptos Desglosados'!$H$11,VLOOKUP($A422,mantenimiento,2,0),IF(L$5='Conceptos Desglosados'!$H$12,VLOOKUP($A422,serestatal,2,0),IF(L$5='Conceptos Desglosados'!$H$13,VLOOKUP($A422,conferencias,2,0),"")))))))))),"")*L$3,"")</f>
        <v/>
      </c>
      <c r="M422" t="str">
        <f>IFERROR(IFERROR(IF(M$5='Conceptos Desglosados'!$H$4,VLOOKUP($A422,dormitorios,2,0),IF(M$5='Conceptos Desglosados'!$H$5,VLOOKUP($A422,comedor,2,0),IF(M$5='Conceptos Desglosados'!$H$6,VLOOKUP($A422,alojamiento,2,0),IF(M$5='Conceptos Desglosados'!$H$7,VLOOKUP($A422,sanidad,2,0),IF(M$5='Conceptos Desglosados'!$H$8,VLOOKUP($A422,servicios,2,0),IF(M$5='Conceptos Desglosados'!$H$9,VLOOKUP($A422,comyaloj,2,0),IF(M$5='Conceptos Desglosados'!$H$10,VLOOKUP($A422,comandancia,2,0),IF(M$5='Conceptos Desglosados'!$H$11,VLOOKUP($A422,mantenimiento,2,0),IF(M$5='Conceptos Desglosados'!$H$12,VLOOKUP($A422,serestatal,2,0),IF(M$5='Conceptos Desglosados'!$H$13,VLOOKUP($A422,conferencias,2,0),"")))))))))),"")*M$3,"")</f>
        <v/>
      </c>
      <c r="O422">
        <f>SUM(K422:M422)</f>
        <v>0</v>
      </c>
    </row>
    <row r="423" spans="1:15" x14ac:dyDescent="0.35">
      <c r="A423">
        <v>418</v>
      </c>
      <c r="B423" t="s">
        <v>11</v>
      </c>
      <c r="C423" t="s">
        <v>1138</v>
      </c>
      <c r="D423" t="s">
        <v>1139</v>
      </c>
      <c r="E423" t="s">
        <v>989</v>
      </c>
      <c r="F423" t="s">
        <v>965</v>
      </c>
      <c r="G423" t="s">
        <v>9</v>
      </c>
      <c r="H423">
        <v>1.978</v>
      </c>
      <c r="I423">
        <v>2.7149999999999999</v>
      </c>
      <c r="J423" t="s">
        <v>6</v>
      </c>
      <c r="K423">
        <f>IFERROR(IFERROR(IF(K$5='Conceptos Desglosados'!$H$4,VLOOKUP($A423,dormitorios,2,0),IF(K$5='Conceptos Desglosados'!$H$5,VLOOKUP($A423,comedor,2,0),IF(K$5='Conceptos Desglosados'!$H$6,VLOOKUP($A423,alojamiento,2,0),IF(K$5='Conceptos Desglosados'!$H$7,VLOOKUP($A423,sanidad,2,0),IF(K$5='Conceptos Desglosados'!$H$8,VLOOKUP($A423,servicios,2,0),IF(K$5='Conceptos Desglosados'!$H$9,VLOOKUP($A423,comyaloj,2,0),IF(K$5='Conceptos Desglosados'!$H$10,VLOOKUP($A423,comandancia,2,0),IF(K$5='Conceptos Desglosados'!$H$11,VLOOKUP($A423,mantenimiento,2,0),IF(K$5='Conceptos Desglosados'!$H$12,VLOOKUP($A423,serestatal,2,0),IF(K$5='Conceptos Desglosados'!$H$13,VLOOKUP($A423,conferencias,2,0),"")))))))))),"")*K$3,"")</f>
        <v>6</v>
      </c>
      <c r="L423">
        <f>IFERROR(IFERROR(IF(L$5='Conceptos Desglosados'!$H$4,VLOOKUP($A423,dormitorios,2,0),IF(L$5='Conceptos Desglosados'!$H$5,VLOOKUP($A423,comedor,2,0),IF(L$5='Conceptos Desglosados'!$H$6,VLOOKUP($A423,alojamiento,2,0),IF(L$5='Conceptos Desglosados'!$H$7,VLOOKUP($A423,sanidad,2,0),IF(L$5='Conceptos Desglosados'!$H$8,VLOOKUP($A423,servicios,2,0),IF(L$5='Conceptos Desglosados'!$H$9,VLOOKUP($A423,comyaloj,2,0),IF(L$5='Conceptos Desglosados'!$H$10,VLOOKUP($A423,comandancia,2,0),IF(L$5='Conceptos Desglosados'!$H$11,VLOOKUP($A423,mantenimiento,2,0),IF(L$5='Conceptos Desglosados'!$H$12,VLOOKUP($A423,serestatal,2,0),IF(L$5='Conceptos Desglosados'!$H$13,VLOOKUP($A423,conferencias,2,0),"")))))))))),"")*L$3,"")</f>
        <v>4</v>
      </c>
      <c r="M423">
        <f>IFERROR(IFERROR(IF(M$5='Conceptos Desglosados'!$H$4,VLOOKUP($A423,dormitorios,2,0),IF(M$5='Conceptos Desglosados'!$H$5,VLOOKUP($A423,comedor,2,0),IF(M$5='Conceptos Desglosados'!$H$6,VLOOKUP($A423,alojamiento,2,0),IF(M$5='Conceptos Desglosados'!$H$7,VLOOKUP($A423,sanidad,2,0),IF(M$5='Conceptos Desglosados'!$H$8,VLOOKUP($A423,servicios,2,0),IF(M$5='Conceptos Desglosados'!$H$9,VLOOKUP($A423,comyaloj,2,0),IF(M$5='Conceptos Desglosados'!$H$10,VLOOKUP($A423,comandancia,2,0),IF(M$5='Conceptos Desglosados'!$H$11,VLOOKUP($A423,mantenimiento,2,0),IF(M$5='Conceptos Desglosados'!$H$12,VLOOKUP($A423,serestatal,2,0),IF(M$5='Conceptos Desglosados'!$H$13,VLOOKUP($A423,conferencias,2,0),"")))))))))),"")*M$3,"")</f>
        <v>4</v>
      </c>
      <c r="O423">
        <f>SUM(K423:M423)</f>
        <v>14</v>
      </c>
    </row>
    <row r="424" spans="1:15" x14ac:dyDescent="0.35">
      <c r="A424">
        <v>419</v>
      </c>
      <c r="B424" t="s">
        <v>11</v>
      </c>
      <c r="C424" t="s">
        <v>1136</v>
      </c>
      <c r="D424" t="s">
        <v>1137</v>
      </c>
      <c r="E424" t="s">
        <v>1140</v>
      </c>
      <c r="F424" t="s">
        <v>965</v>
      </c>
      <c r="G424" t="s">
        <v>9</v>
      </c>
      <c r="H424">
        <v>1.9750000000000001</v>
      </c>
      <c r="I424">
        <v>4.3179999999999996</v>
      </c>
      <c r="J424" t="s">
        <v>6</v>
      </c>
      <c r="K424" t="str">
        <f>IFERROR(IFERROR(IF(K$5='Conceptos Desglosados'!$H$4,VLOOKUP($A424,dormitorios,2,0),IF(K$5='Conceptos Desglosados'!$H$5,VLOOKUP($A424,comedor,2,0),IF(K$5='Conceptos Desglosados'!$H$6,VLOOKUP($A424,alojamiento,2,0),IF(K$5='Conceptos Desglosados'!$H$7,VLOOKUP($A424,sanidad,2,0),IF(K$5='Conceptos Desglosados'!$H$8,VLOOKUP($A424,servicios,2,0),IF(K$5='Conceptos Desglosados'!$H$9,VLOOKUP($A424,comyaloj,2,0),IF(K$5='Conceptos Desglosados'!$H$10,VLOOKUP($A424,comandancia,2,0),IF(K$5='Conceptos Desglosados'!$H$11,VLOOKUP($A424,mantenimiento,2,0),IF(K$5='Conceptos Desglosados'!$H$12,VLOOKUP($A424,serestatal,2,0),IF(K$5='Conceptos Desglosados'!$H$13,VLOOKUP($A424,conferencias,2,0),"")))))))))),"")*K$3,"")</f>
        <v/>
      </c>
      <c r="L424" t="str">
        <f>IFERROR(IFERROR(IF(L$5='Conceptos Desglosados'!$H$4,VLOOKUP($A424,dormitorios,2,0),IF(L$5='Conceptos Desglosados'!$H$5,VLOOKUP($A424,comedor,2,0),IF(L$5='Conceptos Desglosados'!$H$6,VLOOKUP($A424,alojamiento,2,0),IF(L$5='Conceptos Desglosados'!$H$7,VLOOKUP($A424,sanidad,2,0),IF(L$5='Conceptos Desglosados'!$H$8,VLOOKUP($A424,servicios,2,0),IF(L$5='Conceptos Desglosados'!$H$9,VLOOKUP($A424,comyaloj,2,0),IF(L$5='Conceptos Desglosados'!$H$10,VLOOKUP($A424,comandancia,2,0),IF(L$5='Conceptos Desglosados'!$H$11,VLOOKUP($A424,mantenimiento,2,0),IF(L$5='Conceptos Desglosados'!$H$12,VLOOKUP($A424,serestatal,2,0),IF(L$5='Conceptos Desglosados'!$H$13,VLOOKUP($A424,conferencias,2,0),"")))))))))),"")*L$3,"")</f>
        <v/>
      </c>
      <c r="M424" t="str">
        <f>IFERROR(IFERROR(IF(M$5='Conceptos Desglosados'!$H$4,VLOOKUP($A424,dormitorios,2,0),IF(M$5='Conceptos Desglosados'!$H$5,VLOOKUP($A424,comedor,2,0),IF(M$5='Conceptos Desglosados'!$H$6,VLOOKUP($A424,alojamiento,2,0),IF(M$5='Conceptos Desglosados'!$H$7,VLOOKUP($A424,sanidad,2,0),IF(M$5='Conceptos Desglosados'!$H$8,VLOOKUP($A424,servicios,2,0),IF(M$5='Conceptos Desglosados'!$H$9,VLOOKUP($A424,comyaloj,2,0),IF(M$5='Conceptos Desglosados'!$H$10,VLOOKUP($A424,comandancia,2,0),IF(M$5='Conceptos Desglosados'!$H$11,VLOOKUP($A424,mantenimiento,2,0),IF(M$5='Conceptos Desglosados'!$H$12,VLOOKUP($A424,serestatal,2,0),IF(M$5='Conceptos Desglosados'!$H$13,VLOOKUP($A424,conferencias,2,0),"")))))))))),"")*M$3,"")</f>
        <v/>
      </c>
      <c r="O424">
        <f>SUM(K424:M424)</f>
        <v>0</v>
      </c>
    </row>
    <row r="425" spans="1:15" x14ac:dyDescent="0.35">
      <c r="A425">
        <v>420</v>
      </c>
      <c r="B425" t="s">
        <v>11</v>
      </c>
      <c r="C425" t="s">
        <v>1279</v>
      </c>
      <c r="D425" t="s">
        <v>1280</v>
      </c>
      <c r="E425" t="s">
        <v>1281</v>
      </c>
      <c r="F425" t="s">
        <v>965</v>
      </c>
      <c r="G425" t="s">
        <v>9</v>
      </c>
      <c r="H425">
        <v>1.9750000000000001</v>
      </c>
      <c r="I425">
        <v>2.7149999999999999</v>
      </c>
      <c r="J425" t="s">
        <v>6</v>
      </c>
      <c r="K425" t="str">
        <f>IFERROR(IFERROR(IF(K$5='Conceptos Desglosados'!$H$4,VLOOKUP($A425,dormitorios,2,0),IF(K$5='Conceptos Desglosados'!$H$5,VLOOKUP($A425,comedor,2,0),IF(K$5='Conceptos Desglosados'!$H$6,VLOOKUP($A425,alojamiento,2,0),IF(K$5='Conceptos Desglosados'!$H$7,VLOOKUP($A425,sanidad,2,0),IF(K$5='Conceptos Desglosados'!$H$8,VLOOKUP($A425,servicios,2,0),IF(K$5='Conceptos Desglosados'!$H$9,VLOOKUP($A425,comyaloj,2,0),IF(K$5='Conceptos Desglosados'!$H$10,VLOOKUP($A425,comandancia,2,0),IF(K$5='Conceptos Desglosados'!$H$11,VLOOKUP($A425,mantenimiento,2,0),IF(K$5='Conceptos Desglosados'!$H$12,VLOOKUP($A425,serestatal,2,0),IF(K$5='Conceptos Desglosados'!$H$13,VLOOKUP($A425,conferencias,2,0),"")))))))))),"")*K$3,"")</f>
        <v/>
      </c>
      <c r="L425" t="str">
        <f>IFERROR(IFERROR(IF(L$5='Conceptos Desglosados'!$H$4,VLOOKUP($A425,dormitorios,2,0),IF(L$5='Conceptos Desglosados'!$H$5,VLOOKUP($A425,comedor,2,0),IF(L$5='Conceptos Desglosados'!$H$6,VLOOKUP($A425,alojamiento,2,0),IF(L$5='Conceptos Desglosados'!$H$7,VLOOKUP($A425,sanidad,2,0),IF(L$5='Conceptos Desglosados'!$H$8,VLOOKUP($A425,servicios,2,0),IF(L$5='Conceptos Desglosados'!$H$9,VLOOKUP($A425,comyaloj,2,0),IF(L$5='Conceptos Desglosados'!$H$10,VLOOKUP($A425,comandancia,2,0),IF(L$5='Conceptos Desglosados'!$H$11,VLOOKUP($A425,mantenimiento,2,0),IF(L$5='Conceptos Desglosados'!$H$12,VLOOKUP($A425,serestatal,2,0),IF(L$5='Conceptos Desglosados'!$H$13,VLOOKUP($A425,conferencias,2,0),"")))))))))),"")*L$3,"")</f>
        <v/>
      </c>
      <c r="M425" t="str">
        <f>IFERROR(IFERROR(IF(M$5='Conceptos Desglosados'!$H$4,VLOOKUP($A425,dormitorios,2,0),IF(M$5='Conceptos Desglosados'!$H$5,VLOOKUP($A425,comedor,2,0),IF(M$5='Conceptos Desglosados'!$H$6,VLOOKUP($A425,alojamiento,2,0),IF(M$5='Conceptos Desglosados'!$H$7,VLOOKUP($A425,sanidad,2,0),IF(M$5='Conceptos Desglosados'!$H$8,VLOOKUP($A425,servicios,2,0),IF(M$5='Conceptos Desglosados'!$H$9,VLOOKUP($A425,comyaloj,2,0),IF(M$5='Conceptos Desglosados'!$H$10,VLOOKUP($A425,comandancia,2,0),IF(M$5='Conceptos Desglosados'!$H$11,VLOOKUP($A425,mantenimiento,2,0),IF(M$5='Conceptos Desglosados'!$H$12,VLOOKUP($A425,serestatal,2,0),IF(M$5='Conceptos Desglosados'!$H$13,VLOOKUP($A425,conferencias,2,0),"")))))))))),"")*M$3,"")</f>
        <v/>
      </c>
      <c r="O425">
        <f>SUM(K425:M425)</f>
        <v>0</v>
      </c>
    </row>
    <row r="426" spans="1:15" x14ac:dyDescent="0.35">
      <c r="A426">
        <v>421</v>
      </c>
      <c r="B426" t="s">
        <v>11</v>
      </c>
      <c r="C426" t="s">
        <v>104</v>
      </c>
      <c r="D426" t="s">
        <v>275</v>
      </c>
      <c r="E426" t="s">
        <v>414</v>
      </c>
      <c r="F426" t="s">
        <v>132</v>
      </c>
      <c r="G426" t="s">
        <v>9</v>
      </c>
      <c r="H426">
        <v>1.9750000000000001</v>
      </c>
      <c r="I426">
        <v>2.7149999999999999</v>
      </c>
      <c r="J426" t="s">
        <v>6</v>
      </c>
      <c r="K426" t="str">
        <f>IFERROR(IFERROR(IF(K$5='Conceptos Desglosados'!$H$4,VLOOKUP($A426,dormitorios,2,0),IF(K$5='Conceptos Desglosados'!$H$5,VLOOKUP($A426,comedor,2,0),IF(K$5='Conceptos Desglosados'!$H$6,VLOOKUP($A426,alojamiento,2,0),IF(K$5='Conceptos Desglosados'!$H$7,VLOOKUP($A426,sanidad,2,0),IF(K$5='Conceptos Desglosados'!$H$8,VLOOKUP($A426,servicios,2,0),IF(K$5='Conceptos Desglosados'!$H$9,VLOOKUP($A426,comyaloj,2,0),IF(K$5='Conceptos Desglosados'!$H$10,VLOOKUP($A426,comandancia,2,0),IF(K$5='Conceptos Desglosados'!$H$11,VLOOKUP($A426,mantenimiento,2,0),IF(K$5='Conceptos Desglosados'!$H$12,VLOOKUP($A426,serestatal,2,0),IF(K$5='Conceptos Desglosados'!$H$13,VLOOKUP($A426,conferencias,2,0),"")))))))))),"")*K$3,"")</f>
        <v/>
      </c>
      <c r="L426" t="str">
        <f>IFERROR(IFERROR(IF(L$5='Conceptos Desglosados'!$H$4,VLOOKUP($A426,dormitorios,2,0),IF(L$5='Conceptos Desglosados'!$H$5,VLOOKUP($A426,comedor,2,0),IF(L$5='Conceptos Desglosados'!$H$6,VLOOKUP($A426,alojamiento,2,0),IF(L$5='Conceptos Desglosados'!$H$7,VLOOKUP($A426,sanidad,2,0),IF(L$5='Conceptos Desglosados'!$H$8,VLOOKUP($A426,servicios,2,0),IF(L$5='Conceptos Desglosados'!$H$9,VLOOKUP($A426,comyaloj,2,0),IF(L$5='Conceptos Desglosados'!$H$10,VLOOKUP($A426,comandancia,2,0),IF(L$5='Conceptos Desglosados'!$H$11,VLOOKUP($A426,mantenimiento,2,0),IF(L$5='Conceptos Desglosados'!$H$12,VLOOKUP($A426,serestatal,2,0),IF(L$5='Conceptos Desglosados'!$H$13,VLOOKUP($A426,conferencias,2,0),"")))))))))),"")*L$3,"")</f>
        <v/>
      </c>
      <c r="M426" t="str">
        <f>IFERROR(IFERROR(IF(M$5='Conceptos Desglosados'!$H$4,VLOOKUP($A426,dormitorios,2,0),IF(M$5='Conceptos Desglosados'!$H$5,VLOOKUP($A426,comedor,2,0),IF(M$5='Conceptos Desglosados'!$H$6,VLOOKUP($A426,alojamiento,2,0),IF(M$5='Conceptos Desglosados'!$H$7,VLOOKUP($A426,sanidad,2,0),IF(M$5='Conceptos Desglosados'!$H$8,VLOOKUP($A426,servicios,2,0),IF(M$5='Conceptos Desglosados'!$H$9,VLOOKUP($A426,comyaloj,2,0),IF(M$5='Conceptos Desglosados'!$H$10,VLOOKUP($A426,comandancia,2,0),IF(M$5='Conceptos Desglosados'!$H$11,VLOOKUP($A426,mantenimiento,2,0),IF(M$5='Conceptos Desglosados'!$H$12,VLOOKUP($A426,serestatal,2,0),IF(M$5='Conceptos Desglosados'!$H$13,VLOOKUP($A426,conferencias,2,0),"")))))))))),"")*M$3,"")</f>
        <v/>
      </c>
      <c r="O426">
        <f>SUM(K426:M426)</f>
        <v>0</v>
      </c>
    </row>
    <row r="427" spans="1:15" x14ac:dyDescent="0.35">
      <c r="A427">
        <v>422</v>
      </c>
      <c r="B427" t="s">
        <v>11</v>
      </c>
      <c r="C427" t="s">
        <v>303</v>
      </c>
      <c r="D427" t="s">
        <v>302</v>
      </c>
      <c r="E427" t="s">
        <v>415</v>
      </c>
      <c r="F427" t="s">
        <v>132</v>
      </c>
      <c r="G427" t="s">
        <v>9</v>
      </c>
      <c r="H427">
        <v>1.9750000000000001</v>
      </c>
      <c r="I427">
        <v>2.7149999999999999</v>
      </c>
      <c r="J427" t="s">
        <v>6</v>
      </c>
      <c r="K427" t="str">
        <f>IFERROR(IFERROR(IF(K$5='Conceptos Desglosados'!$H$4,VLOOKUP($A427,dormitorios,2,0),IF(K$5='Conceptos Desglosados'!$H$5,VLOOKUP($A427,comedor,2,0),IF(K$5='Conceptos Desglosados'!$H$6,VLOOKUP($A427,alojamiento,2,0),IF(K$5='Conceptos Desglosados'!$H$7,VLOOKUP($A427,sanidad,2,0),IF(K$5='Conceptos Desglosados'!$H$8,VLOOKUP($A427,servicios,2,0),IF(K$5='Conceptos Desglosados'!$H$9,VLOOKUP($A427,comyaloj,2,0),IF(K$5='Conceptos Desglosados'!$H$10,VLOOKUP($A427,comandancia,2,0),IF(K$5='Conceptos Desglosados'!$H$11,VLOOKUP($A427,mantenimiento,2,0),IF(K$5='Conceptos Desglosados'!$H$12,VLOOKUP($A427,serestatal,2,0),IF(K$5='Conceptos Desglosados'!$H$13,VLOOKUP($A427,conferencias,2,0),"")))))))))),"")*K$3,"")</f>
        <v/>
      </c>
      <c r="L427" t="str">
        <f>IFERROR(IFERROR(IF(L$5='Conceptos Desglosados'!$H$4,VLOOKUP($A427,dormitorios,2,0),IF(L$5='Conceptos Desglosados'!$H$5,VLOOKUP($A427,comedor,2,0),IF(L$5='Conceptos Desglosados'!$H$6,VLOOKUP($A427,alojamiento,2,0),IF(L$5='Conceptos Desglosados'!$H$7,VLOOKUP($A427,sanidad,2,0),IF(L$5='Conceptos Desglosados'!$H$8,VLOOKUP($A427,servicios,2,0),IF(L$5='Conceptos Desglosados'!$H$9,VLOOKUP($A427,comyaloj,2,0),IF(L$5='Conceptos Desglosados'!$H$10,VLOOKUP($A427,comandancia,2,0),IF(L$5='Conceptos Desglosados'!$H$11,VLOOKUP($A427,mantenimiento,2,0),IF(L$5='Conceptos Desglosados'!$H$12,VLOOKUP($A427,serestatal,2,0),IF(L$5='Conceptos Desglosados'!$H$13,VLOOKUP($A427,conferencias,2,0),"")))))))))),"")*L$3,"")</f>
        <v/>
      </c>
      <c r="M427" t="str">
        <f>IFERROR(IFERROR(IF(M$5='Conceptos Desglosados'!$H$4,VLOOKUP($A427,dormitorios,2,0),IF(M$5='Conceptos Desglosados'!$H$5,VLOOKUP($A427,comedor,2,0),IF(M$5='Conceptos Desglosados'!$H$6,VLOOKUP($A427,alojamiento,2,0),IF(M$5='Conceptos Desglosados'!$H$7,VLOOKUP($A427,sanidad,2,0),IF(M$5='Conceptos Desglosados'!$H$8,VLOOKUP($A427,servicios,2,0),IF(M$5='Conceptos Desglosados'!$H$9,VLOOKUP($A427,comyaloj,2,0),IF(M$5='Conceptos Desglosados'!$H$10,VLOOKUP($A427,comandancia,2,0),IF(M$5='Conceptos Desglosados'!$H$11,VLOOKUP($A427,mantenimiento,2,0),IF(M$5='Conceptos Desglosados'!$H$12,VLOOKUP($A427,serestatal,2,0),IF(M$5='Conceptos Desglosados'!$H$13,VLOOKUP($A427,conferencias,2,0),"")))))))))),"")*M$3,"")</f>
        <v/>
      </c>
      <c r="O427">
        <f>SUM(K427:M427)</f>
        <v>0</v>
      </c>
    </row>
    <row r="428" spans="1:15" x14ac:dyDescent="0.35">
      <c r="A428">
        <v>423</v>
      </c>
      <c r="B428" t="s">
        <v>11</v>
      </c>
      <c r="C428" t="s">
        <v>608</v>
      </c>
      <c r="D428" t="s">
        <v>609</v>
      </c>
      <c r="E428" t="s">
        <v>610</v>
      </c>
      <c r="F428" t="s">
        <v>132</v>
      </c>
      <c r="G428" t="s">
        <v>9</v>
      </c>
      <c r="H428">
        <v>1.9750000000000001</v>
      </c>
      <c r="I428">
        <v>2.7149999999999999</v>
      </c>
      <c r="J428" t="s">
        <v>6</v>
      </c>
      <c r="K428" t="str">
        <f>IFERROR(IFERROR(IF(K$5='Conceptos Desglosados'!$H$4,VLOOKUP($A428,dormitorios,2,0),IF(K$5='Conceptos Desglosados'!$H$5,VLOOKUP($A428,comedor,2,0),IF(K$5='Conceptos Desglosados'!$H$6,VLOOKUP($A428,alojamiento,2,0),IF(K$5='Conceptos Desglosados'!$H$7,VLOOKUP($A428,sanidad,2,0),IF(K$5='Conceptos Desglosados'!$H$8,VLOOKUP($A428,servicios,2,0),IF(K$5='Conceptos Desglosados'!$H$9,VLOOKUP($A428,comyaloj,2,0),IF(K$5='Conceptos Desglosados'!$H$10,VLOOKUP($A428,comandancia,2,0),IF(K$5='Conceptos Desglosados'!$H$11,VLOOKUP($A428,mantenimiento,2,0),IF(K$5='Conceptos Desglosados'!$H$12,VLOOKUP($A428,serestatal,2,0),IF(K$5='Conceptos Desglosados'!$H$13,VLOOKUP($A428,conferencias,2,0),"")))))))))),"")*K$3,"")</f>
        <v/>
      </c>
      <c r="L428" t="str">
        <f>IFERROR(IFERROR(IF(L$5='Conceptos Desglosados'!$H$4,VLOOKUP($A428,dormitorios,2,0),IF(L$5='Conceptos Desglosados'!$H$5,VLOOKUP($A428,comedor,2,0),IF(L$5='Conceptos Desglosados'!$H$6,VLOOKUP($A428,alojamiento,2,0),IF(L$5='Conceptos Desglosados'!$H$7,VLOOKUP($A428,sanidad,2,0),IF(L$5='Conceptos Desglosados'!$H$8,VLOOKUP($A428,servicios,2,0),IF(L$5='Conceptos Desglosados'!$H$9,VLOOKUP($A428,comyaloj,2,0),IF(L$5='Conceptos Desglosados'!$H$10,VLOOKUP($A428,comandancia,2,0),IF(L$5='Conceptos Desglosados'!$H$11,VLOOKUP($A428,mantenimiento,2,0),IF(L$5='Conceptos Desglosados'!$H$12,VLOOKUP($A428,serestatal,2,0),IF(L$5='Conceptos Desglosados'!$H$13,VLOOKUP($A428,conferencias,2,0),"")))))))))),"")*L$3,"")</f>
        <v/>
      </c>
      <c r="M428" t="str">
        <f>IFERROR(IFERROR(IF(M$5='Conceptos Desglosados'!$H$4,VLOOKUP($A428,dormitorios,2,0),IF(M$5='Conceptos Desglosados'!$H$5,VLOOKUP($A428,comedor,2,0),IF(M$5='Conceptos Desglosados'!$H$6,VLOOKUP($A428,alojamiento,2,0),IF(M$5='Conceptos Desglosados'!$H$7,VLOOKUP($A428,sanidad,2,0),IF(M$5='Conceptos Desglosados'!$H$8,VLOOKUP($A428,servicios,2,0),IF(M$5='Conceptos Desglosados'!$H$9,VLOOKUP($A428,comyaloj,2,0),IF(M$5='Conceptos Desglosados'!$H$10,VLOOKUP($A428,comandancia,2,0),IF(M$5='Conceptos Desglosados'!$H$11,VLOOKUP($A428,mantenimiento,2,0),IF(M$5='Conceptos Desglosados'!$H$12,VLOOKUP($A428,serestatal,2,0),IF(M$5='Conceptos Desglosados'!$H$13,VLOOKUP($A428,conferencias,2,0),"")))))))))),"")*M$3,"")</f>
        <v/>
      </c>
      <c r="O428">
        <f>SUM(K428:M428)</f>
        <v>0</v>
      </c>
    </row>
    <row r="429" spans="1:15" x14ac:dyDescent="0.35">
      <c r="A429">
        <v>424</v>
      </c>
      <c r="B429" t="s">
        <v>11</v>
      </c>
      <c r="C429" t="s">
        <v>611</v>
      </c>
      <c r="D429" t="s">
        <v>612</v>
      </c>
      <c r="E429" t="s">
        <v>613</v>
      </c>
      <c r="F429" t="s">
        <v>132</v>
      </c>
      <c r="G429" t="s">
        <v>9</v>
      </c>
      <c r="H429">
        <v>1.9750000000000001</v>
      </c>
      <c r="I429">
        <v>2.7149999999999999</v>
      </c>
      <c r="J429" t="s">
        <v>6</v>
      </c>
      <c r="K429" t="str">
        <f>IFERROR(IFERROR(IF(K$5='Conceptos Desglosados'!$H$4,VLOOKUP($A429,dormitorios,2,0),IF(K$5='Conceptos Desglosados'!$H$5,VLOOKUP($A429,comedor,2,0),IF(K$5='Conceptos Desglosados'!$H$6,VLOOKUP($A429,alojamiento,2,0),IF(K$5='Conceptos Desglosados'!$H$7,VLOOKUP($A429,sanidad,2,0),IF(K$5='Conceptos Desglosados'!$H$8,VLOOKUP($A429,servicios,2,0),IF(K$5='Conceptos Desglosados'!$H$9,VLOOKUP($A429,comyaloj,2,0),IF(K$5='Conceptos Desglosados'!$H$10,VLOOKUP($A429,comandancia,2,0),IF(K$5='Conceptos Desglosados'!$H$11,VLOOKUP($A429,mantenimiento,2,0),IF(K$5='Conceptos Desglosados'!$H$12,VLOOKUP($A429,serestatal,2,0),IF(K$5='Conceptos Desglosados'!$H$13,VLOOKUP($A429,conferencias,2,0),"")))))))))),"")*K$3,"")</f>
        <v/>
      </c>
      <c r="L429" t="str">
        <f>IFERROR(IFERROR(IF(L$5='Conceptos Desglosados'!$H$4,VLOOKUP($A429,dormitorios,2,0),IF(L$5='Conceptos Desglosados'!$H$5,VLOOKUP($A429,comedor,2,0),IF(L$5='Conceptos Desglosados'!$H$6,VLOOKUP($A429,alojamiento,2,0),IF(L$5='Conceptos Desglosados'!$H$7,VLOOKUP($A429,sanidad,2,0),IF(L$5='Conceptos Desglosados'!$H$8,VLOOKUP($A429,servicios,2,0),IF(L$5='Conceptos Desglosados'!$H$9,VLOOKUP($A429,comyaloj,2,0),IF(L$5='Conceptos Desglosados'!$H$10,VLOOKUP($A429,comandancia,2,0),IF(L$5='Conceptos Desglosados'!$H$11,VLOOKUP($A429,mantenimiento,2,0),IF(L$5='Conceptos Desglosados'!$H$12,VLOOKUP($A429,serestatal,2,0),IF(L$5='Conceptos Desglosados'!$H$13,VLOOKUP($A429,conferencias,2,0),"")))))))))),"")*L$3,"")</f>
        <v/>
      </c>
      <c r="M429" t="str">
        <f>IFERROR(IFERROR(IF(M$5='Conceptos Desglosados'!$H$4,VLOOKUP($A429,dormitorios,2,0),IF(M$5='Conceptos Desglosados'!$H$5,VLOOKUP($A429,comedor,2,0),IF(M$5='Conceptos Desglosados'!$H$6,VLOOKUP($A429,alojamiento,2,0),IF(M$5='Conceptos Desglosados'!$H$7,VLOOKUP($A429,sanidad,2,0),IF(M$5='Conceptos Desglosados'!$H$8,VLOOKUP($A429,servicios,2,0),IF(M$5='Conceptos Desglosados'!$H$9,VLOOKUP($A429,comyaloj,2,0),IF(M$5='Conceptos Desglosados'!$H$10,VLOOKUP($A429,comandancia,2,0),IF(M$5='Conceptos Desglosados'!$H$11,VLOOKUP($A429,mantenimiento,2,0),IF(M$5='Conceptos Desglosados'!$H$12,VLOOKUP($A429,serestatal,2,0),IF(M$5='Conceptos Desglosados'!$H$13,VLOOKUP($A429,conferencias,2,0),"")))))))))),"")*M$3,"")</f>
        <v/>
      </c>
      <c r="O429">
        <f>SUM(K429:M429)</f>
        <v>0</v>
      </c>
    </row>
    <row r="430" spans="1:15" x14ac:dyDescent="0.35">
      <c r="A430">
        <v>425</v>
      </c>
      <c r="B430" t="s">
        <v>11</v>
      </c>
      <c r="C430" t="s">
        <v>902</v>
      </c>
      <c r="D430" t="s">
        <v>904</v>
      </c>
      <c r="E430" t="s">
        <v>1278</v>
      </c>
      <c r="F430" t="s">
        <v>704</v>
      </c>
      <c r="G430" t="s">
        <v>9</v>
      </c>
      <c r="H430">
        <v>1.9750000000000001</v>
      </c>
      <c r="I430">
        <v>2.7149999999999999</v>
      </c>
      <c r="J430" t="s">
        <v>6</v>
      </c>
      <c r="K430" t="str">
        <f>IFERROR(IFERROR(IF(K$5='Conceptos Desglosados'!$H$4,VLOOKUP($A430,dormitorios,2,0),IF(K$5='Conceptos Desglosados'!$H$5,VLOOKUP($A430,comedor,2,0),IF(K$5='Conceptos Desglosados'!$H$6,VLOOKUP($A430,alojamiento,2,0),IF(K$5='Conceptos Desglosados'!$H$7,VLOOKUP($A430,sanidad,2,0),IF(K$5='Conceptos Desglosados'!$H$8,VLOOKUP($A430,servicios,2,0),IF(K$5='Conceptos Desglosados'!$H$9,VLOOKUP($A430,comyaloj,2,0),IF(K$5='Conceptos Desglosados'!$H$10,VLOOKUP($A430,comandancia,2,0),IF(K$5='Conceptos Desglosados'!$H$11,VLOOKUP($A430,mantenimiento,2,0),IF(K$5='Conceptos Desglosados'!$H$12,VLOOKUP($A430,serestatal,2,0),IF(K$5='Conceptos Desglosados'!$H$13,VLOOKUP($A430,conferencias,2,0),"")))))))))),"")*K$3,"")</f>
        <v/>
      </c>
      <c r="L430" t="str">
        <f>IFERROR(IFERROR(IF(L$5='Conceptos Desglosados'!$H$4,VLOOKUP($A430,dormitorios,2,0),IF(L$5='Conceptos Desglosados'!$H$5,VLOOKUP($A430,comedor,2,0),IF(L$5='Conceptos Desglosados'!$H$6,VLOOKUP($A430,alojamiento,2,0),IF(L$5='Conceptos Desglosados'!$H$7,VLOOKUP($A430,sanidad,2,0),IF(L$5='Conceptos Desglosados'!$H$8,VLOOKUP($A430,servicios,2,0),IF(L$5='Conceptos Desglosados'!$H$9,VLOOKUP($A430,comyaloj,2,0),IF(L$5='Conceptos Desglosados'!$H$10,VLOOKUP($A430,comandancia,2,0),IF(L$5='Conceptos Desglosados'!$H$11,VLOOKUP($A430,mantenimiento,2,0),IF(L$5='Conceptos Desglosados'!$H$12,VLOOKUP($A430,serestatal,2,0),IF(L$5='Conceptos Desglosados'!$H$13,VLOOKUP($A430,conferencias,2,0),"")))))))))),"")*L$3,"")</f>
        <v/>
      </c>
      <c r="M430" t="str">
        <f>IFERROR(IFERROR(IF(M$5='Conceptos Desglosados'!$H$4,VLOOKUP($A430,dormitorios,2,0),IF(M$5='Conceptos Desglosados'!$H$5,VLOOKUP($A430,comedor,2,0),IF(M$5='Conceptos Desglosados'!$H$6,VLOOKUP($A430,alojamiento,2,0),IF(M$5='Conceptos Desglosados'!$H$7,VLOOKUP($A430,sanidad,2,0),IF(M$5='Conceptos Desglosados'!$H$8,VLOOKUP($A430,servicios,2,0),IF(M$5='Conceptos Desglosados'!$H$9,VLOOKUP($A430,comyaloj,2,0),IF(M$5='Conceptos Desglosados'!$H$10,VLOOKUP($A430,comandancia,2,0),IF(M$5='Conceptos Desglosados'!$H$11,VLOOKUP($A430,mantenimiento,2,0),IF(M$5='Conceptos Desglosados'!$H$12,VLOOKUP($A430,serestatal,2,0),IF(M$5='Conceptos Desglosados'!$H$13,VLOOKUP($A430,conferencias,2,0),"")))))))))),"")*M$3,"")</f>
        <v/>
      </c>
      <c r="O430">
        <f>SUM(K430:M430)</f>
        <v>0</v>
      </c>
    </row>
    <row r="431" spans="1:15" x14ac:dyDescent="0.35">
      <c r="A431">
        <v>426</v>
      </c>
      <c r="B431" t="s">
        <v>11</v>
      </c>
      <c r="C431" t="s">
        <v>903</v>
      </c>
      <c r="D431" t="s">
        <v>905</v>
      </c>
      <c r="E431" t="s">
        <v>415</v>
      </c>
      <c r="F431" t="s">
        <v>704</v>
      </c>
      <c r="G431" t="s">
        <v>9</v>
      </c>
      <c r="H431">
        <v>1.9750000000000001</v>
      </c>
      <c r="I431">
        <v>2.7149999999999999</v>
      </c>
      <c r="J431" t="s">
        <v>6</v>
      </c>
      <c r="K431" t="str">
        <f>IFERROR(IFERROR(IF(K$5='Conceptos Desglosados'!$H$4,VLOOKUP($A431,dormitorios,2,0),IF(K$5='Conceptos Desglosados'!$H$5,VLOOKUP($A431,comedor,2,0),IF(K$5='Conceptos Desglosados'!$H$6,VLOOKUP($A431,alojamiento,2,0),IF(K$5='Conceptos Desglosados'!$H$7,VLOOKUP($A431,sanidad,2,0),IF(K$5='Conceptos Desglosados'!$H$8,VLOOKUP($A431,servicios,2,0),IF(K$5='Conceptos Desglosados'!$H$9,VLOOKUP($A431,comyaloj,2,0),IF(K$5='Conceptos Desglosados'!$H$10,VLOOKUP($A431,comandancia,2,0),IF(K$5='Conceptos Desglosados'!$H$11,VLOOKUP($A431,mantenimiento,2,0),IF(K$5='Conceptos Desglosados'!$H$12,VLOOKUP($A431,serestatal,2,0),IF(K$5='Conceptos Desglosados'!$H$13,VLOOKUP($A431,conferencias,2,0),"")))))))))),"")*K$3,"")</f>
        <v/>
      </c>
      <c r="L431" t="str">
        <f>IFERROR(IFERROR(IF(L$5='Conceptos Desglosados'!$H$4,VLOOKUP($A431,dormitorios,2,0),IF(L$5='Conceptos Desglosados'!$H$5,VLOOKUP($A431,comedor,2,0),IF(L$5='Conceptos Desglosados'!$H$6,VLOOKUP($A431,alojamiento,2,0),IF(L$5='Conceptos Desglosados'!$H$7,VLOOKUP($A431,sanidad,2,0),IF(L$5='Conceptos Desglosados'!$H$8,VLOOKUP($A431,servicios,2,0),IF(L$5='Conceptos Desglosados'!$H$9,VLOOKUP($A431,comyaloj,2,0),IF(L$5='Conceptos Desglosados'!$H$10,VLOOKUP($A431,comandancia,2,0),IF(L$5='Conceptos Desglosados'!$H$11,VLOOKUP($A431,mantenimiento,2,0),IF(L$5='Conceptos Desglosados'!$H$12,VLOOKUP($A431,serestatal,2,0),IF(L$5='Conceptos Desglosados'!$H$13,VLOOKUP($A431,conferencias,2,0),"")))))))))),"")*L$3,"")</f>
        <v/>
      </c>
      <c r="M431" t="str">
        <f>IFERROR(IFERROR(IF(M$5='Conceptos Desglosados'!$H$4,VLOOKUP($A431,dormitorios,2,0),IF(M$5='Conceptos Desglosados'!$H$5,VLOOKUP($A431,comedor,2,0),IF(M$5='Conceptos Desglosados'!$H$6,VLOOKUP($A431,alojamiento,2,0),IF(M$5='Conceptos Desglosados'!$H$7,VLOOKUP($A431,sanidad,2,0),IF(M$5='Conceptos Desglosados'!$H$8,VLOOKUP($A431,servicios,2,0),IF(M$5='Conceptos Desglosados'!$H$9,VLOOKUP($A431,comyaloj,2,0),IF(M$5='Conceptos Desglosados'!$H$10,VLOOKUP($A431,comandancia,2,0),IF(M$5='Conceptos Desglosados'!$H$11,VLOOKUP($A431,mantenimiento,2,0),IF(M$5='Conceptos Desglosados'!$H$12,VLOOKUP($A431,serestatal,2,0),IF(M$5='Conceptos Desglosados'!$H$13,VLOOKUP($A431,conferencias,2,0),"")))))))))),"")*M$3,"")</f>
        <v/>
      </c>
      <c r="O431">
        <f>SUM(K431:M431)</f>
        <v>0</v>
      </c>
    </row>
    <row r="432" spans="1:15" x14ac:dyDescent="0.35">
      <c r="A432">
        <v>427</v>
      </c>
      <c r="B432" t="s">
        <v>11</v>
      </c>
      <c r="C432" t="s">
        <v>308</v>
      </c>
      <c r="D432" t="s">
        <v>309</v>
      </c>
      <c r="E432" t="s">
        <v>1</v>
      </c>
      <c r="F432" t="s">
        <v>310</v>
      </c>
      <c r="G432" t="s">
        <v>9</v>
      </c>
      <c r="H432">
        <v>1.9750000000000001</v>
      </c>
      <c r="I432">
        <v>2.7149999999999999</v>
      </c>
      <c r="J432" t="s">
        <v>6</v>
      </c>
      <c r="K432" t="str">
        <f>IFERROR(IFERROR(IF(K$5='Conceptos Desglosados'!$H$4,VLOOKUP($A432,dormitorios,2,0),IF(K$5='Conceptos Desglosados'!$H$5,VLOOKUP($A432,comedor,2,0),IF(K$5='Conceptos Desglosados'!$H$6,VLOOKUP($A432,alojamiento,2,0),IF(K$5='Conceptos Desglosados'!$H$7,VLOOKUP($A432,sanidad,2,0),IF(K$5='Conceptos Desglosados'!$H$8,VLOOKUP($A432,servicios,2,0),IF(K$5='Conceptos Desglosados'!$H$9,VLOOKUP($A432,comyaloj,2,0),IF(K$5='Conceptos Desglosados'!$H$10,VLOOKUP($A432,comandancia,2,0),IF(K$5='Conceptos Desglosados'!$H$11,VLOOKUP($A432,mantenimiento,2,0),IF(K$5='Conceptos Desglosados'!$H$12,VLOOKUP($A432,serestatal,2,0),IF(K$5='Conceptos Desglosados'!$H$13,VLOOKUP($A432,conferencias,2,0),"")))))))))),"")*K$3,"")</f>
        <v/>
      </c>
      <c r="L432" t="str">
        <f>IFERROR(IFERROR(IF(L$5='Conceptos Desglosados'!$H$4,VLOOKUP($A432,dormitorios,2,0),IF(L$5='Conceptos Desglosados'!$H$5,VLOOKUP($A432,comedor,2,0),IF(L$5='Conceptos Desglosados'!$H$6,VLOOKUP($A432,alojamiento,2,0),IF(L$5='Conceptos Desglosados'!$H$7,VLOOKUP($A432,sanidad,2,0),IF(L$5='Conceptos Desglosados'!$H$8,VLOOKUP($A432,servicios,2,0),IF(L$5='Conceptos Desglosados'!$H$9,VLOOKUP($A432,comyaloj,2,0),IF(L$5='Conceptos Desglosados'!$H$10,VLOOKUP($A432,comandancia,2,0),IF(L$5='Conceptos Desglosados'!$H$11,VLOOKUP($A432,mantenimiento,2,0),IF(L$5='Conceptos Desglosados'!$H$12,VLOOKUP($A432,serestatal,2,0),IF(L$5='Conceptos Desglosados'!$H$13,VLOOKUP($A432,conferencias,2,0),"")))))))))),"")*L$3,"")</f>
        <v/>
      </c>
      <c r="M432" t="str">
        <f>IFERROR(IFERROR(IF(M$5='Conceptos Desglosados'!$H$4,VLOOKUP($A432,dormitorios,2,0),IF(M$5='Conceptos Desglosados'!$H$5,VLOOKUP($A432,comedor,2,0),IF(M$5='Conceptos Desglosados'!$H$6,VLOOKUP($A432,alojamiento,2,0),IF(M$5='Conceptos Desglosados'!$H$7,VLOOKUP($A432,sanidad,2,0),IF(M$5='Conceptos Desglosados'!$H$8,VLOOKUP($A432,servicios,2,0),IF(M$5='Conceptos Desglosados'!$H$9,VLOOKUP($A432,comyaloj,2,0),IF(M$5='Conceptos Desglosados'!$H$10,VLOOKUP($A432,comandancia,2,0),IF(M$5='Conceptos Desglosados'!$H$11,VLOOKUP($A432,mantenimiento,2,0),IF(M$5='Conceptos Desglosados'!$H$12,VLOOKUP($A432,serestatal,2,0),IF(M$5='Conceptos Desglosados'!$H$13,VLOOKUP($A432,conferencias,2,0),"")))))))))),"")*M$3,"")</f>
        <v/>
      </c>
      <c r="O432">
        <f>SUM(K432:M432)</f>
        <v>0</v>
      </c>
    </row>
    <row r="433" spans="1:15" x14ac:dyDescent="0.35">
      <c r="A433">
        <v>428</v>
      </c>
      <c r="B433" t="s">
        <v>11</v>
      </c>
      <c r="C433" t="s">
        <v>311</v>
      </c>
      <c r="D433" t="s">
        <v>312</v>
      </c>
      <c r="E433" t="s">
        <v>1</v>
      </c>
      <c r="F433" t="s">
        <v>310</v>
      </c>
      <c r="G433" t="s">
        <v>9</v>
      </c>
      <c r="H433">
        <v>1.05</v>
      </c>
      <c r="I433">
        <v>2.7149999999999999</v>
      </c>
      <c r="J433" t="s">
        <v>6</v>
      </c>
      <c r="K433" t="str">
        <f>IFERROR(IFERROR(IF(K$5='Conceptos Desglosados'!$H$4,VLOOKUP($A433,dormitorios,2,0),IF(K$5='Conceptos Desglosados'!$H$5,VLOOKUP($A433,comedor,2,0),IF(K$5='Conceptos Desglosados'!$H$6,VLOOKUP($A433,alojamiento,2,0),IF(K$5='Conceptos Desglosados'!$H$7,VLOOKUP($A433,sanidad,2,0),IF(K$5='Conceptos Desglosados'!$H$8,VLOOKUP($A433,servicios,2,0),IF(K$5='Conceptos Desglosados'!$H$9,VLOOKUP($A433,comyaloj,2,0),IF(K$5='Conceptos Desglosados'!$H$10,VLOOKUP($A433,comandancia,2,0),IF(K$5='Conceptos Desglosados'!$H$11,VLOOKUP($A433,mantenimiento,2,0),IF(K$5='Conceptos Desglosados'!$H$12,VLOOKUP($A433,serestatal,2,0),IF(K$5='Conceptos Desglosados'!$H$13,VLOOKUP($A433,conferencias,2,0),"")))))))))),"")*K$3,"")</f>
        <v/>
      </c>
      <c r="L433" t="str">
        <f>IFERROR(IFERROR(IF(L$5='Conceptos Desglosados'!$H$4,VLOOKUP($A433,dormitorios,2,0),IF(L$5='Conceptos Desglosados'!$H$5,VLOOKUP($A433,comedor,2,0),IF(L$5='Conceptos Desglosados'!$H$6,VLOOKUP($A433,alojamiento,2,0),IF(L$5='Conceptos Desglosados'!$H$7,VLOOKUP($A433,sanidad,2,0),IF(L$5='Conceptos Desglosados'!$H$8,VLOOKUP($A433,servicios,2,0),IF(L$5='Conceptos Desglosados'!$H$9,VLOOKUP($A433,comyaloj,2,0),IF(L$5='Conceptos Desglosados'!$H$10,VLOOKUP($A433,comandancia,2,0),IF(L$5='Conceptos Desglosados'!$H$11,VLOOKUP($A433,mantenimiento,2,0),IF(L$5='Conceptos Desglosados'!$H$12,VLOOKUP($A433,serestatal,2,0),IF(L$5='Conceptos Desglosados'!$H$13,VLOOKUP($A433,conferencias,2,0),"")))))))))),"")*L$3,"")</f>
        <v/>
      </c>
      <c r="M433" t="str">
        <f>IFERROR(IFERROR(IF(M$5='Conceptos Desglosados'!$H$4,VLOOKUP($A433,dormitorios,2,0),IF(M$5='Conceptos Desglosados'!$H$5,VLOOKUP($A433,comedor,2,0),IF(M$5='Conceptos Desglosados'!$H$6,VLOOKUP($A433,alojamiento,2,0),IF(M$5='Conceptos Desglosados'!$H$7,VLOOKUP($A433,sanidad,2,0),IF(M$5='Conceptos Desglosados'!$H$8,VLOOKUP($A433,servicios,2,0),IF(M$5='Conceptos Desglosados'!$H$9,VLOOKUP($A433,comyaloj,2,0),IF(M$5='Conceptos Desglosados'!$H$10,VLOOKUP($A433,comandancia,2,0),IF(M$5='Conceptos Desglosados'!$H$11,VLOOKUP($A433,mantenimiento,2,0),IF(M$5='Conceptos Desglosados'!$H$12,VLOOKUP($A433,serestatal,2,0),IF(M$5='Conceptos Desglosados'!$H$13,VLOOKUP($A433,conferencias,2,0),"")))))))))),"")*M$3,"")</f>
        <v/>
      </c>
      <c r="O433">
        <f>SUM(K433:M433)</f>
        <v>0</v>
      </c>
    </row>
    <row r="434" spans="1:15" x14ac:dyDescent="0.35">
      <c r="A434">
        <v>429</v>
      </c>
      <c r="B434" t="s">
        <v>11</v>
      </c>
      <c r="C434" t="s">
        <v>355</v>
      </c>
      <c r="D434" t="s">
        <v>356</v>
      </c>
      <c r="E434" t="s">
        <v>1</v>
      </c>
      <c r="F434" t="s">
        <v>310</v>
      </c>
      <c r="G434" t="s">
        <v>9</v>
      </c>
      <c r="H434">
        <v>1.9750000000000001</v>
      </c>
      <c r="I434">
        <v>3</v>
      </c>
      <c r="J434" t="s">
        <v>6</v>
      </c>
      <c r="K434" t="str">
        <f>IFERROR(IFERROR(IF(K$5='Conceptos Desglosados'!$H$4,VLOOKUP($A434,dormitorios,2,0),IF(K$5='Conceptos Desglosados'!$H$5,VLOOKUP($A434,comedor,2,0),IF(K$5='Conceptos Desglosados'!$H$6,VLOOKUP($A434,alojamiento,2,0),IF(K$5='Conceptos Desglosados'!$H$7,VLOOKUP($A434,sanidad,2,0),IF(K$5='Conceptos Desglosados'!$H$8,VLOOKUP($A434,servicios,2,0),IF(K$5='Conceptos Desglosados'!$H$9,VLOOKUP($A434,comyaloj,2,0),IF(K$5='Conceptos Desglosados'!$H$10,VLOOKUP($A434,comandancia,2,0),IF(K$5='Conceptos Desglosados'!$H$11,VLOOKUP($A434,mantenimiento,2,0),IF(K$5='Conceptos Desglosados'!$H$12,VLOOKUP($A434,serestatal,2,0),IF(K$5='Conceptos Desglosados'!$H$13,VLOOKUP($A434,conferencias,2,0),"")))))))))),"")*K$3,"")</f>
        <v/>
      </c>
      <c r="L434" t="str">
        <f>IFERROR(IFERROR(IF(L$5='Conceptos Desglosados'!$H$4,VLOOKUP($A434,dormitorios,2,0),IF(L$5='Conceptos Desglosados'!$H$5,VLOOKUP($A434,comedor,2,0),IF(L$5='Conceptos Desglosados'!$H$6,VLOOKUP($A434,alojamiento,2,0),IF(L$5='Conceptos Desglosados'!$H$7,VLOOKUP($A434,sanidad,2,0),IF(L$5='Conceptos Desglosados'!$H$8,VLOOKUP($A434,servicios,2,0),IF(L$5='Conceptos Desglosados'!$H$9,VLOOKUP($A434,comyaloj,2,0),IF(L$5='Conceptos Desglosados'!$H$10,VLOOKUP($A434,comandancia,2,0),IF(L$5='Conceptos Desglosados'!$H$11,VLOOKUP($A434,mantenimiento,2,0),IF(L$5='Conceptos Desglosados'!$H$12,VLOOKUP($A434,serestatal,2,0),IF(L$5='Conceptos Desglosados'!$H$13,VLOOKUP($A434,conferencias,2,0),"")))))))))),"")*L$3,"")</f>
        <v/>
      </c>
      <c r="M434" t="str">
        <f>IFERROR(IFERROR(IF(M$5='Conceptos Desglosados'!$H$4,VLOOKUP($A434,dormitorios,2,0),IF(M$5='Conceptos Desglosados'!$H$5,VLOOKUP($A434,comedor,2,0),IF(M$5='Conceptos Desglosados'!$H$6,VLOOKUP($A434,alojamiento,2,0),IF(M$5='Conceptos Desglosados'!$H$7,VLOOKUP($A434,sanidad,2,0),IF(M$5='Conceptos Desglosados'!$H$8,VLOOKUP($A434,servicios,2,0),IF(M$5='Conceptos Desglosados'!$H$9,VLOOKUP($A434,comyaloj,2,0),IF(M$5='Conceptos Desglosados'!$H$10,VLOOKUP($A434,comandancia,2,0),IF(M$5='Conceptos Desglosados'!$H$11,VLOOKUP($A434,mantenimiento,2,0),IF(M$5='Conceptos Desglosados'!$H$12,VLOOKUP($A434,serestatal,2,0),IF(M$5='Conceptos Desglosados'!$H$13,VLOOKUP($A434,conferencias,2,0),"")))))))))),"")*M$3,"")</f>
        <v/>
      </c>
      <c r="O434">
        <f>SUM(K434:M434)</f>
        <v>0</v>
      </c>
    </row>
    <row r="435" spans="1:15" x14ac:dyDescent="0.35">
      <c r="A435">
        <v>430</v>
      </c>
      <c r="B435" t="s">
        <v>11</v>
      </c>
      <c r="C435" t="s">
        <v>357</v>
      </c>
      <c r="D435" t="s">
        <v>358</v>
      </c>
      <c r="E435" t="s">
        <v>1</v>
      </c>
      <c r="F435" t="s">
        <v>310</v>
      </c>
      <c r="G435" t="s">
        <v>9</v>
      </c>
      <c r="H435">
        <v>1.9750000000000001</v>
      </c>
      <c r="I435">
        <v>3.5</v>
      </c>
      <c r="J435" t="s">
        <v>6</v>
      </c>
      <c r="K435" t="str">
        <f>IFERROR(IFERROR(IF(K$5='Conceptos Desglosados'!$H$4,VLOOKUP($A435,dormitorios,2,0),IF(K$5='Conceptos Desglosados'!$H$5,VLOOKUP($A435,comedor,2,0),IF(K$5='Conceptos Desglosados'!$H$6,VLOOKUP($A435,alojamiento,2,0),IF(K$5='Conceptos Desglosados'!$H$7,VLOOKUP($A435,sanidad,2,0),IF(K$5='Conceptos Desglosados'!$H$8,VLOOKUP($A435,servicios,2,0),IF(K$5='Conceptos Desglosados'!$H$9,VLOOKUP($A435,comyaloj,2,0),IF(K$5='Conceptos Desglosados'!$H$10,VLOOKUP($A435,comandancia,2,0),IF(K$5='Conceptos Desglosados'!$H$11,VLOOKUP($A435,mantenimiento,2,0),IF(K$5='Conceptos Desglosados'!$H$12,VLOOKUP($A435,serestatal,2,0),IF(K$5='Conceptos Desglosados'!$H$13,VLOOKUP($A435,conferencias,2,0),"")))))))))),"")*K$3,"")</f>
        <v/>
      </c>
      <c r="L435" t="str">
        <f>IFERROR(IFERROR(IF(L$5='Conceptos Desglosados'!$H$4,VLOOKUP($A435,dormitorios,2,0),IF(L$5='Conceptos Desglosados'!$H$5,VLOOKUP($A435,comedor,2,0),IF(L$5='Conceptos Desglosados'!$H$6,VLOOKUP($A435,alojamiento,2,0),IF(L$5='Conceptos Desglosados'!$H$7,VLOOKUP($A435,sanidad,2,0),IF(L$5='Conceptos Desglosados'!$H$8,VLOOKUP($A435,servicios,2,0),IF(L$5='Conceptos Desglosados'!$H$9,VLOOKUP($A435,comyaloj,2,0),IF(L$5='Conceptos Desglosados'!$H$10,VLOOKUP($A435,comandancia,2,0),IF(L$5='Conceptos Desglosados'!$H$11,VLOOKUP($A435,mantenimiento,2,0),IF(L$5='Conceptos Desglosados'!$H$12,VLOOKUP($A435,serestatal,2,0),IF(L$5='Conceptos Desglosados'!$H$13,VLOOKUP($A435,conferencias,2,0),"")))))))))),"")*L$3,"")</f>
        <v/>
      </c>
      <c r="M435" t="str">
        <f>IFERROR(IFERROR(IF(M$5='Conceptos Desglosados'!$H$4,VLOOKUP($A435,dormitorios,2,0),IF(M$5='Conceptos Desglosados'!$H$5,VLOOKUP($A435,comedor,2,0),IF(M$5='Conceptos Desglosados'!$H$6,VLOOKUP($A435,alojamiento,2,0),IF(M$5='Conceptos Desglosados'!$H$7,VLOOKUP($A435,sanidad,2,0),IF(M$5='Conceptos Desglosados'!$H$8,VLOOKUP($A435,servicios,2,0),IF(M$5='Conceptos Desglosados'!$H$9,VLOOKUP($A435,comyaloj,2,0),IF(M$5='Conceptos Desglosados'!$H$10,VLOOKUP($A435,comandancia,2,0),IF(M$5='Conceptos Desglosados'!$H$11,VLOOKUP($A435,mantenimiento,2,0),IF(M$5='Conceptos Desglosados'!$H$12,VLOOKUP($A435,serestatal,2,0),IF(M$5='Conceptos Desglosados'!$H$13,VLOOKUP($A435,conferencias,2,0),"")))))))))),"")*M$3,"")</f>
        <v/>
      </c>
      <c r="O435">
        <f>SUM(K435:M435)</f>
        <v>0</v>
      </c>
    </row>
    <row r="436" spans="1:15" x14ac:dyDescent="0.35">
      <c r="A436">
        <v>431</v>
      </c>
      <c r="B436" t="s">
        <v>11</v>
      </c>
      <c r="C436" t="s">
        <v>386</v>
      </c>
      <c r="D436" t="s">
        <v>387</v>
      </c>
      <c r="E436" t="s">
        <v>1</v>
      </c>
      <c r="F436" t="s">
        <v>310</v>
      </c>
      <c r="G436" t="s">
        <v>9</v>
      </c>
      <c r="H436">
        <v>1.78</v>
      </c>
      <c r="I436">
        <v>2.7149999999999999</v>
      </c>
      <c r="J436" t="s">
        <v>6</v>
      </c>
      <c r="K436" t="str">
        <f>IFERROR(IFERROR(IF(K$5='Conceptos Desglosados'!$H$4,VLOOKUP($A436,dormitorios,2,0),IF(K$5='Conceptos Desglosados'!$H$5,VLOOKUP($A436,comedor,2,0),IF(K$5='Conceptos Desglosados'!$H$6,VLOOKUP($A436,alojamiento,2,0),IF(K$5='Conceptos Desglosados'!$H$7,VLOOKUP($A436,sanidad,2,0),IF(K$5='Conceptos Desglosados'!$H$8,VLOOKUP($A436,servicios,2,0),IF(K$5='Conceptos Desglosados'!$H$9,VLOOKUP($A436,comyaloj,2,0),IF(K$5='Conceptos Desglosados'!$H$10,VLOOKUP($A436,comandancia,2,0),IF(K$5='Conceptos Desglosados'!$H$11,VLOOKUP($A436,mantenimiento,2,0),IF(K$5='Conceptos Desglosados'!$H$12,VLOOKUP($A436,serestatal,2,0),IF(K$5='Conceptos Desglosados'!$H$13,VLOOKUP($A436,conferencias,2,0),"")))))))))),"")*K$3,"")</f>
        <v/>
      </c>
      <c r="L436" t="str">
        <f>IFERROR(IFERROR(IF(L$5='Conceptos Desglosados'!$H$4,VLOOKUP($A436,dormitorios,2,0),IF(L$5='Conceptos Desglosados'!$H$5,VLOOKUP($A436,comedor,2,0),IF(L$5='Conceptos Desglosados'!$H$6,VLOOKUP($A436,alojamiento,2,0),IF(L$5='Conceptos Desglosados'!$H$7,VLOOKUP($A436,sanidad,2,0),IF(L$5='Conceptos Desglosados'!$H$8,VLOOKUP($A436,servicios,2,0),IF(L$5='Conceptos Desglosados'!$H$9,VLOOKUP($A436,comyaloj,2,0),IF(L$5='Conceptos Desglosados'!$H$10,VLOOKUP($A436,comandancia,2,0),IF(L$5='Conceptos Desglosados'!$H$11,VLOOKUP($A436,mantenimiento,2,0),IF(L$5='Conceptos Desglosados'!$H$12,VLOOKUP($A436,serestatal,2,0),IF(L$5='Conceptos Desglosados'!$H$13,VLOOKUP($A436,conferencias,2,0),"")))))))))),"")*L$3,"")</f>
        <v/>
      </c>
      <c r="M436" t="str">
        <f>IFERROR(IFERROR(IF(M$5='Conceptos Desglosados'!$H$4,VLOOKUP($A436,dormitorios,2,0),IF(M$5='Conceptos Desglosados'!$H$5,VLOOKUP($A436,comedor,2,0),IF(M$5='Conceptos Desglosados'!$H$6,VLOOKUP($A436,alojamiento,2,0),IF(M$5='Conceptos Desglosados'!$H$7,VLOOKUP($A436,sanidad,2,0),IF(M$5='Conceptos Desglosados'!$H$8,VLOOKUP($A436,servicios,2,0),IF(M$5='Conceptos Desglosados'!$H$9,VLOOKUP($A436,comyaloj,2,0),IF(M$5='Conceptos Desglosados'!$H$10,VLOOKUP($A436,comandancia,2,0),IF(M$5='Conceptos Desglosados'!$H$11,VLOOKUP($A436,mantenimiento,2,0),IF(M$5='Conceptos Desglosados'!$H$12,VLOOKUP($A436,serestatal,2,0),IF(M$5='Conceptos Desglosados'!$H$13,VLOOKUP($A436,conferencias,2,0),"")))))))))),"")*M$3,"")</f>
        <v/>
      </c>
      <c r="O436">
        <f>SUM(K436:M436)</f>
        <v>0</v>
      </c>
    </row>
    <row r="437" spans="1:15" x14ac:dyDescent="0.35">
      <c r="A437">
        <v>432</v>
      </c>
      <c r="B437" t="s">
        <v>11</v>
      </c>
      <c r="C437" t="s">
        <v>388</v>
      </c>
      <c r="D437" t="s">
        <v>389</v>
      </c>
      <c r="E437" t="s">
        <v>1</v>
      </c>
      <c r="F437" t="s">
        <v>310</v>
      </c>
      <c r="G437" t="s">
        <v>2</v>
      </c>
      <c r="H437">
        <v>1.9750000000000001</v>
      </c>
      <c r="I437">
        <v>2.7149999999999999</v>
      </c>
      <c r="J437" t="s">
        <v>6</v>
      </c>
      <c r="K437" t="str">
        <f>IFERROR(IFERROR(IF(K$5='Conceptos Desglosados'!$H$4,VLOOKUP($A437,dormitorios,2,0),IF(K$5='Conceptos Desglosados'!$H$5,VLOOKUP($A437,comedor,2,0),IF(K$5='Conceptos Desglosados'!$H$6,VLOOKUP($A437,alojamiento,2,0),IF(K$5='Conceptos Desglosados'!$H$7,VLOOKUP($A437,sanidad,2,0),IF(K$5='Conceptos Desglosados'!$H$8,VLOOKUP($A437,servicios,2,0),IF(K$5='Conceptos Desglosados'!$H$9,VLOOKUP($A437,comyaloj,2,0),IF(K$5='Conceptos Desglosados'!$H$10,VLOOKUP($A437,comandancia,2,0),IF(K$5='Conceptos Desglosados'!$H$11,VLOOKUP($A437,mantenimiento,2,0),IF(K$5='Conceptos Desglosados'!$H$12,VLOOKUP($A437,serestatal,2,0),IF(K$5='Conceptos Desglosados'!$H$13,VLOOKUP($A437,conferencias,2,0),"")))))))))),"")*K$3,"")</f>
        <v/>
      </c>
      <c r="L437" t="str">
        <f>IFERROR(IFERROR(IF(L$5='Conceptos Desglosados'!$H$4,VLOOKUP($A437,dormitorios,2,0),IF(L$5='Conceptos Desglosados'!$H$5,VLOOKUP($A437,comedor,2,0),IF(L$5='Conceptos Desglosados'!$H$6,VLOOKUP($A437,alojamiento,2,0),IF(L$5='Conceptos Desglosados'!$H$7,VLOOKUP($A437,sanidad,2,0),IF(L$5='Conceptos Desglosados'!$H$8,VLOOKUP($A437,servicios,2,0),IF(L$5='Conceptos Desglosados'!$H$9,VLOOKUP($A437,comyaloj,2,0),IF(L$5='Conceptos Desglosados'!$H$10,VLOOKUP($A437,comandancia,2,0),IF(L$5='Conceptos Desglosados'!$H$11,VLOOKUP($A437,mantenimiento,2,0),IF(L$5='Conceptos Desglosados'!$H$12,VLOOKUP($A437,serestatal,2,0),IF(L$5='Conceptos Desglosados'!$H$13,VLOOKUP($A437,conferencias,2,0),"")))))))))),"")*L$3,"")</f>
        <v/>
      </c>
      <c r="M437" t="str">
        <f>IFERROR(IFERROR(IF(M$5='Conceptos Desglosados'!$H$4,VLOOKUP($A437,dormitorios,2,0),IF(M$5='Conceptos Desglosados'!$H$5,VLOOKUP($A437,comedor,2,0),IF(M$5='Conceptos Desglosados'!$H$6,VLOOKUP($A437,alojamiento,2,0),IF(M$5='Conceptos Desglosados'!$H$7,VLOOKUP($A437,sanidad,2,0),IF(M$5='Conceptos Desglosados'!$H$8,VLOOKUP($A437,servicios,2,0),IF(M$5='Conceptos Desglosados'!$H$9,VLOOKUP($A437,comyaloj,2,0),IF(M$5='Conceptos Desglosados'!$H$10,VLOOKUP($A437,comandancia,2,0),IF(M$5='Conceptos Desglosados'!$H$11,VLOOKUP($A437,mantenimiento,2,0),IF(M$5='Conceptos Desglosados'!$H$12,VLOOKUP($A437,serestatal,2,0),IF(M$5='Conceptos Desglosados'!$H$13,VLOOKUP($A437,conferencias,2,0),"")))))))))),"")*M$3,"")</f>
        <v/>
      </c>
      <c r="O437">
        <f>SUM(K437:M437)</f>
        <v>0</v>
      </c>
    </row>
    <row r="438" spans="1:15" x14ac:dyDescent="0.35">
      <c r="A438">
        <v>433</v>
      </c>
      <c r="B438" t="s">
        <v>11</v>
      </c>
      <c r="C438" t="s">
        <v>313</v>
      </c>
      <c r="D438" t="s">
        <v>314</v>
      </c>
      <c r="E438" t="s">
        <v>300</v>
      </c>
      <c r="F438" t="s">
        <v>310</v>
      </c>
      <c r="G438" t="s">
        <v>9</v>
      </c>
      <c r="H438">
        <v>1.9750000000000001</v>
      </c>
      <c r="I438">
        <v>2.7149999999999999</v>
      </c>
      <c r="J438" t="s">
        <v>6</v>
      </c>
      <c r="K438" t="str">
        <f>IFERROR(IFERROR(IF(K$5='Conceptos Desglosados'!$H$4,VLOOKUP($A438,dormitorios,2,0),IF(K$5='Conceptos Desglosados'!$H$5,VLOOKUP($A438,comedor,2,0),IF(K$5='Conceptos Desglosados'!$H$6,VLOOKUP($A438,alojamiento,2,0),IF(K$5='Conceptos Desglosados'!$H$7,VLOOKUP($A438,sanidad,2,0),IF(K$5='Conceptos Desglosados'!$H$8,VLOOKUP($A438,servicios,2,0),IF(K$5='Conceptos Desglosados'!$H$9,VLOOKUP($A438,comyaloj,2,0),IF(K$5='Conceptos Desglosados'!$H$10,VLOOKUP($A438,comandancia,2,0),IF(K$5='Conceptos Desglosados'!$H$11,VLOOKUP($A438,mantenimiento,2,0),IF(K$5='Conceptos Desglosados'!$H$12,VLOOKUP($A438,serestatal,2,0),IF(K$5='Conceptos Desglosados'!$H$13,VLOOKUP($A438,conferencias,2,0),"")))))))))),"")*K$3,"")</f>
        <v/>
      </c>
      <c r="L438" t="str">
        <f>IFERROR(IFERROR(IF(L$5='Conceptos Desglosados'!$H$4,VLOOKUP($A438,dormitorios,2,0),IF(L$5='Conceptos Desglosados'!$H$5,VLOOKUP($A438,comedor,2,0),IF(L$5='Conceptos Desglosados'!$H$6,VLOOKUP($A438,alojamiento,2,0),IF(L$5='Conceptos Desglosados'!$H$7,VLOOKUP($A438,sanidad,2,0),IF(L$5='Conceptos Desglosados'!$H$8,VLOOKUP($A438,servicios,2,0),IF(L$5='Conceptos Desglosados'!$H$9,VLOOKUP($A438,comyaloj,2,0),IF(L$5='Conceptos Desglosados'!$H$10,VLOOKUP($A438,comandancia,2,0),IF(L$5='Conceptos Desglosados'!$H$11,VLOOKUP($A438,mantenimiento,2,0),IF(L$5='Conceptos Desglosados'!$H$12,VLOOKUP($A438,serestatal,2,0),IF(L$5='Conceptos Desglosados'!$H$13,VLOOKUP($A438,conferencias,2,0),"")))))))))),"")*L$3,"")</f>
        <v/>
      </c>
      <c r="M438" t="str">
        <f>IFERROR(IFERROR(IF(M$5='Conceptos Desglosados'!$H$4,VLOOKUP($A438,dormitorios,2,0),IF(M$5='Conceptos Desglosados'!$H$5,VLOOKUP($A438,comedor,2,0),IF(M$5='Conceptos Desglosados'!$H$6,VLOOKUP($A438,alojamiento,2,0),IF(M$5='Conceptos Desglosados'!$H$7,VLOOKUP($A438,sanidad,2,0),IF(M$5='Conceptos Desglosados'!$H$8,VLOOKUP($A438,servicios,2,0),IF(M$5='Conceptos Desglosados'!$H$9,VLOOKUP($A438,comyaloj,2,0),IF(M$5='Conceptos Desglosados'!$H$10,VLOOKUP($A438,comandancia,2,0),IF(M$5='Conceptos Desglosados'!$H$11,VLOOKUP($A438,mantenimiento,2,0),IF(M$5='Conceptos Desglosados'!$H$12,VLOOKUP($A438,serestatal,2,0),IF(M$5='Conceptos Desglosados'!$H$13,VLOOKUP($A438,conferencias,2,0),"")))))))))),"")*M$3,"")</f>
        <v/>
      </c>
      <c r="O438">
        <f>SUM(K438:M438)</f>
        <v>0</v>
      </c>
    </row>
    <row r="439" spans="1:15" x14ac:dyDescent="0.35">
      <c r="A439">
        <v>434</v>
      </c>
      <c r="B439" t="s">
        <v>11</v>
      </c>
      <c r="C439" t="s">
        <v>315</v>
      </c>
      <c r="D439" t="s">
        <v>316</v>
      </c>
      <c r="E439" t="s">
        <v>419</v>
      </c>
      <c r="F439" t="s">
        <v>310</v>
      </c>
      <c r="G439" t="s">
        <v>9</v>
      </c>
      <c r="H439">
        <v>1.9750000000000001</v>
      </c>
      <c r="I439">
        <v>2.7149999999999999</v>
      </c>
      <c r="J439" t="s">
        <v>6</v>
      </c>
      <c r="K439" t="str">
        <f>IFERROR(IFERROR(IF(K$5='Conceptos Desglosados'!$H$4,VLOOKUP($A439,dormitorios,2,0),IF(K$5='Conceptos Desglosados'!$H$5,VLOOKUP($A439,comedor,2,0),IF(K$5='Conceptos Desglosados'!$H$6,VLOOKUP($A439,alojamiento,2,0),IF(K$5='Conceptos Desglosados'!$H$7,VLOOKUP($A439,sanidad,2,0),IF(K$5='Conceptos Desglosados'!$H$8,VLOOKUP($A439,servicios,2,0),IF(K$5='Conceptos Desglosados'!$H$9,VLOOKUP($A439,comyaloj,2,0),IF(K$5='Conceptos Desglosados'!$H$10,VLOOKUP($A439,comandancia,2,0),IF(K$5='Conceptos Desglosados'!$H$11,VLOOKUP($A439,mantenimiento,2,0),IF(K$5='Conceptos Desglosados'!$H$12,VLOOKUP($A439,serestatal,2,0),IF(K$5='Conceptos Desglosados'!$H$13,VLOOKUP($A439,conferencias,2,0),"")))))))))),"")*K$3,"")</f>
        <v/>
      </c>
      <c r="L439" t="str">
        <f>IFERROR(IFERROR(IF(L$5='Conceptos Desglosados'!$H$4,VLOOKUP($A439,dormitorios,2,0),IF(L$5='Conceptos Desglosados'!$H$5,VLOOKUP($A439,comedor,2,0),IF(L$5='Conceptos Desglosados'!$H$6,VLOOKUP($A439,alojamiento,2,0),IF(L$5='Conceptos Desglosados'!$H$7,VLOOKUP($A439,sanidad,2,0),IF(L$5='Conceptos Desglosados'!$H$8,VLOOKUP($A439,servicios,2,0),IF(L$5='Conceptos Desglosados'!$H$9,VLOOKUP($A439,comyaloj,2,0),IF(L$5='Conceptos Desglosados'!$H$10,VLOOKUP($A439,comandancia,2,0),IF(L$5='Conceptos Desglosados'!$H$11,VLOOKUP($A439,mantenimiento,2,0),IF(L$5='Conceptos Desglosados'!$H$12,VLOOKUP($A439,serestatal,2,0),IF(L$5='Conceptos Desglosados'!$H$13,VLOOKUP($A439,conferencias,2,0),"")))))))))),"")*L$3,"")</f>
        <v/>
      </c>
      <c r="M439" t="str">
        <f>IFERROR(IFERROR(IF(M$5='Conceptos Desglosados'!$H$4,VLOOKUP($A439,dormitorios,2,0),IF(M$5='Conceptos Desglosados'!$H$5,VLOOKUP($A439,comedor,2,0),IF(M$5='Conceptos Desglosados'!$H$6,VLOOKUP($A439,alojamiento,2,0),IF(M$5='Conceptos Desglosados'!$H$7,VLOOKUP($A439,sanidad,2,0),IF(M$5='Conceptos Desglosados'!$H$8,VLOOKUP($A439,servicios,2,0),IF(M$5='Conceptos Desglosados'!$H$9,VLOOKUP($A439,comyaloj,2,0),IF(M$5='Conceptos Desglosados'!$H$10,VLOOKUP($A439,comandancia,2,0),IF(M$5='Conceptos Desglosados'!$H$11,VLOOKUP($A439,mantenimiento,2,0),IF(M$5='Conceptos Desglosados'!$H$12,VLOOKUP($A439,serestatal,2,0),IF(M$5='Conceptos Desglosados'!$H$13,VLOOKUP($A439,conferencias,2,0),"")))))))))),"")*M$3,"")</f>
        <v/>
      </c>
      <c r="O439">
        <f>SUM(K439:M439)</f>
        <v>0</v>
      </c>
    </row>
    <row r="440" spans="1:15" x14ac:dyDescent="0.35">
      <c r="A440">
        <v>435</v>
      </c>
      <c r="B440" t="s">
        <v>11</v>
      </c>
      <c r="C440" t="s">
        <v>317</v>
      </c>
      <c r="D440" t="s">
        <v>318</v>
      </c>
      <c r="E440" t="s">
        <v>419</v>
      </c>
      <c r="F440" t="s">
        <v>310</v>
      </c>
      <c r="G440" t="s">
        <v>9</v>
      </c>
      <c r="H440">
        <v>1.9750000000000001</v>
      </c>
      <c r="I440">
        <v>3</v>
      </c>
      <c r="J440" t="s">
        <v>6</v>
      </c>
      <c r="K440" t="str">
        <f>IFERROR(IFERROR(IF(K$5='Conceptos Desglosados'!$H$4,VLOOKUP($A440,dormitorios,2,0),IF(K$5='Conceptos Desglosados'!$H$5,VLOOKUP($A440,comedor,2,0),IF(K$5='Conceptos Desglosados'!$H$6,VLOOKUP($A440,alojamiento,2,0),IF(K$5='Conceptos Desglosados'!$H$7,VLOOKUP($A440,sanidad,2,0),IF(K$5='Conceptos Desglosados'!$H$8,VLOOKUP($A440,servicios,2,0),IF(K$5='Conceptos Desglosados'!$H$9,VLOOKUP($A440,comyaloj,2,0),IF(K$5='Conceptos Desglosados'!$H$10,VLOOKUP($A440,comandancia,2,0),IF(K$5='Conceptos Desglosados'!$H$11,VLOOKUP($A440,mantenimiento,2,0),IF(K$5='Conceptos Desglosados'!$H$12,VLOOKUP($A440,serestatal,2,0),IF(K$5='Conceptos Desglosados'!$H$13,VLOOKUP($A440,conferencias,2,0),"")))))))))),"")*K$3,"")</f>
        <v/>
      </c>
      <c r="L440" t="str">
        <f>IFERROR(IFERROR(IF(L$5='Conceptos Desglosados'!$H$4,VLOOKUP($A440,dormitorios,2,0),IF(L$5='Conceptos Desglosados'!$H$5,VLOOKUP($A440,comedor,2,0),IF(L$5='Conceptos Desglosados'!$H$6,VLOOKUP($A440,alojamiento,2,0),IF(L$5='Conceptos Desglosados'!$H$7,VLOOKUP($A440,sanidad,2,0),IF(L$5='Conceptos Desglosados'!$H$8,VLOOKUP($A440,servicios,2,0),IF(L$5='Conceptos Desglosados'!$H$9,VLOOKUP($A440,comyaloj,2,0),IF(L$5='Conceptos Desglosados'!$H$10,VLOOKUP($A440,comandancia,2,0),IF(L$5='Conceptos Desglosados'!$H$11,VLOOKUP($A440,mantenimiento,2,0),IF(L$5='Conceptos Desglosados'!$H$12,VLOOKUP($A440,serestatal,2,0),IF(L$5='Conceptos Desglosados'!$H$13,VLOOKUP($A440,conferencias,2,0),"")))))))))),"")*L$3,"")</f>
        <v/>
      </c>
      <c r="M440" t="str">
        <f>IFERROR(IFERROR(IF(M$5='Conceptos Desglosados'!$H$4,VLOOKUP($A440,dormitorios,2,0),IF(M$5='Conceptos Desglosados'!$H$5,VLOOKUP($A440,comedor,2,0),IF(M$5='Conceptos Desglosados'!$H$6,VLOOKUP($A440,alojamiento,2,0),IF(M$5='Conceptos Desglosados'!$H$7,VLOOKUP($A440,sanidad,2,0),IF(M$5='Conceptos Desglosados'!$H$8,VLOOKUP($A440,servicios,2,0),IF(M$5='Conceptos Desglosados'!$H$9,VLOOKUP($A440,comyaloj,2,0),IF(M$5='Conceptos Desglosados'!$H$10,VLOOKUP($A440,comandancia,2,0),IF(M$5='Conceptos Desglosados'!$H$11,VLOOKUP($A440,mantenimiento,2,0),IF(M$5='Conceptos Desglosados'!$H$12,VLOOKUP($A440,serestatal,2,0),IF(M$5='Conceptos Desglosados'!$H$13,VLOOKUP($A440,conferencias,2,0),"")))))))))),"")*M$3,"")</f>
        <v/>
      </c>
      <c r="O440">
        <f>SUM(K440:M440)</f>
        <v>0</v>
      </c>
    </row>
    <row r="441" spans="1:15" x14ac:dyDescent="0.35">
      <c r="A441">
        <v>436</v>
      </c>
      <c r="B441" t="s">
        <v>11</v>
      </c>
      <c r="C441" t="s">
        <v>320</v>
      </c>
      <c r="D441" t="s">
        <v>321</v>
      </c>
      <c r="E441" t="s">
        <v>319</v>
      </c>
      <c r="F441" t="s">
        <v>310</v>
      </c>
      <c r="G441" t="s">
        <v>9</v>
      </c>
      <c r="H441">
        <v>1.9750000000000001</v>
      </c>
      <c r="I441">
        <v>2.7149999999999999</v>
      </c>
      <c r="J441" t="s">
        <v>6</v>
      </c>
      <c r="K441" t="str">
        <f>IFERROR(IFERROR(IF(K$5='Conceptos Desglosados'!$H$4,VLOOKUP($A441,dormitorios,2,0),IF(K$5='Conceptos Desglosados'!$H$5,VLOOKUP($A441,comedor,2,0),IF(K$5='Conceptos Desglosados'!$H$6,VLOOKUP($A441,alojamiento,2,0),IF(K$5='Conceptos Desglosados'!$H$7,VLOOKUP($A441,sanidad,2,0),IF(K$5='Conceptos Desglosados'!$H$8,VLOOKUP($A441,servicios,2,0),IF(K$5='Conceptos Desglosados'!$H$9,VLOOKUP($A441,comyaloj,2,0),IF(K$5='Conceptos Desglosados'!$H$10,VLOOKUP($A441,comandancia,2,0),IF(K$5='Conceptos Desglosados'!$H$11,VLOOKUP($A441,mantenimiento,2,0),IF(K$5='Conceptos Desglosados'!$H$12,VLOOKUP($A441,serestatal,2,0),IF(K$5='Conceptos Desglosados'!$H$13,VLOOKUP($A441,conferencias,2,0),"")))))))))),"")*K$3,"")</f>
        <v/>
      </c>
      <c r="L441" t="str">
        <f>IFERROR(IFERROR(IF(L$5='Conceptos Desglosados'!$H$4,VLOOKUP($A441,dormitorios,2,0),IF(L$5='Conceptos Desglosados'!$H$5,VLOOKUP($A441,comedor,2,0),IF(L$5='Conceptos Desglosados'!$H$6,VLOOKUP($A441,alojamiento,2,0),IF(L$5='Conceptos Desglosados'!$H$7,VLOOKUP($A441,sanidad,2,0),IF(L$5='Conceptos Desglosados'!$H$8,VLOOKUP($A441,servicios,2,0),IF(L$5='Conceptos Desglosados'!$H$9,VLOOKUP($A441,comyaloj,2,0),IF(L$5='Conceptos Desglosados'!$H$10,VLOOKUP($A441,comandancia,2,0),IF(L$5='Conceptos Desglosados'!$H$11,VLOOKUP($A441,mantenimiento,2,0),IF(L$5='Conceptos Desglosados'!$H$12,VLOOKUP($A441,serestatal,2,0),IF(L$5='Conceptos Desglosados'!$H$13,VLOOKUP($A441,conferencias,2,0),"")))))))))),"")*L$3,"")</f>
        <v/>
      </c>
      <c r="M441" t="str">
        <f>IFERROR(IFERROR(IF(M$5='Conceptos Desglosados'!$H$4,VLOOKUP($A441,dormitorios,2,0),IF(M$5='Conceptos Desglosados'!$H$5,VLOOKUP($A441,comedor,2,0),IF(M$5='Conceptos Desglosados'!$H$6,VLOOKUP($A441,alojamiento,2,0),IF(M$5='Conceptos Desglosados'!$H$7,VLOOKUP($A441,sanidad,2,0),IF(M$5='Conceptos Desglosados'!$H$8,VLOOKUP($A441,servicios,2,0),IF(M$5='Conceptos Desglosados'!$H$9,VLOOKUP($A441,comyaloj,2,0),IF(M$5='Conceptos Desglosados'!$H$10,VLOOKUP($A441,comandancia,2,0),IF(M$5='Conceptos Desglosados'!$H$11,VLOOKUP($A441,mantenimiento,2,0),IF(M$5='Conceptos Desglosados'!$H$12,VLOOKUP($A441,serestatal,2,0),IF(M$5='Conceptos Desglosados'!$H$13,VLOOKUP($A441,conferencias,2,0),"")))))))))),"")*M$3,"")</f>
        <v/>
      </c>
      <c r="O441">
        <f>SUM(K441:M441)</f>
        <v>0</v>
      </c>
    </row>
    <row r="442" spans="1:15" x14ac:dyDescent="0.35">
      <c r="A442">
        <v>437</v>
      </c>
      <c r="B442" t="s">
        <v>11</v>
      </c>
      <c r="C442" t="s">
        <v>322</v>
      </c>
      <c r="D442" t="s">
        <v>323</v>
      </c>
      <c r="E442" t="s">
        <v>24</v>
      </c>
      <c r="F442" t="s">
        <v>310</v>
      </c>
      <c r="G442" t="s">
        <v>9</v>
      </c>
      <c r="H442">
        <v>1.9750000000000001</v>
      </c>
      <c r="I442">
        <v>2.7149999999999999</v>
      </c>
      <c r="J442" t="s">
        <v>6</v>
      </c>
      <c r="K442" t="str">
        <f>IFERROR(IFERROR(IF(K$5='Conceptos Desglosados'!$H$4,VLOOKUP($A442,dormitorios,2,0),IF(K$5='Conceptos Desglosados'!$H$5,VLOOKUP($A442,comedor,2,0),IF(K$5='Conceptos Desglosados'!$H$6,VLOOKUP($A442,alojamiento,2,0),IF(K$5='Conceptos Desglosados'!$H$7,VLOOKUP($A442,sanidad,2,0),IF(K$5='Conceptos Desglosados'!$H$8,VLOOKUP($A442,servicios,2,0),IF(K$5='Conceptos Desglosados'!$H$9,VLOOKUP($A442,comyaloj,2,0),IF(K$5='Conceptos Desglosados'!$H$10,VLOOKUP($A442,comandancia,2,0),IF(K$5='Conceptos Desglosados'!$H$11,VLOOKUP($A442,mantenimiento,2,0),IF(K$5='Conceptos Desglosados'!$H$12,VLOOKUP($A442,serestatal,2,0),IF(K$5='Conceptos Desglosados'!$H$13,VLOOKUP($A442,conferencias,2,0),"")))))))))),"")*K$3,"")</f>
        <v/>
      </c>
      <c r="L442" t="str">
        <f>IFERROR(IFERROR(IF(L$5='Conceptos Desglosados'!$H$4,VLOOKUP($A442,dormitorios,2,0),IF(L$5='Conceptos Desglosados'!$H$5,VLOOKUP($A442,comedor,2,0),IF(L$5='Conceptos Desglosados'!$H$6,VLOOKUP($A442,alojamiento,2,0),IF(L$5='Conceptos Desglosados'!$H$7,VLOOKUP($A442,sanidad,2,0),IF(L$5='Conceptos Desglosados'!$H$8,VLOOKUP($A442,servicios,2,0),IF(L$5='Conceptos Desglosados'!$H$9,VLOOKUP($A442,comyaloj,2,0),IF(L$5='Conceptos Desglosados'!$H$10,VLOOKUP($A442,comandancia,2,0),IF(L$5='Conceptos Desglosados'!$H$11,VLOOKUP($A442,mantenimiento,2,0),IF(L$5='Conceptos Desglosados'!$H$12,VLOOKUP($A442,serestatal,2,0),IF(L$5='Conceptos Desglosados'!$H$13,VLOOKUP($A442,conferencias,2,0),"")))))))))),"")*L$3,"")</f>
        <v/>
      </c>
      <c r="M442" t="str">
        <f>IFERROR(IFERROR(IF(M$5='Conceptos Desglosados'!$H$4,VLOOKUP($A442,dormitorios,2,0),IF(M$5='Conceptos Desglosados'!$H$5,VLOOKUP($A442,comedor,2,0),IF(M$5='Conceptos Desglosados'!$H$6,VLOOKUP($A442,alojamiento,2,0),IF(M$5='Conceptos Desglosados'!$H$7,VLOOKUP($A442,sanidad,2,0),IF(M$5='Conceptos Desglosados'!$H$8,VLOOKUP($A442,servicios,2,0),IF(M$5='Conceptos Desglosados'!$H$9,VLOOKUP($A442,comyaloj,2,0),IF(M$5='Conceptos Desglosados'!$H$10,VLOOKUP($A442,comandancia,2,0),IF(M$5='Conceptos Desglosados'!$H$11,VLOOKUP($A442,mantenimiento,2,0),IF(M$5='Conceptos Desglosados'!$H$12,VLOOKUP($A442,serestatal,2,0),IF(M$5='Conceptos Desglosados'!$H$13,VLOOKUP($A442,conferencias,2,0),"")))))))))),"")*M$3,"")</f>
        <v/>
      </c>
      <c r="O442">
        <f>SUM(K442:M442)</f>
        <v>0</v>
      </c>
    </row>
    <row r="443" spans="1:15" x14ac:dyDescent="0.35">
      <c r="A443">
        <v>438</v>
      </c>
      <c r="B443" t="s">
        <v>11</v>
      </c>
      <c r="C443" t="s">
        <v>324</v>
      </c>
      <c r="D443" t="s">
        <v>325</v>
      </c>
      <c r="E443" t="s">
        <v>112</v>
      </c>
      <c r="F443" t="s">
        <v>310</v>
      </c>
      <c r="G443" t="s">
        <v>9</v>
      </c>
      <c r="H443">
        <v>1.9750000000000001</v>
      </c>
      <c r="I443">
        <v>2.7149999999999999</v>
      </c>
      <c r="J443" t="s">
        <v>6</v>
      </c>
      <c r="K443" t="str">
        <f>IFERROR(IFERROR(IF(K$5='Conceptos Desglosados'!$H$4,VLOOKUP($A443,dormitorios,2,0),IF(K$5='Conceptos Desglosados'!$H$5,VLOOKUP($A443,comedor,2,0),IF(K$5='Conceptos Desglosados'!$H$6,VLOOKUP($A443,alojamiento,2,0),IF(K$5='Conceptos Desglosados'!$H$7,VLOOKUP($A443,sanidad,2,0),IF(K$5='Conceptos Desglosados'!$H$8,VLOOKUP($A443,servicios,2,0),IF(K$5='Conceptos Desglosados'!$H$9,VLOOKUP($A443,comyaloj,2,0),IF(K$5='Conceptos Desglosados'!$H$10,VLOOKUP($A443,comandancia,2,0),IF(K$5='Conceptos Desglosados'!$H$11,VLOOKUP($A443,mantenimiento,2,0),IF(K$5='Conceptos Desglosados'!$H$12,VLOOKUP($A443,serestatal,2,0),IF(K$5='Conceptos Desglosados'!$H$13,VLOOKUP($A443,conferencias,2,0),"")))))))))),"")*K$3,"")</f>
        <v/>
      </c>
      <c r="L443" t="str">
        <f>IFERROR(IFERROR(IF(L$5='Conceptos Desglosados'!$H$4,VLOOKUP($A443,dormitorios,2,0),IF(L$5='Conceptos Desglosados'!$H$5,VLOOKUP($A443,comedor,2,0),IF(L$5='Conceptos Desglosados'!$H$6,VLOOKUP($A443,alojamiento,2,0),IF(L$5='Conceptos Desglosados'!$H$7,VLOOKUP($A443,sanidad,2,0),IF(L$5='Conceptos Desglosados'!$H$8,VLOOKUP($A443,servicios,2,0),IF(L$5='Conceptos Desglosados'!$H$9,VLOOKUP($A443,comyaloj,2,0),IF(L$5='Conceptos Desglosados'!$H$10,VLOOKUP($A443,comandancia,2,0),IF(L$5='Conceptos Desglosados'!$H$11,VLOOKUP($A443,mantenimiento,2,0),IF(L$5='Conceptos Desglosados'!$H$12,VLOOKUP($A443,serestatal,2,0),IF(L$5='Conceptos Desglosados'!$H$13,VLOOKUP($A443,conferencias,2,0),"")))))))))),"")*L$3,"")</f>
        <v/>
      </c>
      <c r="M443" t="str">
        <f>IFERROR(IFERROR(IF(M$5='Conceptos Desglosados'!$H$4,VLOOKUP($A443,dormitorios,2,0),IF(M$5='Conceptos Desglosados'!$H$5,VLOOKUP($A443,comedor,2,0),IF(M$5='Conceptos Desglosados'!$H$6,VLOOKUP($A443,alojamiento,2,0),IF(M$5='Conceptos Desglosados'!$H$7,VLOOKUP($A443,sanidad,2,0),IF(M$5='Conceptos Desglosados'!$H$8,VLOOKUP($A443,servicios,2,0),IF(M$5='Conceptos Desglosados'!$H$9,VLOOKUP($A443,comyaloj,2,0),IF(M$5='Conceptos Desglosados'!$H$10,VLOOKUP($A443,comandancia,2,0),IF(M$5='Conceptos Desglosados'!$H$11,VLOOKUP($A443,mantenimiento,2,0),IF(M$5='Conceptos Desglosados'!$H$12,VLOOKUP($A443,serestatal,2,0),IF(M$5='Conceptos Desglosados'!$H$13,VLOOKUP($A443,conferencias,2,0),"")))))))))),"")*M$3,"")</f>
        <v/>
      </c>
      <c r="O443">
        <f>SUM(K443:M443)</f>
        <v>0</v>
      </c>
    </row>
    <row r="444" spans="1:15" x14ac:dyDescent="0.35">
      <c r="A444">
        <v>439</v>
      </c>
      <c r="B444" t="s">
        <v>11</v>
      </c>
      <c r="C444" t="s">
        <v>365</v>
      </c>
      <c r="D444" t="s">
        <v>366</v>
      </c>
      <c r="E444" t="s">
        <v>113</v>
      </c>
      <c r="F444" t="s">
        <v>310</v>
      </c>
      <c r="G444" t="s">
        <v>9</v>
      </c>
      <c r="H444">
        <v>1.9750000000000001</v>
      </c>
      <c r="I444">
        <v>2.7149999999999999</v>
      </c>
      <c r="J444" t="s">
        <v>6</v>
      </c>
      <c r="K444" t="str">
        <f>IFERROR(IFERROR(IF(K$5='Conceptos Desglosados'!$H$4,VLOOKUP($A444,dormitorios,2,0),IF(K$5='Conceptos Desglosados'!$H$5,VLOOKUP($A444,comedor,2,0),IF(K$5='Conceptos Desglosados'!$H$6,VLOOKUP($A444,alojamiento,2,0),IF(K$5='Conceptos Desglosados'!$H$7,VLOOKUP($A444,sanidad,2,0),IF(K$5='Conceptos Desglosados'!$H$8,VLOOKUP($A444,servicios,2,0),IF(K$5='Conceptos Desglosados'!$H$9,VLOOKUP($A444,comyaloj,2,0),IF(K$5='Conceptos Desglosados'!$H$10,VLOOKUP($A444,comandancia,2,0),IF(K$5='Conceptos Desglosados'!$H$11,VLOOKUP($A444,mantenimiento,2,0),IF(K$5='Conceptos Desglosados'!$H$12,VLOOKUP($A444,serestatal,2,0),IF(K$5='Conceptos Desglosados'!$H$13,VLOOKUP($A444,conferencias,2,0),"")))))))))),"")*K$3,"")</f>
        <v/>
      </c>
      <c r="L444" t="str">
        <f>IFERROR(IFERROR(IF(L$5='Conceptos Desglosados'!$H$4,VLOOKUP($A444,dormitorios,2,0),IF(L$5='Conceptos Desglosados'!$H$5,VLOOKUP($A444,comedor,2,0),IF(L$5='Conceptos Desglosados'!$H$6,VLOOKUP($A444,alojamiento,2,0),IF(L$5='Conceptos Desglosados'!$H$7,VLOOKUP($A444,sanidad,2,0),IF(L$5='Conceptos Desglosados'!$H$8,VLOOKUP($A444,servicios,2,0),IF(L$5='Conceptos Desglosados'!$H$9,VLOOKUP($A444,comyaloj,2,0),IF(L$5='Conceptos Desglosados'!$H$10,VLOOKUP($A444,comandancia,2,0),IF(L$5='Conceptos Desglosados'!$H$11,VLOOKUP($A444,mantenimiento,2,0),IF(L$5='Conceptos Desglosados'!$H$12,VLOOKUP($A444,serestatal,2,0),IF(L$5='Conceptos Desglosados'!$H$13,VLOOKUP($A444,conferencias,2,0),"")))))))))),"")*L$3,"")</f>
        <v/>
      </c>
      <c r="M444" t="str">
        <f>IFERROR(IFERROR(IF(M$5='Conceptos Desglosados'!$H$4,VLOOKUP($A444,dormitorios,2,0),IF(M$5='Conceptos Desglosados'!$H$5,VLOOKUP($A444,comedor,2,0),IF(M$5='Conceptos Desglosados'!$H$6,VLOOKUP($A444,alojamiento,2,0),IF(M$5='Conceptos Desglosados'!$H$7,VLOOKUP($A444,sanidad,2,0),IF(M$5='Conceptos Desglosados'!$H$8,VLOOKUP($A444,servicios,2,0),IF(M$5='Conceptos Desglosados'!$H$9,VLOOKUP($A444,comyaloj,2,0),IF(M$5='Conceptos Desglosados'!$H$10,VLOOKUP($A444,comandancia,2,0),IF(M$5='Conceptos Desglosados'!$H$11,VLOOKUP($A444,mantenimiento,2,0),IF(M$5='Conceptos Desglosados'!$H$12,VLOOKUP($A444,serestatal,2,0),IF(M$5='Conceptos Desglosados'!$H$13,VLOOKUP($A444,conferencias,2,0),"")))))))))),"")*M$3,"")</f>
        <v/>
      </c>
      <c r="O444">
        <f>SUM(K444:M444)</f>
        <v>0</v>
      </c>
    </row>
    <row r="445" spans="1:15" x14ac:dyDescent="0.35">
      <c r="A445">
        <v>440</v>
      </c>
      <c r="B445" t="s">
        <v>11</v>
      </c>
      <c r="C445" t="s">
        <v>390</v>
      </c>
      <c r="D445" t="s">
        <v>391</v>
      </c>
      <c r="E445" t="s">
        <v>392</v>
      </c>
      <c r="F445" t="s">
        <v>310</v>
      </c>
      <c r="G445" t="s">
        <v>9</v>
      </c>
      <c r="H445">
        <v>1.9750000000000001</v>
      </c>
      <c r="I445">
        <v>3</v>
      </c>
      <c r="J445" t="s">
        <v>6</v>
      </c>
      <c r="K445" t="str">
        <f>IFERROR(IFERROR(IF(K$5='Conceptos Desglosados'!$H$4,VLOOKUP($A445,dormitorios,2,0),IF(K$5='Conceptos Desglosados'!$H$5,VLOOKUP($A445,comedor,2,0),IF(K$5='Conceptos Desglosados'!$H$6,VLOOKUP($A445,alojamiento,2,0),IF(K$5='Conceptos Desglosados'!$H$7,VLOOKUP($A445,sanidad,2,0),IF(K$5='Conceptos Desglosados'!$H$8,VLOOKUP($A445,servicios,2,0),IF(K$5='Conceptos Desglosados'!$H$9,VLOOKUP($A445,comyaloj,2,0),IF(K$5='Conceptos Desglosados'!$H$10,VLOOKUP($A445,comandancia,2,0),IF(K$5='Conceptos Desglosados'!$H$11,VLOOKUP($A445,mantenimiento,2,0),IF(K$5='Conceptos Desglosados'!$H$12,VLOOKUP($A445,serestatal,2,0),IF(K$5='Conceptos Desglosados'!$H$13,VLOOKUP($A445,conferencias,2,0),"")))))))))),"")*K$3,"")</f>
        <v/>
      </c>
      <c r="L445" t="str">
        <f>IFERROR(IFERROR(IF(L$5='Conceptos Desglosados'!$H$4,VLOOKUP($A445,dormitorios,2,0),IF(L$5='Conceptos Desglosados'!$H$5,VLOOKUP($A445,comedor,2,0),IF(L$5='Conceptos Desglosados'!$H$6,VLOOKUP($A445,alojamiento,2,0),IF(L$5='Conceptos Desglosados'!$H$7,VLOOKUP($A445,sanidad,2,0),IF(L$5='Conceptos Desglosados'!$H$8,VLOOKUP($A445,servicios,2,0),IF(L$5='Conceptos Desglosados'!$H$9,VLOOKUP($A445,comyaloj,2,0),IF(L$5='Conceptos Desglosados'!$H$10,VLOOKUP($A445,comandancia,2,0),IF(L$5='Conceptos Desglosados'!$H$11,VLOOKUP($A445,mantenimiento,2,0),IF(L$5='Conceptos Desglosados'!$H$12,VLOOKUP($A445,serestatal,2,0),IF(L$5='Conceptos Desglosados'!$H$13,VLOOKUP($A445,conferencias,2,0),"")))))))))),"")*L$3,"")</f>
        <v/>
      </c>
      <c r="M445" t="str">
        <f>IFERROR(IFERROR(IF(M$5='Conceptos Desglosados'!$H$4,VLOOKUP($A445,dormitorios,2,0),IF(M$5='Conceptos Desglosados'!$H$5,VLOOKUP($A445,comedor,2,0),IF(M$5='Conceptos Desglosados'!$H$6,VLOOKUP($A445,alojamiento,2,0),IF(M$5='Conceptos Desglosados'!$H$7,VLOOKUP($A445,sanidad,2,0),IF(M$5='Conceptos Desglosados'!$H$8,VLOOKUP($A445,servicios,2,0),IF(M$5='Conceptos Desglosados'!$H$9,VLOOKUP($A445,comyaloj,2,0),IF(M$5='Conceptos Desglosados'!$H$10,VLOOKUP($A445,comandancia,2,0),IF(M$5='Conceptos Desglosados'!$H$11,VLOOKUP($A445,mantenimiento,2,0),IF(M$5='Conceptos Desglosados'!$H$12,VLOOKUP($A445,serestatal,2,0),IF(M$5='Conceptos Desglosados'!$H$13,VLOOKUP($A445,conferencias,2,0),"")))))))))),"")*M$3,"")</f>
        <v/>
      </c>
      <c r="O445">
        <f>SUM(K445:M445)</f>
        <v>0</v>
      </c>
    </row>
    <row r="446" spans="1:15" x14ac:dyDescent="0.35">
      <c r="A446">
        <v>441</v>
      </c>
      <c r="B446" t="s">
        <v>11</v>
      </c>
      <c r="C446" t="s">
        <v>393</v>
      </c>
      <c r="D446" t="s">
        <v>394</v>
      </c>
      <c r="E446" t="s">
        <v>395</v>
      </c>
      <c r="F446" t="s">
        <v>310</v>
      </c>
      <c r="G446" t="s">
        <v>9</v>
      </c>
      <c r="H446">
        <v>1.9750000000000001</v>
      </c>
      <c r="I446">
        <v>3</v>
      </c>
      <c r="J446" t="s">
        <v>6</v>
      </c>
      <c r="K446" t="str">
        <f>IFERROR(IFERROR(IF(K$5='Conceptos Desglosados'!$H$4,VLOOKUP($A446,dormitorios,2,0),IF(K$5='Conceptos Desglosados'!$H$5,VLOOKUP($A446,comedor,2,0),IF(K$5='Conceptos Desglosados'!$H$6,VLOOKUP($A446,alojamiento,2,0),IF(K$5='Conceptos Desglosados'!$H$7,VLOOKUP($A446,sanidad,2,0),IF(K$5='Conceptos Desglosados'!$H$8,VLOOKUP($A446,servicios,2,0),IF(K$5='Conceptos Desglosados'!$H$9,VLOOKUP($A446,comyaloj,2,0),IF(K$5='Conceptos Desglosados'!$H$10,VLOOKUP($A446,comandancia,2,0),IF(K$5='Conceptos Desglosados'!$H$11,VLOOKUP($A446,mantenimiento,2,0),IF(K$5='Conceptos Desglosados'!$H$12,VLOOKUP($A446,serestatal,2,0),IF(K$5='Conceptos Desglosados'!$H$13,VLOOKUP($A446,conferencias,2,0),"")))))))))),"")*K$3,"")</f>
        <v/>
      </c>
      <c r="L446" t="str">
        <f>IFERROR(IFERROR(IF(L$5='Conceptos Desglosados'!$H$4,VLOOKUP($A446,dormitorios,2,0),IF(L$5='Conceptos Desglosados'!$H$5,VLOOKUP($A446,comedor,2,0),IF(L$5='Conceptos Desglosados'!$H$6,VLOOKUP($A446,alojamiento,2,0),IF(L$5='Conceptos Desglosados'!$H$7,VLOOKUP($A446,sanidad,2,0),IF(L$5='Conceptos Desglosados'!$H$8,VLOOKUP($A446,servicios,2,0),IF(L$5='Conceptos Desglosados'!$H$9,VLOOKUP($A446,comyaloj,2,0),IF(L$5='Conceptos Desglosados'!$H$10,VLOOKUP($A446,comandancia,2,0),IF(L$5='Conceptos Desglosados'!$H$11,VLOOKUP($A446,mantenimiento,2,0),IF(L$5='Conceptos Desglosados'!$H$12,VLOOKUP($A446,serestatal,2,0),IF(L$5='Conceptos Desglosados'!$H$13,VLOOKUP($A446,conferencias,2,0),"")))))))))),"")*L$3,"")</f>
        <v/>
      </c>
      <c r="M446" t="str">
        <f>IFERROR(IFERROR(IF(M$5='Conceptos Desglosados'!$H$4,VLOOKUP($A446,dormitorios,2,0),IF(M$5='Conceptos Desglosados'!$H$5,VLOOKUP($A446,comedor,2,0),IF(M$5='Conceptos Desglosados'!$H$6,VLOOKUP($A446,alojamiento,2,0),IF(M$5='Conceptos Desglosados'!$H$7,VLOOKUP($A446,sanidad,2,0),IF(M$5='Conceptos Desglosados'!$H$8,VLOOKUP($A446,servicios,2,0),IF(M$5='Conceptos Desglosados'!$H$9,VLOOKUP($A446,comyaloj,2,0),IF(M$5='Conceptos Desglosados'!$H$10,VLOOKUP($A446,comandancia,2,0),IF(M$5='Conceptos Desglosados'!$H$11,VLOOKUP($A446,mantenimiento,2,0),IF(M$5='Conceptos Desglosados'!$H$12,VLOOKUP($A446,serestatal,2,0),IF(M$5='Conceptos Desglosados'!$H$13,VLOOKUP($A446,conferencias,2,0),"")))))))))),"")*M$3,"")</f>
        <v/>
      </c>
      <c r="O446">
        <f>SUM(K446:M446)</f>
        <v>0</v>
      </c>
    </row>
    <row r="447" spans="1:15" x14ac:dyDescent="0.35">
      <c r="A447">
        <v>442</v>
      </c>
      <c r="B447" t="s">
        <v>11</v>
      </c>
      <c r="C447" t="s">
        <v>396</v>
      </c>
      <c r="D447" t="s">
        <v>397</v>
      </c>
      <c r="E447" t="s">
        <v>398</v>
      </c>
      <c r="F447" t="s">
        <v>310</v>
      </c>
      <c r="G447" t="s">
        <v>9</v>
      </c>
      <c r="H447">
        <v>1.9750000000000001</v>
      </c>
      <c r="I447">
        <v>2.7149999999999999</v>
      </c>
      <c r="J447" t="s">
        <v>6</v>
      </c>
      <c r="K447" t="str">
        <f>IFERROR(IFERROR(IF(K$5='Conceptos Desglosados'!$H$4,VLOOKUP($A447,dormitorios,2,0),IF(K$5='Conceptos Desglosados'!$H$5,VLOOKUP($A447,comedor,2,0),IF(K$5='Conceptos Desglosados'!$H$6,VLOOKUP($A447,alojamiento,2,0),IF(K$5='Conceptos Desglosados'!$H$7,VLOOKUP($A447,sanidad,2,0),IF(K$5='Conceptos Desglosados'!$H$8,VLOOKUP($A447,servicios,2,0),IF(K$5='Conceptos Desglosados'!$H$9,VLOOKUP($A447,comyaloj,2,0),IF(K$5='Conceptos Desglosados'!$H$10,VLOOKUP($A447,comandancia,2,0),IF(K$5='Conceptos Desglosados'!$H$11,VLOOKUP($A447,mantenimiento,2,0),IF(K$5='Conceptos Desglosados'!$H$12,VLOOKUP($A447,serestatal,2,0),IF(K$5='Conceptos Desglosados'!$H$13,VLOOKUP($A447,conferencias,2,0),"")))))))))),"")*K$3,"")</f>
        <v/>
      </c>
      <c r="L447" t="str">
        <f>IFERROR(IFERROR(IF(L$5='Conceptos Desglosados'!$H$4,VLOOKUP($A447,dormitorios,2,0),IF(L$5='Conceptos Desglosados'!$H$5,VLOOKUP($A447,comedor,2,0),IF(L$5='Conceptos Desglosados'!$H$6,VLOOKUP($A447,alojamiento,2,0),IF(L$5='Conceptos Desglosados'!$H$7,VLOOKUP($A447,sanidad,2,0),IF(L$5='Conceptos Desglosados'!$H$8,VLOOKUP($A447,servicios,2,0),IF(L$5='Conceptos Desglosados'!$H$9,VLOOKUP($A447,comyaloj,2,0),IF(L$5='Conceptos Desglosados'!$H$10,VLOOKUP($A447,comandancia,2,0),IF(L$5='Conceptos Desglosados'!$H$11,VLOOKUP($A447,mantenimiento,2,0),IF(L$5='Conceptos Desglosados'!$H$12,VLOOKUP($A447,serestatal,2,0),IF(L$5='Conceptos Desglosados'!$H$13,VLOOKUP($A447,conferencias,2,0),"")))))))))),"")*L$3,"")</f>
        <v/>
      </c>
      <c r="M447" t="str">
        <f>IFERROR(IFERROR(IF(M$5='Conceptos Desglosados'!$H$4,VLOOKUP($A447,dormitorios,2,0),IF(M$5='Conceptos Desglosados'!$H$5,VLOOKUP($A447,comedor,2,0),IF(M$5='Conceptos Desglosados'!$H$6,VLOOKUP($A447,alojamiento,2,0),IF(M$5='Conceptos Desglosados'!$H$7,VLOOKUP($A447,sanidad,2,0),IF(M$5='Conceptos Desglosados'!$H$8,VLOOKUP($A447,servicios,2,0),IF(M$5='Conceptos Desglosados'!$H$9,VLOOKUP($A447,comyaloj,2,0),IF(M$5='Conceptos Desglosados'!$H$10,VLOOKUP($A447,comandancia,2,0),IF(M$5='Conceptos Desglosados'!$H$11,VLOOKUP($A447,mantenimiento,2,0),IF(M$5='Conceptos Desglosados'!$H$12,VLOOKUP($A447,serestatal,2,0),IF(M$5='Conceptos Desglosados'!$H$13,VLOOKUP($A447,conferencias,2,0),"")))))))))),"")*M$3,"")</f>
        <v/>
      </c>
      <c r="O447">
        <f>SUM(K447:M447)</f>
        <v>0</v>
      </c>
    </row>
    <row r="448" spans="1:15" x14ac:dyDescent="0.35">
      <c r="A448">
        <v>443</v>
      </c>
      <c r="B448" t="s">
        <v>11</v>
      </c>
      <c r="C448" t="s">
        <v>399</v>
      </c>
      <c r="D448" t="s">
        <v>400</v>
      </c>
      <c r="E448" t="s">
        <v>401</v>
      </c>
      <c r="F448" t="s">
        <v>310</v>
      </c>
      <c r="G448" t="s">
        <v>9</v>
      </c>
      <c r="H448">
        <v>1.9750000000000001</v>
      </c>
      <c r="I448">
        <v>3.5</v>
      </c>
      <c r="J448" t="s">
        <v>6</v>
      </c>
      <c r="K448" t="str">
        <f>IFERROR(IFERROR(IF(K$5='Conceptos Desglosados'!$H$4,VLOOKUP($A448,dormitorios,2,0),IF(K$5='Conceptos Desglosados'!$H$5,VLOOKUP($A448,comedor,2,0),IF(K$5='Conceptos Desglosados'!$H$6,VLOOKUP($A448,alojamiento,2,0),IF(K$5='Conceptos Desglosados'!$H$7,VLOOKUP($A448,sanidad,2,0),IF(K$5='Conceptos Desglosados'!$H$8,VLOOKUP($A448,servicios,2,0),IF(K$5='Conceptos Desglosados'!$H$9,VLOOKUP($A448,comyaloj,2,0),IF(K$5='Conceptos Desglosados'!$H$10,VLOOKUP($A448,comandancia,2,0),IF(K$5='Conceptos Desglosados'!$H$11,VLOOKUP($A448,mantenimiento,2,0),IF(K$5='Conceptos Desglosados'!$H$12,VLOOKUP($A448,serestatal,2,0),IF(K$5='Conceptos Desglosados'!$H$13,VLOOKUP($A448,conferencias,2,0),"")))))))))),"")*K$3,"")</f>
        <v/>
      </c>
      <c r="L448" t="str">
        <f>IFERROR(IFERROR(IF(L$5='Conceptos Desglosados'!$H$4,VLOOKUP($A448,dormitorios,2,0),IF(L$5='Conceptos Desglosados'!$H$5,VLOOKUP($A448,comedor,2,0),IF(L$5='Conceptos Desglosados'!$H$6,VLOOKUP($A448,alojamiento,2,0),IF(L$5='Conceptos Desglosados'!$H$7,VLOOKUP($A448,sanidad,2,0),IF(L$5='Conceptos Desglosados'!$H$8,VLOOKUP($A448,servicios,2,0),IF(L$5='Conceptos Desglosados'!$H$9,VLOOKUP($A448,comyaloj,2,0),IF(L$5='Conceptos Desglosados'!$H$10,VLOOKUP($A448,comandancia,2,0),IF(L$5='Conceptos Desglosados'!$H$11,VLOOKUP($A448,mantenimiento,2,0),IF(L$5='Conceptos Desglosados'!$H$12,VLOOKUP($A448,serestatal,2,0),IF(L$5='Conceptos Desglosados'!$H$13,VLOOKUP($A448,conferencias,2,0),"")))))))))),"")*L$3,"")</f>
        <v/>
      </c>
      <c r="M448" t="str">
        <f>IFERROR(IFERROR(IF(M$5='Conceptos Desglosados'!$H$4,VLOOKUP($A448,dormitorios,2,0),IF(M$5='Conceptos Desglosados'!$H$5,VLOOKUP($A448,comedor,2,0),IF(M$5='Conceptos Desglosados'!$H$6,VLOOKUP($A448,alojamiento,2,0),IF(M$5='Conceptos Desglosados'!$H$7,VLOOKUP($A448,sanidad,2,0),IF(M$5='Conceptos Desglosados'!$H$8,VLOOKUP($A448,servicios,2,0),IF(M$5='Conceptos Desglosados'!$H$9,VLOOKUP($A448,comyaloj,2,0),IF(M$5='Conceptos Desglosados'!$H$10,VLOOKUP($A448,comandancia,2,0),IF(M$5='Conceptos Desglosados'!$H$11,VLOOKUP($A448,mantenimiento,2,0),IF(M$5='Conceptos Desglosados'!$H$12,VLOOKUP($A448,serestatal,2,0),IF(M$5='Conceptos Desglosados'!$H$13,VLOOKUP($A448,conferencias,2,0),"")))))))))),"")*M$3,"")</f>
        <v/>
      </c>
      <c r="O448">
        <f>SUM(K448:M448)</f>
        <v>0</v>
      </c>
    </row>
    <row r="449" spans="1:15" x14ac:dyDescent="0.35">
      <c r="A449">
        <v>444</v>
      </c>
      <c r="B449" t="s">
        <v>11</v>
      </c>
      <c r="C449" t="s">
        <v>402</v>
      </c>
      <c r="D449" t="s">
        <v>403</v>
      </c>
      <c r="E449" t="s">
        <v>404</v>
      </c>
      <c r="F449" t="s">
        <v>310</v>
      </c>
      <c r="G449" t="s">
        <v>9</v>
      </c>
      <c r="H449">
        <v>1.9750000000000001</v>
      </c>
      <c r="I449">
        <v>3.5</v>
      </c>
      <c r="J449" t="s">
        <v>6</v>
      </c>
      <c r="K449" t="str">
        <f>IFERROR(IFERROR(IF(K$5='Conceptos Desglosados'!$H$4,VLOOKUP($A449,dormitorios,2,0),IF(K$5='Conceptos Desglosados'!$H$5,VLOOKUP($A449,comedor,2,0),IF(K$5='Conceptos Desglosados'!$H$6,VLOOKUP($A449,alojamiento,2,0),IF(K$5='Conceptos Desglosados'!$H$7,VLOOKUP($A449,sanidad,2,0),IF(K$5='Conceptos Desglosados'!$H$8,VLOOKUP($A449,servicios,2,0),IF(K$5='Conceptos Desglosados'!$H$9,VLOOKUP($A449,comyaloj,2,0),IF(K$5='Conceptos Desglosados'!$H$10,VLOOKUP($A449,comandancia,2,0),IF(K$5='Conceptos Desglosados'!$H$11,VLOOKUP($A449,mantenimiento,2,0),IF(K$5='Conceptos Desglosados'!$H$12,VLOOKUP($A449,serestatal,2,0),IF(K$5='Conceptos Desglosados'!$H$13,VLOOKUP($A449,conferencias,2,0),"")))))))))),"")*K$3,"")</f>
        <v/>
      </c>
      <c r="L449" t="str">
        <f>IFERROR(IFERROR(IF(L$5='Conceptos Desglosados'!$H$4,VLOOKUP($A449,dormitorios,2,0),IF(L$5='Conceptos Desglosados'!$H$5,VLOOKUP($A449,comedor,2,0),IF(L$5='Conceptos Desglosados'!$H$6,VLOOKUP($A449,alojamiento,2,0),IF(L$5='Conceptos Desglosados'!$H$7,VLOOKUP($A449,sanidad,2,0),IF(L$5='Conceptos Desglosados'!$H$8,VLOOKUP($A449,servicios,2,0),IF(L$5='Conceptos Desglosados'!$H$9,VLOOKUP($A449,comyaloj,2,0),IF(L$5='Conceptos Desglosados'!$H$10,VLOOKUP($A449,comandancia,2,0),IF(L$5='Conceptos Desglosados'!$H$11,VLOOKUP($A449,mantenimiento,2,0),IF(L$5='Conceptos Desglosados'!$H$12,VLOOKUP($A449,serestatal,2,0),IF(L$5='Conceptos Desglosados'!$H$13,VLOOKUP($A449,conferencias,2,0),"")))))))))),"")*L$3,"")</f>
        <v/>
      </c>
      <c r="M449" t="str">
        <f>IFERROR(IFERROR(IF(M$5='Conceptos Desglosados'!$H$4,VLOOKUP($A449,dormitorios,2,0),IF(M$5='Conceptos Desglosados'!$H$5,VLOOKUP($A449,comedor,2,0),IF(M$5='Conceptos Desglosados'!$H$6,VLOOKUP($A449,alojamiento,2,0),IF(M$5='Conceptos Desglosados'!$H$7,VLOOKUP($A449,sanidad,2,0),IF(M$5='Conceptos Desglosados'!$H$8,VLOOKUP($A449,servicios,2,0),IF(M$5='Conceptos Desglosados'!$H$9,VLOOKUP($A449,comyaloj,2,0),IF(M$5='Conceptos Desglosados'!$H$10,VLOOKUP($A449,comandancia,2,0),IF(M$5='Conceptos Desglosados'!$H$11,VLOOKUP($A449,mantenimiento,2,0),IF(M$5='Conceptos Desglosados'!$H$12,VLOOKUP($A449,serestatal,2,0),IF(M$5='Conceptos Desglosados'!$H$13,VLOOKUP($A449,conferencias,2,0),"")))))))))),"")*M$3,"")</f>
        <v/>
      </c>
      <c r="O449">
        <f>SUM(K449:M449)</f>
        <v>0</v>
      </c>
    </row>
    <row r="450" spans="1:15" x14ac:dyDescent="0.35">
      <c r="A450">
        <v>445</v>
      </c>
      <c r="B450" t="s">
        <v>11</v>
      </c>
      <c r="C450" t="s">
        <v>497</v>
      </c>
      <c r="D450" t="s">
        <v>498</v>
      </c>
      <c r="E450" t="s">
        <v>499</v>
      </c>
      <c r="F450" t="s">
        <v>310</v>
      </c>
      <c r="G450" t="s">
        <v>9</v>
      </c>
      <c r="H450">
        <v>1.9750000000000001</v>
      </c>
      <c r="I450">
        <v>3.5</v>
      </c>
      <c r="J450" t="s">
        <v>6</v>
      </c>
      <c r="K450" t="str">
        <f>IFERROR(IFERROR(IF(K$5='Conceptos Desglosados'!$H$4,VLOOKUP($A450,dormitorios,2,0),IF(K$5='Conceptos Desglosados'!$H$5,VLOOKUP($A450,comedor,2,0),IF(K$5='Conceptos Desglosados'!$H$6,VLOOKUP($A450,alojamiento,2,0),IF(K$5='Conceptos Desglosados'!$H$7,VLOOKUP($A450,sanidad,2,0),IF(K$5='Conceptos Desglosados'!$H$8,VLOOKUP($A450,servicios,2,0),IF(K$5='Conceptos Desglosados'!$H$9,VLOOKUP($A450,comyaloj,2,0),IF(K$5='Conceptos Desglosados'!$H$10,VLOOKUP($A450,comandancia,2,0),IF(K$5='Conceptos Desglosados'!$H$11,VLOOKUP($A450,mantenimiento,2,0),IF(K$5='Conceptos Desglosados'!$H$12,VLOOKUP($A450,serestatal,2,0),IF(K$5='Conceptos Desglosados'!$H$13,VLOOKUP($A450,conferencias,2,0),"")))))))))),"")*K$3,"")</f>
        <v/>
      </c>
      <c r="L450" t="str">
        <f>IFERROR(IFERROR(IF(L$5='Conceptos Desglosados'!$H$4,VLOOKUP($A450,dormitorios,2,0),IF(L$5='Conceptos Desglosados'!$H$5,VLOOKUP($A450,comedor,2,0),IF(L$5='Conceptos Desglosados'!$H$6,VLOOKUP($A450,alojamiento,2,0),IF(L$5='Conceptos Desglosados'!$H$7,VLOOKUP($A450,sanidad,2,0),IF(L$5='Conceptos Desglosados'!$H$8,VLOOKUP($A450,servicios,2,0),IF(L$5='Conceptos Desglosados'!$H$9,VLOOKUP($A450,comyaloj,2,0),IF(L$5='Conceptos Desglosados'!$H$10,VLOOKUP($A450,comandancia,2,0),IF(L$5='Conceptos Desglosados'!$H$11,VLOOKUP($A450,mantenimiento,2,0),IF(L$5='Conceptos Desglosados'!$H$12,VLOOKUP($A450,serestatal,2,0),IF(L$5='Conceptos Desglosados'!$H$13,VLOOKUP($A450,conferencias,2,0),"")))))))))),"")*L$3,"")</f>
        <v/>
      </c>
      <c r="M450" t="str">
        <f>IFERROR(IFERROR(IF(M$5='Conceptos Desglosados'!$H$4,VLOOKUP($A450,dormitorios,2,0),IF(M$5='Conceptos Desglosados'!$H$5,VLOOKUP($A450,comedor,2,0),IF(M$5='Conceptos Desglosados'!$H$6,VLOOKUP($A450,alojamiento,2,0),IF(M$5='Conceptos Desglosados'!$H$7,VLOOKUP($A450,sanidad,2,0),IF(M$5='Conceptos Desglosados'!$H$8,VLOOKUP($A450,servicios,2,0),IF(M$5='Conceptos Desglosados'!$H$9,VLOOKUP($A450,comyaloj,2,0),IF(M$5='Conceptos Desglosados'!$H$10,VLOOKUP($A450,comandancia,2,0),IF(M$5='Conceptos Desglosados'!$H$11,VLOOKUP($A450,mantenimiento,2,0),IF(M$5='Conceptos Desglosados'!$H$12,VLOOKUP($A450,serestatal,2,0),IF(M$5='Conceptos Desglosados'!$H$13,VLOOKUP($A450,conferencias,2,0),"")))))))))),"")*M$3,"")</f>
        <v/>
      </c>
      <c r="O450">
        <f>SUM(K450:M450)</f>
        <v>0</v>
      </c>
    </row>
    <row r="451" spans="1:15" x14ac:dyDescent="0.35">
      <c r="A451">
        <v>446</v>
      </c>
      <c r="B451" t="s">
        <v>11</v>
      </c>
      <c r="C451" t="s">
        <v>326</v>
      </c>
      <c r="D451" t="s">
        <v>327</v>
      </c>
      <c r="E451" t="s">
        <v>114</v>
      </c>
      <c r="F451" t="s">
        <v>310</v>
      </c>
      <c r="G451" t="s">
        <v>9</v>
      </c>
      <c r="H451">
        <v>1.9750000000000001</v>
      </c>
      <c r="I451">
        <v>2.7149999999999999</v>
      </c>
      <c r="J451" t="s">
        <v>6</v>
      </c>
      <c r="K451" t="str">
        <f>IFERROR(IFERROR(IF(K$5='Conceptos Desglosados'!$H$4,VLOOKUP($A451,dormitorios,2,0),IF(K$5='Conceptos Desglosados'!$H$5,VLOOKUP($A451,comedor,2,0),IF(K$5='Conceptos Desglosados'!$H$6,VLOOKUP($A451,alojamiento,2,0),IF(K$5='Conceptos Desglosados'!$H$7,VLOOKUP($A451,sanidad,2,0),IF(K$5='Conceptos Desglosados'!$H$8,VLOOKUP($A451,servicios,2,0),IF(K$5='Conceptos Desglosados'!$H$9,VLOOKUP($A451,comyaloj,2,0),IF(K$5='Conceptos Desglosados'!$H$10,VLOOKUP($A451,comandancia,2,0),IF(K$5='Conceptos Desglosados'!$H$11,VLOOKUP($A451,mantenimiento,2,0),IF(K$5='Conceptos Desglosados'!$H$12,VLOOKUP($A451,serestatal,2,0),IF(K$5='Conceptos Desglosados'!$H$13,VLOOKUP($A451,conferencias,2,0),"")))))))))),"")*K$3,"")</f>
        <v/>
      </c>
      <c r="L451" t="str">
        <f>IFERROR(IFERROR(IF(L$5='Conceptos Desglosados'!$H$4,VLOOKUP($A451,dormitorios,2,0),IF(L$5='Conceptos Desglosados'!$H$5,VLOOKUP($A451,comedor,2,0),IF(L$5='Conceptos Desglosados'!$H$6,VLOOKUP($A451,alojamiento,2,0),IF(L$5='Conceptos Desglosados'!$H$7,VLOOKUP($A451,sanidad,2,0),IF(L$5='Conceptos Desglosados'!$H$8,VLOOKUP($A451,servicios,2,0),IF(L$5='Conceptos Desglosados'!$H$9,VLOOKUP($A451,comyaloj,2,0),IF(L$5='Conceptos Desglosados'!$H$10,VLOOKUP($A451,comandancia,2,0),IF(L$5='Conceptos Desglosados'!$H$11,VLOOKUP($A451,mantenimiento,2,0),IF(L$5='Conceptos Desglosados'!$H$12,VLOOKUP($A451,serestatal,2,0),IF(L$5='Conceptos Desglosados'!$H$13,VLOOKUP($A451,conferencias,2,0),"")))))))))),"")*L$3,"")</f>
        <v/>
      </c>
      <c r="M451" t="str">
        <f>IFERROR(IFERROR(IF(M$5='Conceptos Desglosados'!$H$4,VLOOKUP($A451,dormitorios,2,0),IF(M$5='Conceptos Desglosados'!$H$5,VLOOKUP($A451,comedor,2,0),IF(M$5='Conceptos Desglosados'!$H$6,VLOOKUP($A451,alojamiento,2,0),IF(M$5='Conceptos Desglosados'!$H$7,VLOOKUP($A451,sanidad,2,0),IF(M$5='Conceptos Desglosados'!$H$8,VLOOKUP($A451,servicios,2,0),IF(M$5='Conceptos Desglosados'!$H$9,VLOOKUP($A451,comyaloj,2,0),IF(M$5='Conceptos Desglosados'!$H$10,VLOOKUP($A451,comandancia,2,0),IF(M$5='Conceptos Desglosados'!$H$11,VLOOKUP($A451,mantenimiento,2,0),IF(M$5='Conceptos Desglosados'!$H$12,VLOOKUP($A451,serestatal,2,0),IF(M$5='Conceptos Desglosados'!$H$13,VLOOKUP($A451,conferencias,2,0),"")))))))))),"")*M$3,"")</f>
        <v/>
      </c>
      <c r="O451">
        <f>SUM(K451:M451)</f>
        <v>0</v>
      </c>
    </row>
    <row r="452" spans="1:15" x14ac:dyDescent="0.35">
      <c r="A452">
        <v>447</v>
      </c>
      <c r="B452" t="s">
        <v>11</v>
      </c>
      <c r="C452" t="s">
        <v>328</v>
      </c>
      <c r="D452" t="s">
        <v>329</v>
      </c>
      <c r="E452" t="s">
        <v>115</v>
      </c>
      <c r="F452" t="s">
        <v>310</v>
      </c>
      <c r="G452" t="s">
        <v>9</v>
      </c>
      <c r="H452">
        <v>1.9750000000000001</v>
      </c>
      <c r="I452">
        <v>2.7149999999999999</v>
      </c>
      <c r="J452" t="s">
        <v>6</v>
      </c>
      <c r="K452" t="str">
        <f>IFERROR(IFERROR(IF(K$5='Conceptos Desglosados'!$H$4,VLOOKUP($A452,dormitorios,2,0),IF(K$5='Conceptos Desglosados'!$H$5,VLOOKUP($A452,comedor,2,0),IF(K$5='Conceptos Desglosados'!$H$6,VLOOKUP($A452,alojamiento,2,0),IF(K$5='Conceptos Desglosados'!$H$7,VLOOKUP($A452,sanidad,2,0),IF(K$5='Conceptos Desglosados'!$H$8,VLOOKUP($A452,servicios,2,0),IF(K$5='Conceptos Desglosados'!$H$9,VLOOKUP($A452,comyaloj,2,0),IF(K$5='Conceptos Desglosados'!$H$10,VLOOKUP($A452,comandancia,2,0),IF(K$5='Conceptos Desglosados'!$H$11,VLOOKUP($A452,mantenimiento,2,0),IF(K$5='Conceptos Desglosados'!$H$12,VLOOKUP($A452,serestatal,2,0),IF(K$5='Conceptos Desglosados'!$H$13,VLOOKUP($A452,conferencias,2,0),"")))))))))),"")*K$3,"")</f>
        <v/>
      </c>
      <c r="L452" t="str">
        <f>IFERROR(IFERROR(IF(L$5='Conceptos Desglosados'!$H$4,VLOOKUP($A452,dormitorios,2,0),IF(L$5='Conceptos Desglosados'!$H$5,VLOOKUP($A452,comedor,2,0),IF(L$5='Conceptos Desglosados'!$H$6,VLOOKUP($A452,alojamiento,2,0),IF(L$5='Conceptos Desglosados'!$H$7,VLOOKUP($A452,sanidad,2,0),IF(L$5='Conceptos Desglosados'!$H$8,VLOOKUP($A452,servicios,2,0),IF(L$5='Conceptos Desglosados'!$H$9,VLOOKUP($A452,comyaloj,2,0),IF(L$5='Conceptos Desglosados'!$H$10,VLOOKUP($A452,comandancia,2,0),IF(L$5='Conceptos Desglosados'!$H$11,VLOOKUP($A452,mantenimiento,2,0),IF(L$5='Conceptos Desglosados'!$H$12,VLOOKUP($A452,serestatal,2,0),IF(L$5='Conceptos Desglosados'!$H$13,VLOOKUP($A452,conferencias,2,0),"")))))))))),"")*L$3,"")</f>
        <v/>
      </c>
      <c r="M452" t="str">
        <f>IFERROR(IFERROR(IF(M$5='Conceptos Desglosados'!$H$4,VLOOKUP($A452,dormitorios,2,0),IF(M$5='Conceptos Desglosados'!$H$5,VLOOKUP($A452,comedor,2,0),IF(M$5='Conceptos Desglosados'!$H$6,VLOOKUP($A452,alojamiento,2,0),IF(M$5='Conceptos Desglosados'!$H$7,VLOOKUP($A452,sanidad,2,0),IF(M$5='Conceptos Desglosados'!$H$8,VLOOKUP($A452,servicios,2,0),IF(M$5='Conceptos Desglosados'!$H$9,VLOOKUP($A452,comyaloj,2,0),IF(M$5='Conceptos Desglosados'!$H$10,VLOOKUP($A452,comandancia,2,0),IF(M$5='Conceptos Desglosados'!$H$11,VLOOKUP($A452,mantenimiento,2,0),IF(M$5='Conceptos Desglosados'!$H$12,VLOOKUP($A452,serestatal,2,0),IF(M$5='Conceptos Desglosados'!$H$13,VLOOKUP($A452,conferencias,2,0),"")))))))))),"")*M$3,"")</f>
        <v/>
      </c>
      <c r="O452">
        <f>SUM(K452:M452)</f>
        <v>0</v>
      </c>
    </row>
    <row r="453" spans="1:15" x14ac:dyDescent="0.35">
      <c r="A453">
        <v>448</v>
      </c>
      <c r="B453" t="s">
        <v>11</v>
      </c>
      <c r="C453" t="s">
        <v>330</v>
      </c>
      <c r="D453" t="s">
        <v>331</v>
      </c>
      <c r="E453" t="s">
        <v>332</v>
      </c>
      <c r="F453" t="s">
        <v>310</v>
      </c>
      <c r="G453" t="s">
        <v>9</v>
      </c>
      <c r="H453">
        <v>1.9750000000000001</v>
      </c>
      <c r="I453">
        <v>2.7149999999999999</v>
      </c>
      <c r="J453" t="s">
        <v>6</v>
      </c>
      <c r="K453" t="str">
        <f>IFERROR(IFERROR(IF(K$5='Conceptos Desglosados'!$H$4,VLOOKUP($A453,dormitorios,2,0),IF(K$5='Conceptos Desglosados'!$H$5,VLOOKUP($A453,comedor,2,0),IF(K$5='Conceptos Desglosados'!$H$6,VLOOKUP($A453,alojamiento,2,0),IF(K$5='Conceptos Desglosados'!$H$7,VLOOKUP($A453,sanidad,2,0),IF(K$5='Conceptos Desglosados'!$H$8,VLOOKUP($A453,servicios,2,0),IF(K$5='Conceptos Desglosados'!$H$9,VLOOKUP($A453,comyaloj,2,0),IF(K$5='Conceptos Desglosados'!$H$10,VLOOKUP($A453,comandancia,2,0),IF(K$5='Conceptos Desglosados'!$H$11,VLOOKUP($A453,mantenimiento,2,0),IF(K$5='Conceptos Desglosados'!$H$12,VLOOKUP($A453,serestatal,2,0),IF(K$5='Conceptos Desglosados'!$H$13,VLOOKUP($A453,conferencias,2,0),"")))))))))),"")*K$3,"")</f>
        <v/>
      </c>
      <c r="L453" t="str">
        <f>IFERROR(IFERROR(IF(L$5='Conceptos Desglosados'!$H$4,VLOOKUP($A453,dormitorios,2,0),IF(L$5='Conceptos Desglosados'!$H$5,VLOOKUP($A453,comedor,2,0),IF(L$5='Conceptos Desglosados'!$H$6,VLOOKUP($A453,alojamiento,2,0),IF(L$5='Conceptos Desglosados'!$H$7,VLOOKUP($A453,sanidad,2,0),IF(L$5='Conceptos Desglosados'!$H$8,VLOOKUP($A453,servicios,2,0),IF(L$5='Conceptos Desglosados'!$H$9,VLOOKUP($A453,comyaloj,2,0),IF(L$5='Conceptos Desglosados'!$H$10,VLOOKUP($A453,comandancia,2,0),IF(L$5='Conceptos Desglosados'!$H$11,VLOOKUP($A453,mantenimiento,2,0),IF(L$5='Conceptos Desglosados'!$H$12,VLOOKUP($A453,serestatal,2,0),IF(L$5='Conceptos Desglosados'!$H$13,VLOOKUP($A453,conferencias,2,0),"")))))))))),"")*L$3,"")</f>
        <v/>
      </c>
      <c r="M453" t="str">
        <f>IFERROR(IFERROR(IF(M$5='Conceptos Desglosados'!$H$4,VLOOKUP($A453,dormitorios,2,0),IF(M$5='Conceptos Desglosados'!$H$5,VLOOKUP($A453,comedor,2,0),IF(M$5='Conceptos Desglosados'!$H$6,VLOOKUP($A453,alojamiento,2,0),IF(M$5='Conceptos Desglosados'!$H$7,VLOOKUP($A453,sanidad,2,0),IF(M$5='Conceptos Desglosados'!$H$8,VLOOKUP($A453,servicios,2,0),IF(M$5='Conceptos Desglosados'!$H$9,VLOOKUP($A453,comyaloj,2,0),IF(M$5='Conceptos Desglosados'!$H$10,VLOOKUP($A453,comandancia,2,0),IF(M$5='Conceptos Desglosados'!$H$11,VLOOKUP($A453,mantenimiento,2,0),IF(M$5='Conceptos Desglosados'!$H$12,VLOOKUP($A453,serestatal,2,0),IF(M$5='Conceptos Desglosados'!$H$13,VLOOKUP($A453,conferencias,2,0),"")))))))))),"")*M$3,"")</f>
        <v/>
      </c>
      <c r="O453">
        <f>SUM(K453:M453)</f>
        <v>0</v>
      </c>
    </row>
    <row r="454" spans="1:15" x14ac:dyDescent="0.35">
      <c r="A454">
        <v>449</v>
      </c>
      <c r="B454" t="s">
        <v>11</v>
      </c>
      <c r="C454" t="s">
        <v>333</v>
      </c>
      <c r="D454" t="s">
        <v>334</v>
      </c>
      <c r="E454" t="s">
        <v>335</v>
      </c>
      <c r="F454" t="s">
        <v>310</v>
      </c>
      <c r="G454" t="s">
        <v>9</v>
      </c>
      <c r="H454">
        <v>1.9750000000000001</v>
      </c>
      <c r="I454">
        <v>2.7149999999999999</v>
      </c>
      <c r="J454" t="s">
        <v>6</v>
      </c>
      <c r="K454" t="str">
        <f>IFERROR(IFERROR(IF(K$5='Conceptos Desglosados'!$H$4,VLOOKUP($A454,dormitorios,2,0),IF(K$5='Conceptos Desglosados'!$H$5,VLOOKUP($A454,comedor,2,0),IF(K$5='Conceptos Desglosados'!$H$6,VLOOKUP($A454,alojamiento,2,0),IF(K$5='Conceptos Desglosados'!$H$7,VLOOKUP($A454,sanidad,2,0),IF(K$5='Conceptos Desglosados'!$H$8,VLOOKUP($A454,servicios,2,0),IF(K$5='Conceptos Desglosados'!$H$9,VLOOKUP($A454,comyaloj,2,0),IF(K$5='Conceptos Desglosados'!$H$10,VLOOKUP($A454,comandancia,2,0),IF(K$5='Conceptos Desglosados'!$H$11,VLOOKUP($A454,mantenimiento,2,0),IF(K$5='Conceptos Desglosados'!$H$12,VLOOKUP($A454,serestatal,2,0),IF(K$5='Conceptos Desglosados'!$H$13,VLOOKUP($A454,conferencias,2,0),"")))))))))),"")*K$3,"")</f>
        <v/>
      </c>
      <c r="L454" t="str">
        <f>IFERROR(IFERROR(IF(L$5='Conceptos Desglosados'!$H$4,VLOOKUP($A454,dormitorios,2,0),IF(L$5='Conceptos Desglosados'!$H$5,VLOOKUP($A454,comedor,2,0),IF(L$5='Conceptos Desglosados'!$H$6,VLOOKUP($A454,alojamiento,2,0),IF(L$5='Conceptos Desglosados'!$H$7,VLOOKUP($A454,sanidad,2,0),IF(L$5='Conceptos Desglosados'!$H$8,VLOOKUP($A454,servicios,2,0),IF(L$5='Conceptos Desglosados'!$H$9,VLOOKUP($A454,comyaloj,2,0),IF(L$5='Conceptos Desglosados'!$H$10,VLOOKUP($A454,comandancia,2,0),IF(L$5='Conceptos Desglosados'!$H$11,VLOOKUP($A454,mantenimiento,2,0),IF(L$5='Conceptos Desglosados'!$H$12,VLOOKUP($A454,serestatal,2,0),IF(L$5='Conceptos Desglosados'!$H$13,VLOOKUP($A454,conferencias,2,0),"")))))))))),"")*L$3,"")</f>
        <v/>
      </c>
      <c r="M454" t="str">
        <f>IFERROR(IFERROR(IF(M$5='Conceptos Desglosados'!$H$4,VLOOKUP($A454,dormitorios,2,0),IF(M$5='Conceptos Desglosados'!$H$5,VLOOKUP($A454,comedor,2,0),IF(M$5='Conceptos Desglosados'!$H$6,VLOOKUP($A454,alojamiento,2,0),IF(M$5='Conceptos Desglosados'!$H$7,VLOOKUP($A454,sanidad,2,0),IF(M$5='Conceptos Desglosados'!$H$8,VLOOKUP($A454,servicios,2,0),IF(M$5='Conceptos Desglosados'!$H$9,VLOOKUP($A454,comyaloj,2,0),IF(M$5='Conceptos Desglosados'!$H$10,VLOOKUP($A454,comandancia,2,0),IF(M$5='Conceptos Desglosados'!$H$11,VLOOKUP($A454,mantenimiento,2,0),IF(M$5='Conceptos Desglosados'!$H$12,VLOOKUP($A454,serestatal,2,0),IF(M$5='Conceptos Desglosados'!$H$13,VLOOKUP($A454,conferencias,2,0),"")))))))))),"")*M$3,"")</f>
        <v/>
      </c>
      <c r="O454">
        <f>SUM(K454:M454)</f>
        <v>0</v>
      </c>
    </row>
    <row r="455" spans="1:15" x14ac:dyDescent="0.35">
      <c r="A455">
        <v>450</v>
      </c>
      <c r="B455" t="s">
        <v>11</v>
      </c>
      <c r="C455" t="s">
        <v>336</v>
      </c>
      <c r="D455" t="s">
        <v>337</v>
      </c>
      <c r="E455" t="s">
        <v>338</v>
      </c>
      <c r="F455" t="s">
        <v>310</v>
      </c>
      <c r="G455" t="s">
        <v>9</v>
      </c>
      <c r="H455">
        <v>1.9750000000000001</v>
      </c>
      <c r="I455">
        <v>3</v>
      </c>
      <c r="J455" t="s">
        <v>6</v>
      </c>
      <c r="K455" t="str">
        <f>IFERROR(IFERROR(IF(K$5='Conceptos Desglosados'!$H$4,VLOOKUP($A455,dormitorios,2,0),IF(K$5='Conceptos Desglosados'!$H$5,VLOOKUP($A455,comedor,2,0),IF(K$5='Conceptos Desglosados'!$H$6,VLOOKUP($A455,alojamiento,2,0),IF(K$5='Conceptos Desglosados'!$H$7,VLOOKUP($A455,sanidad,2,0),IF(K$5='Conceptos Desglosados'!$H$8,VLOOKUP($A455,servicios,2,0),IF(K$5='Conceptos Desglosados'!$H$9,VLOOKUP($A455,comyaloj,2,0),IF(K$5='Conceptos Desglosados'!$H$10,VLOOKUP($A455,comandancia,2,0),IF(K$5='Conceptos Desglosados'!$H$11,VLOOKUP($A455,mantenimiento,2,0),IF(K$5='Conceptos Desglosados'!$H$12,VLOOKUP($A455,serestatal,2,0),IF(K$5='Conceptos Desglosados'!$H$13,VLOOKUP($A455,conferencias,2,0),"")))))))))),"")*K$3,"")</f>
        <v/>
      </c>
      <c r="L455" t="str">
        <f>IFERROR(IFERROR(IF(L$5='Conceptos Desglosados'!$H$4,VLOOKUP($A455,dormitorios,2,0),IF(L$5='Conceptos Desglosados'!$H$5,VLOOKUP($A455,comedor,2,0),IF(L$5='Conceptos Desglosados'!$H$6,VLOOKUP($A455,alojamiento,2,0),IF(L$5='Conceptos Desglosados'!$H$7,VLOOKUP($A455,sanidad,2,0),IF(L$5='Conceptos Desglosados'!$H$8,VLOOKUP($A455,servicios,2,0),IF(L$5='Conceptos Desglosados'!$H$9,VLOOKUP($A455,comyaloj,2,0),IF(L$5='Conceptos Desglosados'!$H$10,VLOOKUP($A455,comandancia,2,0),IF(L$5='Conceptos Desglosados'!$H$11,VLOOKUP($A455,mantenimiento,2,0),IF(L$5='Conceptos Desglosados'!$H$12,VLOOKUP($A455,serestatal,2,0),IF(L$5='Conceptos Desglosados'!$H$13,VLOOKUP($A455,conferencias,2,0),"")))))))))),"")*L$3,"")</f>
        <v/>
      </c>
      <c r="M455" t="str">
        <f>IFERROR(IFERROR(IF(M$5='Conceptos Desglosados'!$H$4,VLOOKUP($A455,dormitorios,2,0),IF(M$5='Conceptos Desglosados'!$H$5,VLOOKUP($A455,comedor,2,0),IF(M$5='Conceptos Desglosados'!$H$6,VLOOKUP($A455,alojamiento,2,0),IF(M$5='Conceptos Desglosados'!$H$7,VLOOKUP($A455,sanidad,2,0),IF(M$5='Conceptos Desglosados'!$H$8,VLOOKUP($A455,servicios,2,0),IF(M$5='Conceptos Desglosados'!$H$9,VLOOKUP($A455,comyaloj,2,0),IF(M$5='Conceptos Desglosados'!$H$10,VLOOKUP($A455,comandancia,2,0),IF(M$5='Conceptos Desglosados'!$H$11,VLOOKUP($A455,mantenimiento,2,0),IF(M$5='Conceptos Desglosados'!$H$12,VLOOKUP($A455,serestatal,2,0),IF(M$5='Conceptos Desglosados'!$H$13,VLOOKUP($A455,conferencias,2,0),"")))))))))),"")*M$3,"")</f>
        <v/>
      </c>
      <c r="O455">
        <f t="shared" ref="O455:O492" si="0">SUM(K455:M455)</f>
        <v>0</v>
      </c>
    </row>
    <row r="456" spans="1:15" x14ac:dyDescent="0.35">
      <c r="A456">
        <v>451</v>
      </c>
      <c r="B456" t="s">
        <v>11</v>
      </c>
      <c r="C456" t="s">
        <v>359</v>
      </c>
      <c r="D456" t="s">
        <v>360</v>
      </c>
      <c r="E456" t="s">
        <v>405</v>
      </c>
      <c r="F456" t="s">
        <v>310</v>
      </c>
      <c r="G456" t="s">
        <v>9</v>
      </c>
      <c r="H456">
        <v>1.9750000000000001</v>
      </c>
      <c r="I456">
        <v>3.5</v>
      </c>
      <c r="J456" t="s">
        <v>6</v>
      </c>
      <c r="K456" t="str">
        <f>IFERROR(IFERROR(IF(K$5='Conceptos Desglosados'!$H$4,VLOOKUP($A456,dormitorios,2,0),IF(K$5='Conceptos Desglosados'!$H$5,VLOOKUP($A456,comedor,2,0),IF(K$5='Conceptos Desglosados'!$H$6,VLOOKUP($A456,alojamiento,2,0),IF(K$5='Conceptos Desglosados'!$H$7,VLOOKUP($A456,sanidad,2,0),IF(K$5='Conceptos Desglosados'!$H$8,VLOOKUP($A456,servicios,2,0),IF(K$5='Conceptos Desglosados'!$H$9,VLOOKUP($A456,comyaloj,2,0),IF(K$5='Conceptos Desglosados'!$H$10,VLOOKUP($A456,comandancia,2,0),IF(K$5='Conceptos Desglosados'!$H$11,VLOOKUP($A456,mantenimiento,2,0),IF(K$5='Conceptos Desglosados'!$H$12,VLOOKUP($A456,serestatal,2,0),IF(K$5='Conceptos Desglosados'!$H$13,VLOOKUP($A456,conferencias,2,0),"")))))))))),"")*K$3,"")</f>
        <v/>
      </c>
      <c r="L456" t="str">
        <f>IFERROR(IFERROR(IF(L$5='Conceptos Desglosados'!$H$4,VLOOKUP($A456,dormitorios,2,0),IF(L$5='Conceptos Desglosados'!$H$5,VLOOKUP($A456,comedor,2,0),IF(L$5='Conceptos Desglosados'!$H$6,VLOOKUP($A456,alojamiento,2,0),IF(L$5='Conceptos Desglosados'!$H$7,VLOOKUP($A456,sanidad,2,0),IF(L$5='Conceptos Desglosados'!$H$8,VLOOKUP($A456,servicios,2,0),IF(L$5='Conceptos Desglosados'!$H$9,VLOOKUP($A456,comyaloj,2,0),IF(L$5='Conceptos Desglosados'!$H$10,VLOOKUP($A456,comandancia,2,0),IF(L$5='Conceptos Desglosados'!$H$11,VLOOKUP($A456,mantenimiento,2,0),IF(L$5='Conceptos Desglosados'!$H$12,VLOOKUP($A456,serestatal,2,0),IF(L$5='Conceptos Desglosados'!$H$13,VLOOKUP($A456,conferencias,2,0),"")))))))))),"")*L$3,"")</f>
        <v/>
      </c>
      <c r="M456" t="str">
        <f>IFERROR(IFERROR(IF(M$5='Conceptos Desglosados'!$H$4,VLOOKUP($A456,dormitorios,2,0),IF(M$5='Conceptos Desglosados'!$H$5,VLOOKUP($A456,comedor,2,0),IF(M$5='Conceptos Desglosados'!$H$6,VLOOKUP($A456,alojamiento,2,0),IF(M$5='Conceptos Desglosados'!$H$7,VLOOKUP($A456,sanidad,2,0),IF(M$5='Conceptos Desglosados'!$H$8,VLOOKUP($A456,servicios,2,0),IF(M$5='Conceptos Desglosados'!$H$9,VLOOKUP($A456,comyaloj,2,0),IF(M$5='Conceptos Desglosados'!$H$10,VLOOKUP($A456,comandancia,2,0),IF(M$5='Conceptos Desglosados'!$H$11,VLOOKUP($A456,mantenimiento,2,0),IF(M$5='Conceptos Desglosados'!$H$12,VLOOKUP($A456,serestatal,2,0),IF(M$5='Conceptos Desglosados'!$H$13,VLOOKUP($A456,conferencias,2,0),"")))))))))),"")*M$3,"")</f>
        <v/>
      </c>
      <c r="O456">
        <f t="shared" si="0"/>
        <v>0</v>
      </c>
    </row>
    <row r="457" spans="1:15" x14ac:dyDescent="0.35">
      <c r="A457">
        <v>452</v>
      </c>
      <c r="B457" t="s">
        <v>11</v>
      </c>
      <c r="C457" t="s">
        <v>361</v>
      </c>
      <c r="D457" t="s">
        <v>362</v>
      </c>
      <c r="E457" t="s">
        <v>406</v>
      </c>
      <c r="F457" t="s">
        <v>310</v>
      </c>
      <c r="G457" t="s">
        <v>9</v>
      </c>
      <c r="H457">
        <v>1.9750000000000001</v>
      </c>
      <c r="I457">
        <v>3.5</v>
      </c>
      <c r="J457" t="s">
        <v>6</v>
      </c>
      <c r="K457" t="str">
        <f>IFERROR(IFERROR(IF(K$5='Conceptos Desglosados'!$H$4,VLOOKUP($A457,dormitorios,2,0),IF(K$5='Conceptos Desglosados'!$H$5,VLOOKUP($A457,comedor,2,0),IF(K$5='Conceptos Desglosados'!$H$6,VLOOKUP($A457,alojamiento,2,0),IF(K$5='Conceptos Desglosados'!$H$7,VLOOKUP($A457,sanidad,2,0),IF(K$5='Conceptos Desglosados'!$H$8,VLOOKUP($A457,servicios,2,0),IF(K$5='Conceptos Desglosados'!$H$9,VLOOKUP($A457,comyaloj,2,0),IF(K$5='Conceptos Desglosados'!$H$10,VLOOKUP($A457,comandancia,2,0),IF(K$5='Conceptos Desglosados'!$H$11,VLOOKUP($A457,mantenimiento,2,0),IF(K$5='Conceptos Desglosados'!$H$12,VLOOKUP($A457,serestatal,2,0),IF(K$5='Conceptos Desglosados'!$H$13,VLOOKUP($A457,conferencias,2,0),"")))))))))),"")*K$3,"")</f>
        <v/>
      </c>
      <c r="L457" t="str">
        <f>IFERROR(IFERROR(IF(L$5='Conceptos Desglosados'!$H$4,VLOOKUP($A457,dormitorios,2,0),IF(L$5='Conceptos Desglosados'!$H$5,VLOOKUP($A457,comedor,2,0),IF(L$5='Conceptos Desglosados'!$H$6,VLOOKUP($A457,alojamiento,2,0),IF(L$5='Conceptos Desglosados'!$H$7,VLOOKUP($A457,sanidad,2,0),IF(L$5='Conceptos Desglosados'!$H$8,VLOOKUP($A457,servicios,2,0),IF(L$5='Conceptos Desglosados'!$H$9,VLOOKUP($A457,comyaloj,2,0),IF(L$5='Conceptos Desglosados'!$H$10,VLOOKUP($A457,comandancia,2,0),IF(L$5='Conceptos Desglosados'!$H$11,VLOOKUP($A457,mantenimiento,2,0),IF(L$5='Conceptos Desglosados'!$H$12,VLOOKUP($A457,serestatal,2,0),IF(L$5='Conceptos Desglosados'!$H$13,VLOOKUP($A457,conferencias,2,0),"")))))))))),"")*L$3,"")</f>
        <v/>
      </c>
      <c r="M457" t="str">
        <f>IFERROR(IFERROR(IF(M$5='Conceptos Desglosados'!$H$4,VLOOKUP($A457,dormitorios,2,0),IF(M$5='Conceptos Desglosados'!$H$5,VLOOKUP($A457,comedor,2,0),IF(M$5='Conceptos Desglosados'!$H$6,VLOOKUP($A457,alojamiento,2,0),IF(M$5='Conceptos Desglosados'!$H$7,VLOOKUP($A457,sanidad,2,0),IF(M$5='Conceptos Desglosados'!$H$8,VLOOKUP($A457,servicios,2,0),IF(M$5='Conceptos Desglosados'!$H$9,VLOOKUP($A457,comyaloj,2,0),IF(M$5='Conceptos Desglosados'!$H$10,VLOOKUP($A457,comandancia,2,0),IF(M$5='Conceptos Desglosados'!$H$11,VLOOKUP($A457,mantenimiento,2,0),IF(M$5='Conceptos Desglosados'!$H$12,VLOOKUP($A457,serestatal,2,0),IF(M$5='Conceptos Desglosados'!$H$13,VLOOKUP($A457,conferencias,2,0),"")))))))))),"")*M$3,"")</f>
        <v/>
      </c>
      <c r="O457">
        <f t="shared" si="0"/>
        <v>0</v>
      </c>
    </row>
    <row r="458" spans="1:15" x14ac:dyDescent="0.35">
      <c r="A458">
        <v>453</v>
      </c>
      <c r="B458" t="s">
        <v>11</v>
      </c>
      <c r="C458" t="s">
        <v>363</v>
      </c>
      <c r="D458" t="s">
        <v>364</v>
      </c>
      <c r="E458" t="s">
        <v>407</v>
      </c>
      <c r="F458" t="s">
        <v>310</v>
      </c>
      <c r="G458" t="s">
        <v>9</v>
      </c>
      <c r="H458">
        <v>1.9750000000000001</v>
      </c>
      <c r="I458">
        <v>3.5</v>
      </c>
      <c r="J458" t="s">
        <v>6</v>
      </c>
      <c r="K458" t="str">
        <f>IFERROR(IFERROR(IF(K$5='Conceptos Desglosados'!$H$4,VLOOKUP($A458,dormitorios,2,0),IF(K$5='Conceptos Desglosados'!$H$5,VLOOKUP($A458,comedor,2,0),IF(K$5='Conceptos Desglosados'!$H$6,VLOOKUP($A458,alojamiento,2,0),IF(K$5='Conceptos Desglosados'!$H$7,VLOOKUP($A458,sanidad,2,0),IF(K$5='Conceptos Desglosados'!$H$8,VLOOKUP($A458,servicios,2,0),IF(K$5='Conceptos Desglosados'!$H$9,VLOOKUP($A458,comyaloj,2,0),IF(K$5='Conceptos Desglosados'!$H$10,VLOOKUP($A458,comandancia,2,0),IF(K$5='Conceptos Desglosados'!$H$11,VLOOKUP($A458,mantenimiento,2,0),IF(K$5='Conceptos Desglosados'!$H$12,VLOOKUP($A458,serestatal,2,0),IF(K$5='Conceptos Desglosados'!$H$13,VLOOKUP($A458,conferencias,2,0),"")))))))))),"")*K$3,"")</f>
        <v/>
      </c>
      <c r="L458" t="str">
        <f>IFERROR(IFERROR(IF(L$5='Conceptos Desglosados'!$H$4,VLOOKUP($A458,dormitorios,2,0),IF(L$5='Conceptos Desglosados'!$H$5,VLOOKUP($A458,comedor,2,0),IF(L$5='Conceptos Desglosados'!$H$6,VLOOKUP($A458,alojamiento,2,0),IF(L$5='Conceptos Desglosados'!$H$7,VLOOKUP($A458,sanidad,2,0),IF(L$5='Conceptos Desglosados'!$H$8,VLOOKUP($A458,servicios,2,0),IF(L$5='Conceptos Desglosados'!$H$9,VLOOKUP($A458,comyaloj,2,0),IF(L$5='Conceptos Desglosados'!$H$10,VLOOKUP($A458,comandancia,2,0),IF(L$5='Conceptos Desglosados'!$H$11,VLOOKUP($A458,mantenimiento,2,0),IF(L$5='Conceptos Desglosados'!$H$12,VLOOKUP($A458,serestatal,2,0),IF(L$5='Conceptos Desglosados'!$H$13,VLOOKUP($A458,conferencias,2,0),"")))))))))),"")*L$3,"")</f>
        <v/>
      </c>
      <c r="M458" t="str">
        <f>IFERROR(IFERROR(IF(M$5='Conceptos Desglosados'!$H$4,VLOOKUP($A458,dormitorios,2,0),IF(M$5='Conceptos Desglosados'!$H$5,VLOOKUP($A458,comedor,2,0),IF(M$5='Conceptos Desglosados'!$H$6,VLOOKUP($A458,alojamiento,2,0),IF(M$5='Conceptos Desglosados'!$H$7,VLOOKUP($A458,sanidad,2,0),IF(M$5='Conceptos Desglosados'!$H$8,VLOOKUP($A458,servicios,2,0),IF(M$5='Conceptos Desglosados'!$H$9,VLOOKUP($A458,comyaloj,2,0),IF(M$5='Conceptos Desglosados'!$H$10,VLOOKUP($A458,comandancia,2,0),IF(M$5='Conceptos Desglosados'!$H$11,VLOOKUP($A458,mantenimiento,2,0),IF(M$5='Conceptos Desglosados'!$H$12,VLOOKUP($A458,serestatal,2,0),IF(M$5='Conceptos Desglosados'!$H$13,VLOOKUP($A458,conferencias,2,0),"")))))))))),"")*M$3,"")</f>
        <v/>
      </c>
      <c r="O458">
        <f t="shared" si="0"/>
        <v>0</v>
      </c>
    </row>
    <row r="459" spans="1:15" x14ac:dyDescent="0.35">
      <c r="A459">
        <v>454</v>
      </c>
      <c r="B459" t="s">
        <v>11</v>
      </c>
      <c r="C459" t="s">
        <v>500</v>
      </c>
      <c r="D459" t="s">
        <v>501</v>
      </c>
      <c r="E459" t="s">
        <v>502</v>
      </c>
      <c r="F459" t="s">
        <v>310</v>
      </c>
      <c r="G459" t="s">
        <v>9</v>
      </c>
      <c r="H459">
        <v>1.9750000000000001</v>
      </c>
      <c r="I459">
        <v>3.5</v>
      </c>
      <c r="J459" t="s">
        <v>6</v>
      </c>
      <c r="K459" t="str">
        <f>IFERROR(IFERROR(IF(K$5='Conceptos Desglosados'!$H$4,VLOOKUP($A459,dormitorios,2,0),IF(K$5='Conceptos Desglosados'!$H$5,VLOOKUP($A459,comedor,2,0),IF(K$5='Conceptos Desglosados'!$H$6,VLOOKUP($A459,alojamiento,2,0),IF(K$5='Conceptos Desglosados'!$H$7,VLOOKUP($A459,sanidad,2,0),IF(K$5='Conceptos Desglosados'!$H$8,VLOOKUP($A459,servicios,2,0),IF(K$5='Conceptos Desglosados'!$H$9,VLOOKUP($A459,comyaloj,2,0),IF(K$5='Conceptos Desglosados'!$H$10,VLOOKUP($A459,comandancia,2,0),IF(K$5='Conceptos Desglosados'!$H$11,VLOOKUP($A459,mantenimiento,2,0),IF(K$5='Conceptos Desglosados'!$H$12,VLOOKUP($A459,serestatal,2,0),IF(K$5='Conceptos Desglosados'!$H$13,VLOOKUP($A459,conferencias,2,0),"")))))))))),"")*K$3,"")</f>
        <v/>
      </c>
      <c r="L459" t="str">
        <f>IFERROR(IFERROR(IF(L$5='Conceptos Desglosados'!$H$4,VLOOKUP($A459,dormitorios,2,0),IF(L$5='Conceptos Desglosados'!$H$5,VLOOKUP($A459,comedor,2,0),IF(L$5='Conceptos Desglosados'!$H$6,VLOOKUP($A459,alojamiento,2,0),IF(L$5='Conceptos Desglosados'!$H$7,VLOOKUP($A459,sanidad,2,0),IF(L$5='Conceptos Desglosados'!$H$8,VLOOKUP($A459,servicios,2,0),IF(L$5='Conceptos Desglosados'!$H$9,VLOOKUP($A459,comyaloj,2,0),IF(L$5='Conceptos Desglosados'!$H$10,VLOOKUP($A459,comandancia,2,0),IF(L$5='Conceptos Desglosados'!$H$11,VLOOKUP($A459,mantenimiento,2,0),IF(L$5='Conceptos Desglosados'!$H$12,VLOOKUP($A459,serestatal,2,0),IF(L$5='Conceptos Desglosados'!$H$13,VLOOKUP($A459,conferencias,2,0),"")))))))))),"")*L$3,"")</f>
        <v/>
      </c>
      <c r="M459" t="str">
        <f>IFERROR(IFERROR(IF(M$5='Conceptos Desglosados'!$H$4,VLOOKUP($A459,dormitorios,2,0),IF(M$5='Conceptos Desglosados'!$H$5,VLOOKUP($A459,comedor,2,0),IF(M$5='Conceptos Desglosados'!$H$6,VLOOKUP($A459,alojamiento,2,0),IF(M$5='Conceptos Desglosados'!$H$7,VLOOKUP($A459,sanidad,2,0),IF(M$5='Conceptos Desglosados'!$H$8,VLOOKUP($A459,servicios,2,0),IF(M$5='Conceptos Desglosados'!$H$9,VLOOKUP($A459,comyaloj,2,0),IF(M$5='Conceptos Desglosados'!$H$10,VLOOKUP($A459,comandancia,2,0),IF(M$5='Conceptos Desglosados'!$H$11,VLOOKUP($A459,mantenimiento,2,0),IF(M$5='Conceptos Desglosados'!$H$12,VLOOKUP($A459,serestatal,2,0),IF(M$5='Conceptos Desglosados'!$H$13,VLOOKUP($A459,conferencias,2,0),"")))))))))),"")*M$3,"")</f>
        <v/>
      </c>
      <c r="O459">
        <f t="shared" si="0"/>
        <v>0</v>
      </c>
    </row>
    <row r="460" spans="1:15" x14ac:dyDescent="0.35">
      <c r="A460">
        <v>455</v>
      </c>
      <c r="B460" t="s">
        <v>11</v>
      </c>
      <c r="C460" t="s">
        <v>503</v>
      </c>
      <c r="D460" t="s">
        <v>504</v>
      </c>
      <c r="E460" t="s">
        <v>505</v>
      </c>
      <c r="F460" t="s">
        <v>310</v>
      </c>
      <c r="G460" t="s">
        <v>9</v>
      </c>
      <c r="H460">
        <v>1.9750000000000001</v>
      </c>
      <c r="I460">
        <v>3.5</v>
      </c>
      <c r="J460" t="s">
        <v>6</v>
      </c>
      <c r="K460" t="str">
        <f>IFERROR(IFERROR(IF(K$5='Conceptos Desglosados'!$H$4,VLOOKUP($A460,dormitorios,2,0),IF(K$5='Conceptos Desglosados'!$H$5,VLOOKUP($A460,comedor,2,0),IF(K$5='Conceptos Desglosados'!$H$6,VLOOKUP($A460,alojamiento,2,0),IF(K$5='Conceptos Desglosados'!$H$7,VLOOKUP($A460,sanidad,2,0),IF(K$5='Conceptos Desglosados'!$H$8,VLOOKUP($A460,servicios,2,0),IF(K$5='Conceptos Desglosados'!$H$9,VLOOKUP($A460,comyaloj,2,0),IF(K$5='Conceptos Desglosados'!$H$10,VLOOKUP($A460,comandancia,2,0),IF(K$5='Conceptos Desglosados'!$H$11,VLOOKUP($A460,mantenimiento,2,0),IF(K$5='Conceptos Desglosados'!$H$12,VLOOKUP($A460,serestatal,2,0),IF(K$5='Conceptos Desglosados'!$H$13,VLOOKUP($A460,conferencias,2,0),"")))))))))),"")*K$3,"")</f>
        <v/>
      </c>
      <c r="L460" t="str">
        <f>IFERROR(IFERROR(IF(L$5='Conceptos Desglosados'!$H$4,VLOOKUP($A460,dormitorios,2,0),IF(L$5='Conceptos Desglosados'!$H$5,VLOOKUP($A460,comedor,2,0),IF(L$5='Conceptos Desglosados'!$H$6,VLOOKUP($A460,alojamiento,2,0),IF(L$5='Conceptos Desglosados'!$H$7,VLOOKUP($A460,sanidad,2,0),IF(L$5='Conceptos Desglosados'!$H$8,VLOOKUP($A460,servicios,2,0),IF(L$5='Conceptos Desglosados'!$H$9,VLOOKUP($A460,comyaloj,2,0),IF(L$5='Conceptos Desglosados'!$H$10,VLOOKUP($A460,comandancia,2,0),IF(L$5='Conceptos Desglosados'!$H$11,VLOOKUP($A460,mantenimiento,2,0),IF(L$5='Conceptos Desglosados'!$H$12,VLOOKUP($A460,serestatal,2,0),IF(L$5='Conceptos Desglosados'!$H$13,VLOOKUP($A460,conferencias,2,0),"")))))))))),"")*L$3,"")</f>
        <v/>
      </c>
      <c r="M460" t="str">
        <f>IFERROR(IFERROR(IF(M$5='Conceptos Desglosados'!$H$4,VLOOKUP($A460,dormitorios,2,0),IF(M$5='Conceptos Desglosados'!$H$5,VLOOKUP($A460,comedor,2,0),IF(M$5='Conceptos Desglosados'!$H$6,VLOOKUP($A460,alojamiento,2,0),IF(M$5='Conceptos Desglosados'!$H$7,VLOOKUP($A460,sanidad,2,0),IF(M$5='Conceptos Desglosados'!$H$8,VLOOKUP($A460,servicios,2,0),IF(M$5='Conceptos Desglosados'!$H$9,VLOOKUP($A460,comyaloj,2,0),IF(M$5='Conceptos Desglosados'!$H$10,VLOOKUP($A460,comandancia,2,0),IF(M$5='Conceptos Desglosados'!$H$11,VLOOKUP($A460,mantenimiento,2,0),IF(M$5='Conceptos Desglosados'!$H$12,VLOOKUP($A460,serestatal,2,0),IF(M$5='Conceptos Desglosados'!$H$13,VLOOKUP($A460,conferencias,2,0),"")))))))))),"")*M$3,"")</f>
        <v/>
      </c>
      <c r="O460">
        <f t="shared" si="0"/>
        <v>0</v>
      </c>
    </row>
    <row r="461" spans="1:15" x14ac:dyDescent="0.35">
      <c r="A461">
        <v>456</v>
      </c>
      <c r="B461" t="s">
        <v>11</v>
      </c>
      <c r="C461" t="s">
        <v>523</v>
      </c>
      <c r="D461" t="s">
        <v>524</v>
      </c>
      <c r="E461" t="s">
        <v>525</v>
      </c>
      <c r="F461" t="s">
        <v>310</v>
      </c>
      <c r="G461" t="s">
        <v>9</v>
      </c>
      <c r="H461">
        <v>1.9750000000000001</v>
      </c>
      <c r="I461">
        <v>2.7149999999999999</v>
      </c>
      <c r="J461" t="s">
        <v>6</v>
      </c>
      <c r="K461" t="str">
        <f>IFERROR(IFERROR(IF(K$5='Conceptos Desglosados'!$H$4,VLOOKUP($A461,dormitorios,2,0),IF(K$5='Conceptos Desglosados'!$H$5,VLOOKUP($A461,comedor,2,0),IF(K$5='Conceptos Desglosados'!$H$6,VLOOKUP($A461,alojamiento,2,0),IF(K$5='Conceptos Desglosados'!$H$7,VLOOKUP($A461,sanidad,2,0),IF(K$5='Conceptos Desglosados'!$H$8,VLOOKUP($A461,servicios,2,0),IF(K$5='Conceptos Desglosados'!$H$9,VLOOKUP($A461,comyaloj,2,0),IF(K$5='Conceptos Desglosados'!$H$10,VLOOKUP($A461,comandancia,2,0),IF(K$5='Conceptos Desglosados'!$H$11,VLOOKUP($A461,mantenimiento,2,0),IF(K$5='Conceptos Desglosados'!$H$12,VLOOKUP($A461,serestatal,2,0),IF(K$5='Conceptos Desglosados'!$H$13,VLOOKUP($A461,conferencias,2,0),"")))))))))),"")*K$3,"")</f>
        <v/>
      </c>
      <c r="L461" t="str">
        <f>IFERROR(IFERROR(IF(L$5='Conceptos Desglosados'!$H$4,VLOOKUP($A461,dormitorios,2,0),IF(L$5='Conceptos Desglosados'!$H$5,VLOOKUP($A461,comedor,2,0),IF(L$5='Conceptos Desglosados'!$H$6,VLOOKUP($A461,alojamiento,2,0),IF(L$5='Conceptos Desglosados'!$H$7,VLOOKUP($A461,sanidad,2,0),IF(L$5='Conceptos Desglosados'!$H$8,VLOOKUP($A461,servicios,2,0),IF(L$5='Conceptos Desglosados'!$H$9,VLOOKUP($A461,comyaloj,2,0),IF(L$5='Conceptos Desglosados'!$H$10,VLOOKUP($A461,comandancia,2,0),IF(L$5='Conceptos Desglosados'!$H$11,VLOOKUP($A461,mantenimiento,2,0),IF(L$5='Conceptos Desglosados'!$H$12,VLOOKUP($A461,serestatal,2,0),IF(L$5='Conceptos Desglosados'!$H$13,VLOOKUP($A461,conferencias,2,0),"")))))))))),"")*L$3,"")</f>
        <v/>
      </c>
      <c r="M461" t="str">
        <f>IFERROR(IFERROR(IF(M$5='Conceptos Desglosados'!$H$4,VLOOKUP($A461,dormitorios,2,0),IF(M$5='Conceptos Desglosados'!$H$5,VLOOKUP($A461,comedor,2,0),IF(M$5='Conceptos Desglosados'!$H$6,VLOOKUP($A461,alojamiento,2,0),IF(M$5='Conceptos Desglosados'!$H$7,VLOOKUP($A461,sanidad,2,0),IF(M$5='Conceptos Desglosados'!$H$8,VLOOKUP($A461,servicios,2,0),IF(M$5='Conceptos Desglosados'!$H$9,VLOOKUP($A461,comyaloj,2,0),IF(M$5='Conceptos Desglosados'!$H$10,VLOOKUP($A461,comandancia,2,0),IF(M$5='Conceptos Desglosados'!$H$11,VLOOKUP($A461,mantenimiento,2,0),IF(M$5='Conceptos Desglosados'!$H$12,VLOOKUP($A461,serestatal,2,0),IF(M$5='Conceptos Desglosados'!$H$13,VLOOKUP($A461,conferencias,2,0),"")))))))))),"")*M$3,"")</f>
        <v/>
      </c>
      <c r="O461">
        <f t="shared" si="0"/>
        <v>0</v>
      </c>
    </row>
    <row r="462" spans="1:15" x14ac:dyDescent="0.35">
      <c r="A462">
        <v>457</v>
      </c>
      <c r="B462" t="s">
        <v>11</v>
      </c>
      <c r="C462" t="s">
        <v>526</v>
      </c>
      <c r="D462" t="s">
        <v>527</v>
      </c>
      <c r="E462" t="s">
        <v>528</v>
      </c>
      <c r="F462" t="s">
        <v>310</v>
      </c>
      <c r="G462" t="s">
        <v>9</v>
      </c>
      <c r="H462">
        <v>1.9750000000000001</v>
      </c>
      <c r="I462">
        <v>2.7149999999999999</v>
      </c>
      <c r="J462" t="s">
        <v>6</v>
      </c>
      <c r="K462" t="str">
        <f>IFERROR(IFERROR(IF(K$5='Conceptos Desglosados'!$H$4,VLOOKUP($A462,dormitorios,2,0),IF(K$5='Conceptos Desglosados'!$H$5,VLOOKUP($A462,comedor,2,0),IF(K$5='Conceptos Desglosados'!$H$6,VLOOKUP($A462,alojamiento,2,0),IF(K$5='Conceptos Desglosados'!$H$7,VLOOKUP($A462,sanidad,2,0),IF(K$5='Conceptos Desglosados'!$H$8,VLOOKUP($A462,servicios,2,0),IF(K$5='Conceptos Desglosados'!$H$9,VLOOKUP($A462,comyaloj,2,0),IF(K$5='Conceptos Desglosados'!$H$10,VLOOKUP($A462,comandancia,2,0),IF(K$5='Conceptos Desglosados'!$H$11,VLOOKUP($A462,mantenimiento,2,0),IF(K$5='Conceptos Desglosados'!$H$12,VLOOKUP($A462,serestatal,2,0),IF(K$5='Conceptos Desglosados'!$H$13,VLOOKUP($A462,conferencias,2,0),"")))))))))),"")*K$3,"")</f>
        <v/>
      </c>
      <c r="L462" t="str">
        <f>IFERROR(IFERROR(IF(L$5='Conceptos Desglosados'!$H$4,VLOOKUP($A462,dormitorios,2,0),IF(L$5='Conceptos Desglosados'!$H$5,VLOOKUP($A462,comedor,2,0),IF(L$5='Conceptos Desglosados'!$H$6,VLOOKUP($A462,alojamiento,2,0),IF(L$5='Conceptos Desglosados'!$H$7,VLOOKUP($A462,sanidad,2,0),IF(L$5='Conceptos Desglosados'!$H$8,VLOOKUP($A462,servicios,2,0),IF(L$5='Conceptos Desglosados'!$H$9,VLOOKUP($A462,comyaloj,2,0),IF(L$5='Conceptos Desglosados'!$H$10,VLOOKUP($A462,comandancia,2,0),IF(L$5='Conceptos Desglosados'!$H$11,VLOOKUP($A462,mantenimiento,2,0),IF(L$5='Conceptos Desglosados'!$H$12,VLOOKUP($A462,serestatal,2,0),IF(L$5='Conceptos Desglosados'!$H$13,VLOOKUP($A462,conferencias,2,0),"")))))))))),"")*L$3,"")</f>
        <v/>
      </c>
      <c r="M462" t="str">
        <f>IFERROR(IFERROR(IF(M$5='Conceptos Desglosados'!$H$4,VLOOKUP($A462,dormitorios,2,0),IF(M$5='Conceptos Desglosados'!$H$5,VLOOKUP($A462,comedor,2,0),IF(M$5='Conceptos Desglosados'!$H$6,VLOOKUP($A462,alojamiento,2,0),IF(M$5='Conceptos Desglosados'!$H$7,VLOOKUP($A462,sanidad,2,0),IF(M$5='Conceptos Desglosados'!$H$8,VLOOKUP($A462,servicios,2,0),IF(M$5='Conceptos Desglosados'!$H$9,VLOOKUP($A462,comyaloj,2,0),IF(M$5='Conceptos Desglosados'!$H$10,VLOOKUP($A462,comandancia,2,0),IF(M$5='Conceptos Desglosados'!$H$11,VLOOKUP($A462,mantenimiento,2,0),IF(M$5='Conceptos Desglosados'!$H$12,VLOOKUP($A462,serestatal,2,0),IF(M$5='Conceptos Desglosados'!$H$13,VLOOKUP($A462,conferencias,2,0),"")))))))))),"")*M$3,"")</f>
        <v/>
      </c>
      <c r="O462">
        <f t="shared" si="0"/>
        <v>0</v>
      </c>
    </row>
    <row r="463" spans="1:15" x14ac:dyDescent="0.35">
      <c r="A463">
        <v>458</v>
      </c>
      <c r="B463" t="s">
        <v>11</v>
      </c>
      <c r="C463" t="s">
        <v>339</v>
      </c>
      <c r="D463" t="s">
        <v>340</v>
      </c>
      <c r="E463" t="s">
        <v>384</v>
      </c>
      <c r="F463" t="s">
        <v>310</v>
      </c>
      <c r="G463" t="s">
        <v>9</v>
      </c>
      <c r="H463">
        <v>1.9750000000000001</v>
      </c>
      <c r="I463">
        <v>2.7149999999999999</v>
      </c>
      <c r="J463" t="s">
        <v>6</v>
      </c>
      <c r="K463" t="str">
        <f>IFERROR(IFERROR(IF(K$5='Conceptos Desglosados'!$H$4,VLOOKUP($A463,dormitorios,2,0),IF(K$5='Conceptos Desglosados'!$H$5,VLOOKUP($A463,comedor,2,0),IF(K$5='Conceptos Desglosados'!$H$6,VLOOKUP($A463,alojamiento,2,0),IF(K$5='Conceptos Desglosados'!$H$7,VLOOKUP($A463,sanidad,2,0),IF(K$5='Conceptos Desglosados'!$H$8,VLOOKUP($A463,servicios,2,0),IF(K$5='Conceptos Desglosados'!$H$9,VLOOKUP($A463,comyaloj,2,0),IF(K$5='Conceptos Desglosados'!$H$10,VLOOKUP($A463,comandancia,2,0),IF(K$5='Conceptos Desglosados'!$H$11,VLOOKUP($A463,mantenimiento,2,0),IF(K$5='Conceptos Desglosados'!$H$12,VLOOKUP($A463,serestatal,2,0),IF(K$5='Conceptos Desglosados'!$H$13,VLOOKUP($A463,conferencias,2,0),"")))))))))),"")*K$3,"")</f>
        <v/>
      </c>
      <c r="L463" t="str">
        <f>IFERROR(IFERROR(IF(L$5='Conceptos Desglosados'!$H$4,VLOOKUP($A463,dormitorios,2,0),IF(L$5='Conceptos Desglosados'!$H$5,VLOOKUP($A463,comedor,2,0),IF(L$5='Conceptos Desglosados'!$H$6,VLOOKUP($A463,alojamiento,2,0),IF(L$5='Conceptos Desglosados'!$H$7,VLOOKUP($A463,sanidad,2,0),IF(L$5='Conceptos Desglosados'!$H$8,VLOOKUP($A463,servicios,2,0),IF(L$5='Conceptos Desglosados'!$H$9,VLOOKUP($A463,comyaloj,2,0),IF(L$5='Conceptos Desglosados'!$H$10,VLOOKUP($A463,comandancia,2,0),IF(L$5='Conceptos Desglosados'!$H$11,VLOOKUP($A463,mantenimiento,2,0),IF(L$5='Conceptos Desglosados'!$H$12,VLOOKUP($A463,serestatal,2,0),IF(L$5='Conceptos Desglosados'!$H$13,VLOOKUP($A463,conferencias,2,0),"")))))))))),"")*L$3,"")</f>
        <v/>
      </c>
      <c r="M463" t="str">
        <f>IFERROR(IFERROR(IF(M$5='Conceptos Desglosados'!$H$4,VLOOKUP($A463,dormitorios,2,0),IF(M$5='Conceptos Desglosados'!$H$5,VLOOKUP($A463,comedor,2,0),IF(M$5='Conceptos Desglosados'!$H$6,VLOOKUP($A463,alojamiento,2,0),IF(M$5='Conceptos Desglosados'!$H$7,VLOOKUP($A463,sanidad,2,0),IF(M$5='Conceptos Desglosados'!$H$8,VLOOKUP($A463,servicios,2,0),IF(M$5='Conceptos Desglosados'!$H$9,VLOOKUP($A463,comyaloj,2,0),IF(M$5='Conceptos Desglosados'!$H$10,VLOOKUP($A463,comandancia,2,0),IF(M$5='Conceptos Desglosados'!$H$11,VLOOKUP($A463,mantenimiento,2,0),IF(M$5='Conceptos Desglosados'!$H$12,VLOOKUP($A463,serestatal,2,0),IF(M$5='Conceptos Desglosados'!$H$13,VLOOKUP($A463,conferencias,2,0),"")))))))))),"")*M$3,"")</f>
        <v/>
      </c>
      <c r="O463">
        <f t="shared" si="0"/>
        <v>0</v>
      </c>
    </row>
    <row r="464" spans="1:15" x14ac:dyDescent="0.35">
      <c r="A464">
        <v>459</v>
      </c>
      <c r="B464" t="s">
        <v>11</v>
      </c>
      <c r="C464" t="s">
        <v>341</v>
      </c>
      <c r="D464" t="s">
        <v>342</v>
      </c>
      <c r="E464" t="s">
        <v>385</v>
      </c>
      <c r="F464" t="s">
        <v>310</v>
      </c>
      <c r="G464" t="s">
        <v>9</v>
      </c>
      <c r="H464">
        <v>1.9750000000000001</v>
      </c>
      <c r="I464">
        <v>2.7149999999999999</v>
      </c>
      <c r="J464" t="s">
        <v>6</v>
      </c>
      <c r="K464" t="str">
        <f>IFERROR(IFERROR(IF(K$5='Conceptos Desglosados'!$H$4,VLOOKUP($A464,dormitorios,2,0),IF(K$5='Conceptos Desglosados'!$H$5,VLOOKUP($A464,comedor,2,0),IF(K$5='Conceptos Desglosados'!$H$6,VLOOKUP($A464,alojamiento,2,0),IF(K$5='Conceptos Desglosados'!$H$7,VLOOKUP($A464,sanidad,2,0),IF(K$5='Conceptos Desglosados'!$H$8,VLOOKUP($A464,servicios,2,0),IF(K$5='Conceptos Desglosados'!$H$9,VLOOKUP($A464,comyaloj,2,0),IF(K$5='Conceptos Desglosados'!$H$10,VLOOKUP($A464,comandancia,2,0),IF(K$5='Conceptos Desglosados'!$H$11,VLOOKUP($A464,mantenimiento,2,0),IF(K$5='Conceptos Desglosados'!$H$12,VLOOKUP($A464,serestatal,2,0),IF(K$5='Conceptos Desglosados'!$H$13,VLOOKUP($A464,conferencias,2,0),"")))))))))),"")*K$3,"")</f>
        <v/>
      </c>
      <c r="L464" t="str">
        <f>IFERROR(IFERROR(IF(L$5='Conceptos Desglosados'!$H$4,VLOOKUP($A464,dormitorios,2,0),IF(L$5='Conceptos Desglosados'!$H$5,VLOOKUP($A464,comedor,2,0),IF(L$5='Conceptos Desglosados'!$H$6,VLOOKUP($A464,alojamiento,2,0),IF(L$5='Conceptos Desglosados'!$H$7,VLOOKUP($A464,sanidad,2,0),IF(L$5='Conceptos Desglosados'!$H$8,VLOOKUP($A464,servicios,2,0),IF(L$5='Conceptos Desglosados'!$H$9,VLOOKUP($A464,comyaloj,2,0),IF(L$5='Conceptos Desglosados'!$H$10,VLOOKUP($A464,comandancia,2,0),IF(L$5='Conceptos Desglosados'!$H$11,VLOOKUP($A464,mantenimiento,2,0),IF(L$5='Conceptos Desglosados'!$H$12,VLOOKUP($A464,serestatal,2,0),IF(L$5='Conceptos Desglosados'!$H$13,VLOOKUP($A464,conferencias,2,0),"")))))))))),"")*L$3,"")</f>
        <v/>
      </c>
      <c r="M464" t="str">
        <f>IFERROR(IFERROR(IF(M$5='Conceptos Desglosados'!$H$4,VLOOKUP($A464,dormitorios,2,0),IF(M$5='Conceptos Desglosados'!$H$5,VLOOKUP($A464,comedor,2,0),IF(M$5='Conceptos Desglosados'!$H$6,VLOOKUP($A464,alojamiento,2,0),IF(M$5='Conceptos Desglosados'!$H$7,VLOOKUP($A464,sanidad,2,0),IF(M$5='Conceptos Desglosados'!$H$8,VLOOKUP($A464,servicios,2,0),IF(M$5='Conceptos Desglosados'!$H$9,VLOOKUP($A464,comyaloj,2,0),IF(M$5='Conceptos Desglosados'!$H$10,VLOOKUP($A464,comandancia,2,0),IF(M$5='Conceptos Desglosados'!$H$11,VLOOKUP($A464,mantenimiento,2,0),IF(M$5='Conceptos Desglosados'!$H$12,VLOOKUP($A464,serestatal,2,0),IF(M$5='Conceptos Desglosados'!$H$13,VLOOKUP($A464,conferencias,2,0),"")))))))))),"")*M$3,"")</f>
        <v/>
      </c>
      <c r="O464">
        <f t="shared" si="0"/>
        <v>0</v>
      </c>
    </row>
    <row r="465" spans="1:15" x14ac:dyDescent="0.35">
      <c r="A465">
        <v>460</v>
      </c>
      <c r="B465" t="s">
        <v>11</v>
      </c>
      <c r="C465" t="s">
        <v>459</v>
      </c>
      <c r="D465" t="s">
        <v>460</v>
      </c>
      <c r="E465" t="s">
        <v>461</v>
      </c>
      <c r="F465" t="s">
        <v>310</v>
      </c>
      <c r="G465" t="s">
        <v>9</v>
      </c>
      <c r="H465">
        <v>1.9750000000000001</v>
      </c>
      <c r="I465">
        <v>2.7149999999999999</v>
      </c>
      <c r="J465" t="s">
        <v>6</v>
      </c>
      <c r="K465" t="str">
        <f>IFERROR(IFERROR(IF(K$5='Conceptos Desglosados'!$H$4,VLOOKUP($A465,dormitorios,2,0),IF(K$5='Conceptos Desglosados'!$H$5,VLOOKUP($A465,comedor,2,0),IF(K$5='Conceptos Desglosados'!$H$6,VLOOKUP($A465,alojamiento,2,0),IF(K$5='Conceptos Desglosados'!$H$7,VLOOKUP($A465,sanidad,2,0),IF(K$5='Conceptos Desglosados'!$H$8,VLOOKUP($A465,servicios,2,0),IF(K$5='Conceptos Desglosados'!$H$9,VLOOKUP($A465,comyaloj,2,0),IF(K$5='Conceptos Desglosados'!$H$10,VLOOKUP($A465,comandancia,2,0),IF(K$5='Conceptos Desglosados'!$H$11,VLOOKUP($A465,mantenimiento,2,0),IF(K$5='Conceptos Desglosados'!$H$12,VLOOKUP($A465,serestatal,2,0),IF(K$5='Conceptos Desglosados'!$H$13,VLOOKUP($A465,conferencias,2,0),"")))))))))),"")*K$3,"")</f>
        <v/>
      </c>
      <c r="L465" t="str">
        <f>IFERROR(IFERROR(IF(L$5='Conceptos Desglosados'!$H$4,VLOOKUP($A465,dormitorios,2,0),IF(L$5='Conceptos Desglosados'!$H$5,VLOOKUP($A465,comedor,2,0),IF(L$5='Conceptos Desglosados'!$H$6,VLOOKUP($A465,alojamiento,2,0),IF(L$5='Conceptos Desglosados'!$H$7,VLOOKUP($A465,sanidad,2,0),IF(L$5='Conceptos Desglosados'!$H$8,VLOOKUP($A465,servicios,2,0),IF(L$5='Conceptos Desglosados'!$H$9,VLOOKUP($A465,comyaloj,2,0),IF(L$5='Conceptos Desglosados'!$H$10,VLOOKUP($A465,comandancia,2,0),IF(L$5='Conceptos Desglosados'!$H$11,VLOOKUP($A465,mantenimiento,2,0),IF(L$5='Conceptos Desglosados'!$H$12,VLOOKUP($A465,serestatal,2,0),IF(L$5='Conceptos Desglosados'!$H$13,VLOOKUP($A465,conferencias,2,0),"")))))))))),"")*L$3,"")</f>
        <v/>
      </c>
      <c r="M465" t="str">
        <f>IFERROR(IFERROR(IF(M$5='Conceptos Desglosados'!$H$4,VLOOKUP($A465,dormitorios,2,0),IF(M$5='Conceptos Desglosados'!$H$5,VLOOKUP($A465,comedor,2,0),IF(M$5='Conceptos Desglosados'!$H$6,VLOOKUP($A465,alojamiento,2,0),IF(M$5='Conceptos Desglosados'!$H$7,VLOOKUP($A465,sanidad,2,0),IF(M$5='Conceptos Desglosados'!$H$8,VLOOKUP($A465,servicios,2,0),IF(M$5='Conceptos Desglosados'!$H$9,VLOOKUP($A465,comyaloj,2,0),IF(M$5='Conceptos Desglosados'!$H$10,VLOOKUP($A465,comandancia,2,0),IF(M$5='Conceptos Desglosados'!$H$11,VLOOKUP($A465,mantenimiento,2,0),IF(M$5='Conceptos Desglosados'!$H$12,VLOOKUP($A465,serestatal,2,0),IF(M$5='Conceptos Desglosados'!$H$13,VLOOKUP($A465,conferencias,2,0),"")))))))))),"")*M$3,"")</f>
        <v/>
      </c>
      <c r="O465">
        <f t="shared" si="0"/>
        <v>0</v>
      </c>
    </row>
    <row r="466" spans="1:15" x14ac:dyDescent="0.35">
      <c r="A466">
        <v>461</v>
      </c>
      <c r="B466" t="s">
        <v>11</v>
      </c>
      <c r="C466" t="s">
        <v>462</v>
      </c>
      <c r="D466" t="s">
        <v>463</v>
      </c>
      <c r="E466" t="s">
        <v>464</v>
      </c>
      <c r="F466" t="s">
        <v>310</v>
      </c>
      <c r="G466" t="s">
        <v>9</v>
      </c>
      <c r="H466">
        <v>1.9750000000000001</v>
      </c>
      <c r="I466">
        <v>2.7149999999999999</v>
      </c>
      <c r="J466" t="s">
        <v>6</v>
      </c>
      <c r="K466" t="str">
        <f>IFERROR(IFERROR(IF(K$5='Conceptos Desglosados'!$H$4,VLOOKUP($A466,dormitorios,2,0),IF(K$5='Conceptos Desglosados'!$H$5,VLOOKUP($A466,comedor,2,0),IF(K$5='Conceptos Desglosados'!$H$6,VLOOKUP($A466,alojamiento,2,0),IF(K$5='Conceptos Desglosados'!$H$7,VLOOKUP($A466,sanidad,2,0),IF(K$5='Conceptos Desglosados'!$H$8,VLOOKUP($A466,servicios,2,0),IF(K$5='Conceptos Desglosados'!$H$9,VLOOKUP($A466,comyaloj,2,0),IF(K$5='Conceptos Desglosados'!$H$10,VLOOKUP($A466,comandancia,2,0),IF(K$5='Conceptos Desglosados'!$H$11,VLOOKUP($A466,mantenimiento,2,0),IF(K$5='Conceptos Desglosados'!$H$12,VLOOKUP($A466,serestatal,2,0),IF(K$5='Conceptos Desglosados'!$H$13,VLOOKUP($A466,conferencias,2,0),"")))))))))),"")*K$3,"")</f>
        <v/>
      </c>
      <c r="L466" t="str">
        <f>IFERROR(IFERROR(IF(L$5='Conceptos Desglosados'!$H$4,VLOOKUP($A466,dormitorios,2,0),IF(L$5='Conceptos Desglosados'!$H$5,VLOOKUP($A466,comedor,2,0),IF(L$5='Conceptos Desglosados'!$H$6,VLOOKUP($A466,alojamiento,2,0),IF(L$5='Conceptos Desglosados'!$H$7,VLOOKUP($A466,sanidad,2,0),IF(L$5='Conceptos Desglosados'!$H$8,VLOOKUP($A466,servicios,2,0),IF(L$5='Conceptos Desglosados'!$H$9,VLOOKUP($A466,comyaloj,2,0),IF(L$5='Conceptos Desglosados'!$H$10,VLOOKUP($A466,comandancia,2,0),IF(L$5='Conceptos Desglosados'!$H$11,VLOOKUP($A466,mantenimiento,2,0),IF(L$5='Conceptos Desglosados'!$H$12,VLOOKUP($A466,serestatal,2,0),IF(L$5='Conceptos Desglosados'!$H$13,VLOOKUP($A466,conferencias,2,0),"")))))))))),"")*L$3,"")</f>
        <v/>
      </c>
      <c r="M466" t="str">
        <f>IFERROR(IFERROR(IF(M$5='Conceptos Desglosados'!$H$4,VLOOKUP($A466,dormitorios,2,0),IF(M$5='Conceptos Desglosados'!$H$5,VLOOKUP($A466,comedor,2,0),IF(M$5='Conceptos Desglosados'!$H$6,VLOOKUP($A466,alojamiento,2,0),IF(M$5='Conceptos Desglosados'!$H$7,VLOOKUP($A466,sanidad,2,0),IF(M$5='Conceptos Desglosados'!$H$8,VLOOKUP($A466,servicios,2,0),IF(M$5='Conceptos Desglosados'!$H$9,VLOOKUP($A466,comyaloj,2,0),IF(M$5='Conceptos Desglosados'!$H$10,VLOOKUP($A466,comandancia,2,0),IF(M$5='Conceptos Desglosados'!$H$11,VLOOKUP($A466,mantenimiento,2,0),IF(M$5='Conceptos Desglosados'!$H$12,VLOOKUP($A466,serestatal,2,0),IF(M$5='Conceptos Desglosados'!$H$13,VLOOKUP($A466,conferencias,2,0),"")))))))))),"")*M$3,"")</f>
        <v/>
      </c>
      <c r="O466">
        <f t="shared" si="0"/>
        <v>0</v>
      </c>
    </row>
    <row r="467" spans="1:15" x14ac:dyDescent="0.35">
      <c r="A467">
        <v>462</v>
      </c>
      <c r="B467" t="s">
        <v>11</v>
      </c>
      <c r="C467" t="s">
        <v>131</v>
      </c>
      <c r="D467" t="s">
        <v>263</v>
      </c>
      <c r="E467" t="s">
        <v>1</v>
      </c>
      <c r="F467" t="s">
        <v>132</v>
      </c>
      <c r="G467" t="s">
        <v>9</v>
      </c>
      <c r="H467">
        <v>1.9750000000000001</v>
      </c>
      <c r="I467">
        <v>2.7149999999999999</v>
      </c>
      <c r="J467" t="s">
        <v>6</v>
      </c>
      <c r="K467" t="str">
        <f>IFERROR(IFERROR(IF(K$5='Conceptos Desglosados'!$H$4,VLOOKUP($A467,dormitorios,2,0),IF(K$5='Conceptos Desglosados'!$H$5,VLOOKUP($A467,comedor,2,0),IF(K$5='Conceptos Desglosados'!$H$6,VLOOKUP($A467,alojamiento,2,0),IF(K$5='Conceptos Desglosados'!$H$7,VLOOKUP($A467,sanidad,2,0),IF(K$5='Conceptos Desglosados'!$H$8,VLOOKUP($A467,servicios,2,0),IF(K$5='Conceptos Desglosados'!$H$9,VLOOKUP($A467,comyaloj,2,0),IF(K$5='Conceptos Desglosados'!$H$10,VLOOKUP($A467,comandancia,2,0),IF(K$5='Conceptos Desglosados'!$H$11,VLOOKUP($A467,mantenimiento,2,0),IF(K$5='Conceptos Desglosados'!$H$12,VLOOKUP($A467,serestatal,2,0),IF(K$5='Conceptos Desglosados'!$H$13,VLOOKUP($A467,conferencias,2,0),"")))))))))),"")*K$3,"")</f>
        <v/>
      </c>
      <c r="L467" t="str">
        <f>IFERROR(IFERROR(IF(L$5='Conceptos Desglosados'!$H$4,VLOOKUP($A467,dormitorios,2,0),IF(L$5='Conceptos Desglosados'!$H$5,VLOOKUP($A467,comedor,2,0),IF(L$5='Conceptos Desglosados'!$H$6,VLOOKUP($A467,alojamiento,2,0),IF(L$5='Conceptos Desglosados'!$H$7,VLOOKUP($A467,sanidad,2,0),IF(L$5='Conceptos Desglosados'!$H$8,VLOOKUP($A467,servicios,2,0),IF(L$5='Conceptos Desglosados'!$H$9,VLOOKUP($A467,comyaloj,2,0),IF(L$5='Conceptos Desglosados'!$H$10,VLOOKUP($A467,comandancia,2,0),IF(L$5='Conceptos Desglosados'!$H$11,VLOOKUP($A467,mantenimiento,2,0),IF(L$5='Conceptos Desglosados'!$H$12,VLOOKUP($A467,serestatal,2,0),IF(L$5='Conceptos Desglosados'!$H$13,VLOOKUP($A467,conferencias,2,0),"")))))))))),"")*L$3,"")</f>
        <v/>
      </c>
      <c r="M467" t="str">
        <f>IFERROR(IFERROR(IF(M$5='Conceptos Desglosados'!$H$4,VLOOKUP($A467,dormitorios,2,0),IF(M$5='Conceptos Desglosados'!$H$5,VLOOKUP($A467,comedor,2,0),IF(M$5='Conceptos Desglosados'!$H$6,VLOOKUP($A467,alojamiento,2,0),IF(M$5='Conceptos Desglosados'!$H$7,VLOOKUP($A467,sanidad,2,0),IF(M$5='Conceptos Desglosados'!$H$8,VLOOKUP($A467,servicios,2,0),IF(M$5='Conceptos Desglosados'!$H$9,VLOOKUP($A467,comyaloj,2,0),IF(M$5='Conceptos Desglosados'!$H$10,VLOOKUP($A467,comandancia,2,0),IF(M$5='Conceptos Desglosados'!$H$11,VLOOKUP($A467,mantenimiento,2,0),IF(M$5='Conceptos Desglosados'!$H$12,VLOOKUP($A467,serestatal,2,0),IF(M$5='Conceptos Desglosados'!$H$13,VLOOKUP($A467,conferencias,2,0),"")))))))))),"")*M$3,"")</f>
        <v/>
      </c>
      <c r="O467">
        <f t="shared" si="0"/>
        <v>0</v>
      </c>
    </row>
    <row r="468" spans="1:15" x14ac:dyDescent="0.35">
      <c r="A468">
        <v>463</v>
      </c>
      <c r="B468" t="s">
        <v>11</v>
      </c>
      <c r="C468" t="s">
        <v>1129</v>
      </c>
      <c r="D468" t="s">
        <v>1128</v>
      </c>
      <c r="E468" t="s">
        <v>1</v>
      </c>
      <c r="F468" t="s">
        <v>132</v>
      </c>
      <c r="G468" t="s">
        <v>9</v>
      </c>
      <c r="H468">
        <v>1.875</v>
      </c>
      <c r="I468">
        <v>4.3179999999999996</v>
      </c>
      <c r="J468" t="s">
        <v>6</v>
      </c>
      <c r="K468" t="str">
        <f>IFERROR(IFERROR(IF(K$5='Conceptos Desglosados'!$H$4,VLOOKUP($A468,dormitorios,2,0),IF(K$5='Conceptos Desglosados'!$H$5,VLOOKUP($A468,comedor,2,0),IF(K$5='Conceptos Desglosados'!$H$6,VLOOKUP($A468,alojamiento,2,0),IF(K$5='Conceptos Desglosados'!$H$7,VLOOKUP($A468,sanidad,2,0),IF(K$5='Conceptos Desglosados'!$H$8,VLOOKUP($A468,servicios,2,0),IF(K$5='Conceptos Desglosados'!$H$9,VLOOKUP($A468,comyaloj,2,0),IF(K$5='Conceptos Desglosados'!$H$10,VLOOKUP($A468,comandancia,2,0),IF(K$5='Conceptos Desglosados'!$H$11,VLOOKUP($A468,mantenimiento,2,0),IF(K$5='Conceptos Desglosados'!$H$12,VLOOKUP($A468,serestatal,2,0),IF(K$5='Conceptos Desglosados'!$H$13,VLOOKUP($A468,conferencias,2,0),"")))))))))),"")*K$3,"")</f>
        <v/>
      </c>
      <c r="L468" t="str">
        <f>IFERROR(IFERROR(IF(L$5='Conceptos Desglosados'!$H$4,VLOOKUP($A468,dormitorios,2,0),IF(L$5='Conceptos Desglosados'!$H$5,VLOOKUP($A468,comedor,2,0),IF(L$5='Conceptos Desglosados'!$H$6,VLOOKUP($A468,alojamiento,2,0),IF(L$5='Conceptos Desglosados'!$H$7,VLOOKUP($A468,sanidad,2,0),IF(L$5='Conceptos Desglosados'!$H$8,VLOOKUP($A468,servicios,2,0),IF(L$5='Conceptos Desglosados'!$H$9,VLOOKUP($A468,comyaloj,2,0),IF(L$5='Conceptos Desglosados'!$H$10,VLOOKUP($A468,comandancia,2,0),IF(L$5='Conceptos Desglosados'!$H$11,VLOOKUP($A468,mantenimiento,2,0),IF(L$5='Conceptos Desglosados'!$H$12,VLOOKUP($A468,serestatal,2,0),IF(L$5='Conceptos Desglosados'!$H$13,VLOOKUP($A468,conferencias,2,0),"")))))))))),"")*L$3,"")</f>
        <v/>
      </c>
      <c r="M468" t="str">
        <f>IFERROR(IFERROR(IF(M$5='Conceptos Desglosados'!$H$4,VLOOKUP($A468,dormitorios,2,0),IF(M$5='Conceptos Desglosados'!$H$5,VLOOKUP($A468,comedor,2,0),IF(M$5='Conceptos Desglosados'!$H$6,VLOOKUP($A468,alojamiento,2,0),IF(M$5='Conceptos Desglosados'!$H$7,VLOOKUP($A468,sanidad,2,0),IF(M$5='Conceptos Desglosados'!$H$8,VLOOKUP($A468,servicios,2,0),IF(M$5='Conceptos Desglosados'!$H$9,VLOOKUP($A468,comyaloj,2,0),IF(M$5='Conceptos Desglosados'!$H$10,VLOOKUP($A468,comandancia,2,0),IF(M$5='Conceptos Desglosados'!$H$11,VLOOKUP($A468,mantenimiento,2,0),IF(M$5='Conceptos Desglosados'!$H$12,VLOOKUP($A468,serestatal,2,0),IF(M$5='Conceptos Desglosados'!$H$13,VLOOKUP($A468,conferencias,2,0),"")))))))))),"")*M$3,"")</f>
        <v/>
      </c>
      <c r="O468">
        <f t="shared" si="0"/>
        <v>0</v>
      </c>
    </row>
    <row r="469" spans="1:15" x14ac:dyDescent="0.35">
      <c r="A469">
        <v>464</v>
      </c>
      <c r="B469" t="s">
        <v>11</v>
      </c>
      <c r="C469" t="s">
        <v>1130</v>
      </c>
      <c r="D469" t="s">
        <v>1131</v>
      </c>
      <c r="E469" t="s">
        <v>1</v>
      </c>
      <c r="F469" t="s">
        <v>132</v>
      </c>
      <c r="G469" t="s">
        <v>9</v>
      </c>
      <c r="H469">
        <v>1.9750000000000001</v>
      </c>
      <c r="I469">
        <v>4.3179999999999996</v>
      </c>
      <c r="J469" t="s">
        <v>6</v>
      </c>
      <c r="K469" t="str">
        <f>IFERROR(IFERROR(IF(K$5='Conceptos Desglosados'!$H$4,VLOOKUP($A469,dormitorios,2,0),IF(K$5='Conceptos Desglosados'!$H$5,VLOOKUP($A469,comedor,2,0),IF(K$5='Conceptos Desglosados'!$H$6,VLOOKUP($A469,alojamiento,2,0),IF(K$5='Conceptos Desglosados'!$H$7,VLOOKUP($A469,sanidad,2,0),IF(K$5='Conceptos Desglosados'!$H$8,VLOOKUP($A469,servicios,2,0),IF(K$5='Conceptos Desglosados'!$H$9,VLOOKUP($A469,comyaloj,2,0),IF(K$5='Conceptos Desglosados'!$H$10,VLOOKUP($A469,comandancia,2,0),IF(K$5='Conceptos Desglosados'!$H$11,VLOOKUP($A469,mantenimiento,2,0),IF(K$5='Conceptos Desglosados'!$H$12,VLOOKUP($A469,serestatal,2,0),IF(K$5='Conceptos Desglosados'!$H$13,VLOOKUP($A469,conferencias,2,0),"")))))))))),"")*K$3,"")</f>
        <v/>
      </c>
      <c r="L469" t="str">
        <f>IFERROR(IFERROR(IF(L$5='Conceptos Desglosados'!$H$4,VLOOKUP($A469,dormitorios,2,0),IF(L$5='Conceptos Desglosados'!$H$5,VLOOKUP($A469,comedor,2,0),IF(L$5='Conceptos Desglosados'!$H$6,VLOOKUP($A469,alojamiento,2,0),IF(L$5='Conceptos Desglosados'!$H$7,VLOOKUP($A469,sanidad,2,0),IF(L$5='Conceptos Desglosados'!$H$8,VLOOKUP($A469,servicios,2,0),IF(L$5='Conceptos Desglosados'!$H$9,VLOOKUP($A469,comyaloj,2,0),IF(L$5='Conceptos Desglosados'!$H$10,VLOOKUP($A469,comandancia,2,0),IF(L$5='Conceptos Desglosados'!$H$11,VLOOKUP($A469,mantenimiento,2,0),IF(L$5='Conceptos Desglosados'!$H$12,VLOOKUP($A469,serestatal,2,0),IF(L$5='Conceptos Desglosados'!$H$13,VLOOKUP($A469,conferencias,2,0),"")))))))))),"")*L$3,"")</f>
        <v/>
      </c>
      <c r="M469" t="str">
        <f>IFERROR(IFERROR(IF(M$5='Conceptos Desglosados'!$H$4,VLOOKUP($A469,dormitorios,2,0),IF(M$5='Conceptos Desglosados'!$H$5,VLOOKUP($A469,comedor,2,0),IF(M$5='Conceptos Desglosados'!$H$6,VLOOKUP($A469,alojamiento,2,0),IF(M$5='Conceptos Desglosados'!$H$7,VLOOKUP($A469,sanidad,2,0),IF(M$5='Conceptos Desglosados'!$H$8,VLOOKUP($A469,servicios,2,0),IF(M$5='Conceptos Desglosados'!$H$9,VLOOKUP($A469,comyaloj,2,0),IF(M$5='Conceptos Desglosados'!$H$10,VLOOKUP($A469,comandancia,2,0),IF(M$5='Conceptos Desglosados'!$H$11,VLOOKUP($A469,mantenimiento,2,0),IF(M$5='Conceptos Desglosados'!$H$12,VLOOKUP($A469,serestatal,2,0),IF(M$5='Conceptos Desglosados'!$H$13,VLOOKUP($A469,conferencias,2,0),"")))))))))),"")*M$3,"")</f>
        <v/>
      </c>
      <c r="O469">
        <f t="shared" si="0"/>
        <v>0</v>
      </c>
    </row>
    <row r="470" spans="1:15" x14ac:dyDescent="0.35">
      <c r="A470">
        <v>465</v>
      </c>
      <c r="B470" t="s">
        <v>11</v>
      </c>
      <c r="C470" t="s">
        <v>1132</v>
      </c>
      <c r="D470" t="s">
        <v>1133</v>
      </c>
      <c r="E470" t="s">
        <v>1</v>
      </c>
      <c r="F470" t="s">
        <v>132</v>
      </c>
      <c r="G470" t="s">
        <v>9</v>
      </c>
      <c r="H470">
        <v>2</v>
      </c>
      <c r="I470">
        <v>4.3179999999999996</v>
      </c>
      <c r="J470" t="s">
        <v>6</v>
      </c>
      <c r="K470" t="str">
        <f>IFERROR(IFERROR(IF(K$5='Conceptos Desglosados'!$H$4,VLOOKUP($A470,dormitorios,2,0),IF(K$5='Conceptos Desglosados'!$H$5,VLOOKUP($A470,comedor,2,0),IF(K$5='Conceptos Desglosados'!$H$6,VLOOKUP($A470,alojamiento,2,0),IF(K$5='Conceptos Desglosados'!$H$7,VLOOKUP($A470,sanidad,2,0),IF(K$5='Conceptos Desglosados'!$H$8,VLOOKUP($A470,servicios,2,0),IF(K$5='Conceptos Desglosados'!$H$9,VLOOKUP($A470,comyaloj,2,0),IF(K$5='Conceptos Desglosados'!$H$10,VLOOKUP($A470,comandancia,2,0),IF(K$5='Conceptos Desglosados'!$H$11,VLOOKUP($A470,mantenimiento,2,0),IF(K$5='Conceptos Desglosados'!$H$12,VLOOKUP($A470,serestatal,2,0),IF(K$5='Conceptos Desglosados'!$H$13,VLOOKUP($A470,conferencias,2,0),"")))))))))),"")*K$3,"")</f>
        <v/>
      </c>
      <c r="L470" t="str">
        <f>IFERROR(IFERROR(IF(L$5='Conceptos Desglosados'!$H$4,VLOOKUP($A470,dormitorios,2,0),IF(L$5='Conceptos Desglosados'!$H$5,VLOOKUP($A470,comedor,2,0),IF(L$5='Conceptos Desglosados'!$H$6,VLOOKUP($A470,alojamiento,2,0),IF(L$5='Conceptos Desglosados'!$H$7,VLOOKUP($A470,sanidad,2,0),IF(L$5='Conceptos Desglosados'!$H$8,VLOOKUP($A470,servicios,2,0),IF(L$5='Conceptos Desglosados'!$H$9,VLOOKUP($A470,comyaloj,2,0),IF(L$5='Conceptos Desglosados'!$H$10,VLOOKUP($A470,comandancia,2,0),IF(L$5='Conceptos Desglosados'!$H$11,VLOOKUP($A470,mantenimiento,2,0),IF(L$5='Conceptos Desglosados'!$H$12,VLOOKUP($A470,serestatal,2,0),IF(L$5='Conceptos Desglosados'!$H$13,VLOOKUP($A470,conferencias,2,0),"")))))))))),"")*L$3,"")</f>
        <v/>
      </c>
      <c r="M470" t="str">
        <f>IFERROR(IFERROR(IF(M$5='Conceptos Desglosados'!$H$4,VLOOKUP($A470,dormitorios,2,0),IF(M$5='Conceptos Desglosados'!$H$5,VLOOKUP($A470,comedor,2,0),IF(M$5='Conceptos Desglosados'!$H$6,VLOOKUP($A470,alojamiento,2,0),IF(M$5='Conceptos Desglosados'!$H$7,VLOOKUP($A470,sanidad,2,0),IF(M$5='Conceptos Desglosados'!$H$8,VLOOKUP($A470,servicios,2,0),IF(M$5='Conceptos Desglosados'!$H$9,VLOOKUP($A470,comyaloj,2,0),IF(M$5='Conceptos Desglosados'!$H$10,VLOOKUP($A470,comandancia,2,0),IF(M$5='Conceptos Desglosados'!$H$11,VLOOKUP($A470,mantenimiento,2,0),IF(M$5='Conceptos Desglosados'!$H$12,VLOOKUP($A470,serestatal,2,0),IF(M$5='Conceptos Desglosados'!$H$13,VLOOKUP($A470,conferencias,2,0),"")))))))))),"")*M$3,"")</f>
        <v/>
      </c>
      <c r="O470">
        <f t="shared" si="0"/>
        <v>0</v>
      </c>
    </row>
    <row r="471" spans="1:15" x14ac:dyDescent="0.35">
      <c r="A471">
        <v>466</v>
      </c>
      <c r="B471" t="s">
        <v>11</v>
      </c>
      <c r="C471" t="s">
        <v>133</v>
      </c>
      <c r="D471" t="s">
        <v>271</v>
      </c>
      <c r="E471" t="s">
        <v>419</v>
      </c>
      <c r="F471" t="s">
        <v>132</v>
      </c>
      <c r="G471" t="s">
        <v>9</v>
      </c>
      <c r="H471">
        <v>1.9750000000000001</v>
      </c>
      <c r="I471">
        <v>2.7149999999999999</v>
      </c>
      <c r="J471" t="s">
        <v>6</v>
      </c>
      <c r="K471" t="str">
        <f>IFERROR(IFERROR(IF(K$5='Conceptos Desglosados'!$H$4,VLOOKUP($A471,dormitorios,2,0),IF(K$5='Conceptos Desglosados'!$H$5,VLOOKUP($A471,comedor,2,0),IF(K$5='Conceptos Desglosados'!$H$6,VLOOKUP($A471,alojamiento,2,0),IF(K$5='Conceptos Desglosados'!$H$7,VLOOKUP($A471,sanidad,2,0),IF(K$5='Conceptos Desglosados'!$H$8,VLOOKUP($A471,servicios,2,0),IF(K$5='Conceptos Desglosados'!$H$9,VLOOKUP($A471,comyaloj,2,0),IF(K$5='Conceptos Desglosados'!$H$10,VLOOKUP($A471,comandancia,2,0),IF(K$5='Conceptos Desglosados'!$H$11,VLOOKUP($A471,mantenimiento,2,0),IF(K$5='Conceptos Desglosados'!$H$12,VLOOKUP($A471,serestatal,2,0),IF(K$5='Conceptos Desglosados'!$H$13,VLOOKUP($A471,conferencias,2,0),"")))))))))),"")*K$3,"")</f>
        <v/>
      </c>
      <c r="L471" t="str">
        <f>IFERROR(IFERROR(IF(L$5='Conceptos Desglosados'!$H$4,VLOOKUP($A471,dormitorios,2,0),IF(L$5='Conceptos Desglosados'!$H$5,VLOOKUP($A471,comedor,2,0),IF(L$5='Conceptos Desglosados'!$H$6,VLOOKUP($A471,alojamiento,2,0),IF(L$5='Conceptos Desglosados'!$H$7,VLOOKUP($A471,sanidad,2,0),IF(L$5='Conceptos Desglosados'!$H$8,VLOOKUP($A471,servicios,2,0),IF(L$5='Conceptos Desglosados'!$H$9,VLOOKUP($A471,comyaloj,2,0),IF(L$5='Conceptos Desglosados'!$H$10,VLOOKUP($A471,comandancia,2,0),IF(L$5='Conceptos Desglosados'!$H$11,VLOOKUP($A471,mantenimiento,2,0),IF(L$5='Conceptos Desglosados'!$H$12,VLOOKUP($A471,serestatal,2,0),IF(L$5='Conceptos Desglosados'!$H$13,VLOOKUP($A471,conferencias,2,0),"")))))))))),"")*L$3,"")</f>
        <v/>
      </c>
      <c r="M471" t="str">
        <f>IFERROR(IFERROR(IF(M$5='Conceptos Desglosados'!$H$4,VLOOKUP($A471,dormitorios,2,0),IF(M$5='Conceptos Desglosados'!$H$5,VLOOKUP($A471,comedor,2,0),IF(M$5='Conceptos Desglosados'!$H$6,VLOOKUP($A471,alojamiento,2,0),IF(M$5='Conceptos Desglosados'!$H$7,VLOOKUP($A471,sanidad,2,0),IF(M$5='Conceptos Desglosados'!$H$8,VLOOKUP($A471,servicios,2,0),IF(M$5='Conceptos Desglosados'!$H$9,VLOOKUP($A471,comyaloj,2,0),IF(M$5='Conceptos Desglosados'!$H$10,VLOOKUP($A471,comandancia,2,0),IF(M$5='Conceptos Desglosados'!$H$11,VLOOKUP($A471,mantenimiento,2,0),IF(M$5='Conceptos Desglosados'!$H$12,VLOOKUP($A471,serestatal,2,0),IF(M$5='Conceptos Desglosados'!$H$13,VLOOKUP($A471,conferencias,2,0),"")))))))))),"")*M$3,"")</f>
        <v/>
      </c>
      <c r="O471">
        <f t="shared" si="0"/>
        <v>0</v>
      </c>
    </row>
    <row r="472" spans="1:15" x14ac:dyDescent="0.35">
      <c r="A472">
        <v>467</v>
      </c>
      <c r="B472" t="s">
        <v>11</v>
      </c>
      <c r="C472" t="s">
        <v>408</v>
      </c>
      <c r="D472" t="s">
        <v>409</v>
      </c>
      <c r="E472" t="s">
        <v>300</v>
      </c>
      <c r="F472" t="s">
        <v>132</v>
      </c>
      <c r="G472" t="s">
        <v>9</v>
      </c>
      <c r="H472">
        <v>1.9750000000000001</v>
      </c>
      <c r="I472">
        <v>2.7149999999999999</v>
      </c>
      <c r="J472" t="s">
        <v>6</v>
      </c>
      <c r="K472" t="str">
        <f>IFERROR(IFERROR(IF(K$5='Conceptos Desglosados'!$H$4,VLOOKUP($A472,dormitorios,2,0),IF(K$5='Conceptos Desglosados'!$H$5,VLOOKUP($A472,comedor,2,0),IF(K$5='Conceptos Desglosados'!$H$6,VLOOKUP($A472,alojamiento,2,0),IF(K$5='Conceptos Desglosados'!$H$7,VLOOKUP($A472,sanidad,2,0),IF(K$5='Conceptos Desglosados'!$H$8,VLOOKUP($A472,servicios,2,0),IF(K$5='Conceptos Desglosados'!$H$9,VLOOKUP($A472,comyaloj,2,0),IF(K$5='Conceptos Desglosados'!$H$10,VLOOKUP($A472,comandancia,2,0),IF(K$5='Conceptos Desglosados'!$H$11,VLOOKUP($A472,mantenimiento,2,0),IF(K$5='Conceptos Desglosados'!$H$12,VLOOKUP($A472,serestatal,2,0),IF(K$5='Conceptos Desglosados'!$H$13,VLOOKUP($A472,conferencias,2,0),"")))))))))),"")*K$3,"")</f>
        <v/>
      </c>
      <c r="L472" t="str">
        <f>IFERROR(IFERROR(IF(L$5='Conceptos Desglosados'!$H$4,VLOOKUP($A472,dormitorios,2,0),IF(L$5='Conceptos Desglosados'!$H$5,VLOOKUP($A472,comedor,2,0),IF(L$5='Conceptos Desglosados'!$H$6,VLOOKUP($A472,alojamiento,2,0),IF(L$5='Conceptos Desglosados'!$H$7,VLOOKUP($A472,sanidad,2,0),IF(L$5='Conceptos Desglosados'!$H$8,VLOOKUP($A472,servicios,2,0),IF(L$5='Conceptos Desglosados'!$H$9,VLOOKUP($A472,comyaloj,2,0),IF(L$5='Conceptos Desglosados'!$H$10,VLOOKUP($A472,comandancia,2,0),IF(L$5='Conceptos Desglosados'!$H$11,VLOOKUP($A472,mantenimiento,2,0),IF(L$5='Conceptos Desglosados'!$H$12,VLOOKUP($A472,serestatal,2,0),IF(L$5='Conceptos Desglosados'!$H$13,VLOOKUP($A472,conferencias,2,0),"")))))))))),"")*L$3,"")</f>
        <v/>
      </c>
      <c r="M472" t="str">
        <f>IFERROR(IFERROR(IF(M$5='Conceptos Desglosados'!$H$4,VLOOKUP($A472,dormitorios,2,0),IF(M$5='Conceptos Desglosados'!$H$5,VLOOKUP($A472,comedor,2,0),IF(M$5='Conceptos Desglosados'!$H$6,VLOOKUP($A472,alojamiento,2,0),IF(M$5='Conceptos Desglosados'!$H$7,VLOOKUP($A472,sanidad,2,0),IF(M$5='Conceptos Desglosados'!$H$8,VLOOKUP($A472,servicios,2,0),IF(M$5='Conceptos Desglosados'!$H$9,VLOOKUP($A472,comyaloj,2,0),IF(M$5='Conceptos Desglosados'!$H$10,VLOOKUP($A472,comandancia,2,0),IF(M$5='Conceptos Desglosados'!$H$11,VLOOKUP($A472,mantenimiento,2,0),IF(M$5='Conceptos Desglosados'!$H$12,VLOOKUP($A472,serestatal,2,0),IF(M$5='Conceptos Desglosados'!$H$13,VLOOKUP($A472,conferencias,2,0),"")))))))))),"")*M$3,"")</f>
        <v/>
      </c>
      <c r="O472">
        <f t="shared" si="0"/>
        <v>0</v>
      </c>
    </row>
    <row r="473" spans="1:15" x14ac:dyDescent="0.35">
      <c r="A473">
        <v>468</v>
      </c>
      <c r="B473" t="s">
        <v>11</v>
      </c>
      <c r="C473" t="s">
        <v>532</v>
      </c>
      <c r="D473" t="s">
        <v>533</v>
      </c>
      <c r="E473" t="s">
        <v>398</v>
      </c>
      <c r="F473" t="s">
        <v>132</v>
      </c>
      <c r="G473" t="s">
        <v>9</v>
      </c>
      <c r="H473">
        <v>1.9750000000000001</v>
      </c>
      <c r="I473">
        <v>2.7149999999999999</v>
      </c>
      <c r="J473" t="s">
        <v>6</v>
      </c>
      <c r="K473" t="str">
        <f>IFERROR(IFERROR(IF(K$5='Conceptos Desglosados'!$H$4,VLOOKUP($A473,dormitorios,2,0),IF(K$5='Conceptos Desglosados'!$H$5,VLOOKUP($A473,comedor,2,0),IF(K$5='Conceptos Desglosados'!$H$6,VLOOKUP($A473,alojamiento,2,0),IF(K$5='Conceptos Desglosados'!$H$7,VLOOKUP($A473,sanidad,2,0),IF(K$5='Conceptos Desglosados'!$H$8,VLOOKUP($A473,servicios,2,0),IF(K$5='Conceptos Desglosados'!$H$9,VLOOKUP($A473,comyaloj,2,0),IF(K$5='Conceptos Desglosados'!$H$10,VLOOKUP($A473,comandancia,2,0),IF(K$5='Conceptos Desglosados'!$H$11,VLOOKUP($A473,mantenimiento,2,0),IF(K$5='Conceptos Desglosados'!$H$12,VLOOKUP($A473,serestatal,2,0),IF(K$5='Conceptos Desglosados'!$H$13,VLOOKUP($A473,conferencias,2,0),"")))))))))),"")*K$3,"")</f>
        <v/>
      </c>
      <c r="L473" t="str">
        <f>IFERROR(IFERROR(IF(L$5='Conceptos Desglosados'!$H$4,VLOOKUP($A473,dormitorios,2,0),IF(L$5='Conceptos Desglosados'!$H$5,VLOOKUP($A473,comedor,2,0),IF(L$5='Conceptos Desglosados'!$H$6,VLOOKUP($A473,alojamiento,2,0),IF(L$5='Conceptos Desglosados'!$H$7,VLOOKUP($A473,sanidad,2,0),IF(L$5='Conceptos Desglosados'!$H$8,VLOOKUP($A473,servicios,2,0),IF(L$5='Conceptos Desglosados'!$H$9,VLOOKUP($A473,comyaloj,2,0),IF(L$5='Conceptos Desglosados'!$H$10,VLOOKUP($A473,comandancia,2,0),IF(L$5='Conceptos Desglosados'!$H$11,VLOOKUP($A473,mantenimiento,2,0),IF(L$5='Conceptos Desglosados'!$H$12,VLOOKUP($A473,serestatal,2,0),IF(L$5='Conceptos Desglosados'!$H$13,VLOOKUP($A473,conferencias,2,0),"")))))))))),"")*L$3,"")</f>
        <v/>
      </c>
      <c r="M473" t="str">
        <f>IFERROR(IFERROR(IF(M$5='Conceptos Desglosados'!$H$4,VLOOKUP($A473,dormitorios,2,0),IF(M$5='Conceptos Desglosados'!$H$5,VLOOKUP($A473,comedor,2,0),IF(M$5='Conceptos Desglosados'!$H$6,VLOOKUP($A473,alojamiento,2,0),IF(M$5='Conceptos Desglosados'!$H$7,VLOOKUP($A473,sanidad,2,0),IF(M$5='Conceptos Desglosados'!$H$8,VLOOKUP($A473,servicios,2,0),IF(M$5='Conceptos Desglosados'!$H$9,VLOOKUP($A473,comyaloj,2,0),IF(M$5='Conceptos Desglosados'!$H$10,VLOOKUP($A473,comandancia,2,0),IF(M$5='Conceptos Desglosados'!$H$11,VLOOKUP($A473,mantenimiento,2,0),IF(M$5='Conceptos Desglosados'!$H$12,VLOOKUP($A473,serestatal,2,0),IF(M$5='Conceptos Desglosados'!$H$13,VLOOKUP($A473,conferencias,2,0),"")))))))))),"")*M$3,"")</f>
        <v/>
      </c>
      <c r="O473">
        <f t="shared" si="0"/>
        <v>0</v>
      </c>
    </row>
    <row r="474" spans="1:15" x14ac:dyDescent="0.35">
      <c r="A474">
        <v>469</v>
      </c>
      <c r="B474" t="s">
        <v>11</v>
      </c>
      <c r="C474" t="s">
        <v>534</v>
      </c>
      <c r="D474" t="s">
        <v>535</v>
      </c>
      <c r="E474" t="s">
        <v>24</v>
      </c>
      <c r="F474" t="s">
        <v>132</v>
      </c>
      <c r="G474" t="s">
        <v>9</v>
      </c>
      <c r="H474">
        <v>1.9750000000000001</v>
      </c>
      <c r="I474">
        <v>2.7149999999999999</v>
      </c>
      <c r="J474" t="s">
        <v>6</v>
      </c>
      <c r="K474" t="str">
        <f>IFERROR(IFERROR(IF(K$5='Conceptos Desglosados'!$H$4,VLOOKUP($A474,dormitorios,2,0),IF(K$5='Conceptos Desglosados'!$H$5,VLOOKUP($A474,comedor,2,0),IF(K$5='Conceptos Desglosados'!$H$6,VLOOKUP($A474,alojamiento,2,0),IF(K$5='Conceptos Desglosados'!$H$7,VLOOKUP($A474,sanidad,2,0),IF(K$5='Conceptos Desglosados'!$H$8,VLOOKUP($A474,servicios,2,0),IF(K$5='Conceptos Desglosados'!$H$9,VLOOKUP($A474,comyaloj,2,0),IF(K$5='Conceptos Desglosados'!$H$10,VLOOKUP($A474,comandancia,2,0),IF(K$5='Conceptos Desglosados'!$H$11,VLOOKUP($A474,mantenimiento,2,0),IF(K$5='Conceptos Desglosados'!$H$12,VLOOKUP($A474,serestatal,2,0),IF(K$5='Conceptos Desglosados'!$H$13,VLOOKUP($A474,conferencias,2,0),"")))))))))),"")*K$3,"")</f>
        <v/>
      </c>
      <c r="L474" t="str">
        <f>IFERROR(IFERROR(IF(L$5='Conceptos Desglosados'!$H$4,VLOOKUP($A474,dormitorios,2,0),IF(L$5='Conceptos Desglosados'!$H$5,VLOOKUP($A474,comedor,2,0),IF(L$5='Conceptos Desglosados'!$H$6,VLOOKUP($A474,alojamiento,2,0),IF(L$5='Conceptos Desglosados'!$H$7,VLOOKUP($A474,sanidad,2,0),IF(L$5='Conceptos Desglosados'!$H$8,VLOOKUP($A474,servicios,2,0),IF(L$5='Conceptos Desglosados'!$H$9,VLOOKUP($A474,comyaloj,2,0),IF(L$5='Conceptos Desglosados'!$H$10,VLOOKUP($A474,comandancia,2,0),IF(L$5='Conceptos Desglosados'!$H$11,VLOOKUP($A474,mantenimiento,2,0),IF(L$5='Conceptos Desglosados'!$H$12,VLOOKUP($A474,serestatal,2,0),IF(L$5='Conceptos Desglosados'!$H$13,VLOOKUP($A474,conferencias,2,0),"")))))))))),"")*L$3,"")</f>
        <v/>
      </c>
      <c r="M474" t="str">
        <f>IFERROR(IFERROR(IF(M$5='Conceptos Desglosados'!$H$4,VLOOKUP($A474,dormitorios,2,0),IF(M$5='Conceptos Desglosados'!$H$5,VLOOKUP($A474,comedor,2,0),IF(M$5='Conceptos Desglosados'!$H$6,VLOOKUP($A474,alojamiento,2,0),IF(M$5='Conceptos Desglosados'!$H$7,VLOOKUP($A474,sanidad,2,0),IF(M$5='Conceptos Desglosados'!$H$8,VLOOKUP($A474,servicios,2,0),IF(M$5='Conceptos Desglosados'!$H$9,VLOOKUP($A474,comyaloj,2,0),IF(M$5='Conceptos Desglosados'!$H$10,VLOOKUP($A474,comandancia,2,0),IF(M$5='Conceptos Desglosados'!$H$11,VLOOKUP($A474,mantenimiento,2,0),IF(M$5='Conceptos Desglosados'!$H$12,VLOOKUP($A474,serestatal,2,0),IF(M$5='Conceptos Desglosados'!$H$13,VLOOKUP($A474,conferencias,2,0),"")))))))))),"")*M$3,"")</f>
        <v/>
      </c>
      <c r="O474">
        <f t="shared" si="0"/>
        <v>0</v>
      </c>
    </row>
    <row r="475" spans="1:15" x14ac:dyDescent="0.35">
      <c r="A475">
        <v>470</v>
      </c>
      <c r="B475" t="s">
        <v>11</v>
      </c>
      <c r="C475" t="s">
        <v>416</v>
      </c>
      <c r="D475" t="s">
        <v>410</v>
      </c>
      <c r="E475" t="s">
        <v>411</v>
      </c>
      <c r="F475" t="s">
        <v>132</v>
      </c>
      <c r="G475" t="s">
        <v>9</v>
      </c>
      <c r="H475">
        <v>1.9750000000000001</v>
      </c>
      <c r="I475">
        <v>2.7149999999999999</v>
      </c>
      <c r="J475" t="s">
        <v>6</v>
      </c>
      <c r="K475" t="str">
        <f>IFERROR(IFERROR(IF(K$5='Conceptos Desglosados'!$H$4,VLOOKUP($A475,dormitorios,2,0),IF(K$5='Conceptos Desglosados'!$H$5,VLOOKUP($A475,comedor,2,0),IF(K$5='Conceptos Desglosados'!$H$6,VLOOKUP($A475,alojamiento,2,0),IF(K$5='Conceptos Desglosados'!$H$7,VLOOKUP($A475,sanidad,2,0),IF(K$5='Conceptos Desglosados'!$H$8,VLOOKUP($A475,servicios,2,0),IF(K$5='Conceptos Desglosados'!$H$9,VLOOKUP($A475,comyaloj,2,0),IF(K$5='Conceptos Desglosados'!$H$10,VLOOKUP($A475,comandancia,2,0),IF(K$5='Conceptos Desglosados'!$H$11,VLOOKUP($A475,mantenimiento,2,0),IF(K$5='Conceptos Desglosados'!$H$12,VLOOKUP($A475,serestatal,2,0),IF(K$5='Conceptos Desglosados'!$H$13,VLOOKUP($A475,conferencias,2,0),"")))))))))),"")*K$3,"")</f>
        <v/>
      </c>
      <c r="L475" t="str">
        <f>IFERROR(IFERROR(IF(L$5='Conceptos Desglosados'!$H$4,VLOOKUP($A475,dormitorios,2,0),IF(L$5='Conceptos Desglosados'!$H$5,VLOOKUP($A475,comedor,2,0),IF(L$5='Conceptos Desglosados'!$H$6,VLOOKUP($A475,alojamiento,2,0),IF(L$5='Conceptos Desglosados'!$H$7,VLOOKUP($A475,sanidad,2,0),IF(L$5='Conceptos Desglosados'!$H$8,VLOOKUP($A475,servicios,2,0),IF(L$5='Conceptos Desglosados'!$H$9,VLOOKUP($A475,comyaloj,2,0),IF(L$5='Conceptos Desglosados'!$H$10,VLOOKUP($A475,comandancia,2,0),IF(L$5='Conceptos Desglosados'!$H$11,VLOOKUP($A475,mantenimiento,2,0),IF(L$5='Conceptos Desglosados'!$H$12,VLOOKUP($A475,serestatal,2,0),IF(L$5='Conceptos Desglosados'!$H$13,VLOOKUP($A475,conferencias,2,0),"")))))))))),"")*L$3,"")</f>
        <v/>
      </c>
      <c r="M475" t="str">
        <f>IFERROR(IFERROR(IF(M$5='Conceptos Desglosados'!$H$4,VLOOKUP($A475,dormitorios,2,0),IF(M$5='Conceptos Desglosados'!$H$5,VLOOKUP($A475,comedor,2,0),IF(M$5='Conceptos Desglosados'!$H$6,VLOOKUP($A475,alojamiento,2,0),IF(M$5='Conceptos Desglosados'!$H$7,VLOOKUP($A475,sanidad,2,0),IF(M$5='Conceptos Desglosados'!$H$8,VLOOKUP($A475,servicios,2,0),IF(M$5='Conceptos Desglosados'!$H$9,VLOOKUP($A475,comyaloj,2,0),IF(M$5='Conceptos Desglosados'!$H$10,VLOOKUP($A475,comandancia,2,0),IF(M$5='Conceptos Desglosados'!$H$11,VLOOKUP($A475,mantenimiento,2,0),IF(M$5='Conceptos Desglosados'!$H$12,VLOOKUP($A475,serestatal,2,0),IF(M$5='Conceptos Desglosados'!$H$13,VLOOKUP($A475,conferencias,2,0),"")))))))))),"")*M$3,"")</f>
        <v/>
      </c>
      <c r="O475">
        <f t="shared" si="0"/>
        <v>0</v>
      </c>
    </row>
    <row r="476" spans="1:15" x14ac:dyDescent="0.35">
      <c r="A476">
        <v>471</v>
      </c>
      <c r="B476" t="s">
        <v>11</v>
      </c>
      <c r="C476" t="s">
        <v>417</v>
      </c>
      <c r="D476" t="s">
        <v>412</v>
      </c>
      <c r="E476" t="s">
        <v>413</v>
      </c>
      <c r="F476" t="s">
        <v>132</v>
      </c>
      <c r="G476" t="s">
        <v>9</v>
      </c>
      <c r="H476">
        <v>1.9750000000000001</v>
      </c>
      <c r="I476">
        <v>2.7149999999999999</v>
      </c>
      <c r="J476" t="s">
        <v>6</v>
      </c>
      <c r="K476" t="str">
        <f>IFERROR(IFERROR(IF(K$5='Conceptos Desglosados'!$H$4,VLOOKUP($A476,dormitorios,2,0),IF(K$5='Conceptos Desglosados'!$H$5,VLOOKUP($A476,comedor,2,0),IF(K$5='Conceptos Desglosados'!$H$6,VLOOKUP($A476,alojamiento,2,0),IF(K$5='Conceptos Desglosados'!$H$7,VLOOKUP($A476,sanidad,2,0),IF(K$5='Conceptos Desglosados'!$H$8,VLOOKUP($A476,servicios,2,0),IF(K$5='Conceptos Desglosados'!$H$9,VLOOKUP($A476,comyaloj,2,0),IF(K$5='Conceptos Desglosados'!$H$10,VLOOKUP($A476,comandancia,2,0),IF(K$5='Conceptos Desglosados'!$H$11,VLOOKUP($A476,mantenimiento,2,0),IF(K$5='Conceptos Desglosados'!$H$12,VLOOKUP($A476,serestatal,2,0),IF(K$5='Conceptos Desglosados'!$H$13,VLOOKUP($A476,conferencias,2,0),"")))))))))),"")*K$3,"")</f>
        <v/>
      </c>
      <c r="L476" t="str">
        <f>IFERROR(IFERROR(IF(L$5='Conceptos Desglosados'!$H$4,VLOOKUP($A476,dormitorios,2,0),IF(L$5='Conceptos Desglosados'!$H$5,VLOOKUP($A476,comedor,2,0),IF(L$5='Conceptos Desglosados'!$H$6,VLOOKUP($A476,alojamiento,2,0),IF(L$5='Conceptos Desglosados'!$H$7,VLOOKUP($A476,sanidad,2,0),IF(L$5='Conceptos Desglosados'!$H$8,VLOOKUP($A476,servicios,2,0),IF(L$5='Conceptos Desglosados'!$H$9,VLOOKUP($A476,comyaloj,2,0),IF(L$5='Conceptos Desglosados'!$H$10,VLOOKUP($A476,comandancia,2,0),IF(L$5='Conceptos Desglosados'!$H$11,VLOOKUP($A476,mantenimiento,2,0),IF(L$5='Conceptos Desglosados'!$H$12,VLOOKUP($A476,serestatal,2,0),IF(L$5='Conceptos Desglosados'!$H$13,VLOOKUP($A476,conferencias,2,0),"")))))))))),"")*L$3,"")</f>
        <v/>
      </c>
      <c r="M476" t="str">
        <f>IFERROR(IFERROR(IF(M$5='Conceptos Desglosados'!$H$4,VLOOKUP($A476,dormitorios,2,0),IF(M$5='Conceptos Desglosados'!$H$5,VLOOKUP($A476,comedor,2,0),IF(M$5='Conceptos Desglosados'!$H$6,VLOOKUP($A476,alojamiento,2,0),IF(M$5='Conceptos Desglosados'!$H$7,VLOOKUP($A476,sanidad,2,0),IF(M$5='Conceptos Desglosados'!$H$8,VLOOKUP($A476,servicios,2,0),IF(M$5='Conceptos Desglosados'!$H$9,VLOOKUP($A476,comyaloj,2,0),IF(M$5='Conceptos Desglosados'!$H$10,VLOOKUP($A476,comandancia,2,0),IF(M$5='Conceptos Desglosados'!$H$11,VLOOKUP($A476,mantenimiento,2,0),IF(M$5='Conceptos Desglosados'!$H$12,VLOOKUP($A476,serestatal,2,0),IF(M$5='Conceptos Desglosados'!$H$13,VLOOKUP($A476,conferencias,2,0),"")))))))))),"")*M$3,"")</f>
        <v/>
      </c>
      <c r="O476">
        <f t="shared" si="0"/>
        <v>0</v>
      </c>
    </row>
    <row r="477" spans="1:15" x14ac:dyDescent="0.35">
      <c r="A477">
        <v>472</v>
      </c>
      <c r="B477" t="s">
        <v>11</v>
      </c>
      <c r="C477" t="s">
        <v>536</v>
      </c>
      <c r="D477" t="s">
        <v>537</v>
      </c>
      <c r="E477" t="s">
        <v>538</v>
      </c>
      <c r="F477" t="s">
        <v>132</v>
      </c>
      <c r="G477" t="s">
        <v>9</v>
      </c>
      <c r="H477">
        <v>1.9750000000000001</v>
      </c>
      <c r="I477">
        <v>2.7149999999999999</v>
      </c>
      <c r="J477" t="s">
        <v>6</v>
      </c>
      <c r="K477" t="str">
        <f>IFERROR(IFERROR(IF(K$5='Conceptos Desglosados'!$H$4,VLOOKUP($A477,dormitorios,2,0),IF(K$5='Conceptos Desglosados'!$H$5,VLOOKUP($A477,comedor,2,0),IF(K$5='Conceptos Desglosados'!$H$6,VLOOKUP($A477,alojamiento,2,0),IF(K$5='Conceptos Desglosados'!$H$7,VLOOKUP($A477,sanidad,2,0),IF(K$5='Conceptos Desglosados'!$H$8,VLOOKUP($A477,servicios,2,0),IF(K$5='Conceptos Desglosados'!$H$9,VLOOKUP($A477,comyaloj,2,0),IF(K$5='Conceptos Desglosados'!$H$10,VLOOKUP($A477,comandancia,2,0),IF(K$5='Conceptos Desglosados'!$H$11,VLOOKUP($A477,mantenimiento,2,0),IF(K$5='Conceptos Desglosados'!$H$12,VLOOKUP($A477,serestatal,2,0),IF(K$5='Conceptos Desglosados'!$H$13,VLOOKUP($A477,conferencias,2,0),"")))))))))),"")*K$3,"")</f>
        <v/>
      </c>
      <c r="L477" t="str">
        <f>IFERROR(IFERROR(IF(L$5='Conceptos Desglosados'!$H$4,VLOOKUP($A477,dormitorios,2,0),IF(L$5='Conceptos Desglosados'!$H$5,VLOOKUP($A477,comedor,2,0),IF(L$5='Conceptos Desglosados'!$H$6,VLOOKUP($A477,alojamiento,2,0),IF(L$5='Conceptos Desglosados'!$H$7,VLOOKUP($A477,sanidad,2,0),IF(L$5='Conceptos Desglosados'!$H$8,VLOOKUP($A477,servicios,2,0),IF(L$5='Conceptos Desglosados'!$H$9,VLOOKUP($A477,comyaloj,2,0),IF(L$5='Conceptos Desglosados'!$H$10,VLOOKUP($A477,comandancia,2,0),IF(L$5='Conceptos Desglosados'!$H$11,VLOOKUP($A477,mantenimiento,2,0),IF(L$5='Conceptos Desglosados'!$H$12,VLOOKUP($A477,serestatal,2,0),IF(L$5='Conceptos Desglosados'!$H$13,VLOOKUP($A477,conferencias,2,0),"")))))))))),"")*L$3,"")</f>
        <v/>
      </c>
      <c r="M477" t="str">
        <f>IFERROR(IFERROR(IF(M$5='Conceptos Desglosados'!$H$4,VLOOKUP($A477,dormitorios,2,0),IF(M$5='Conceptos Desglosados'!$H$5,VLOOKUP($A477,comedor,2,0),IF(M$5='Conceptos Desglosados'!$H$6,VLOOKUP($A477,alojamiento,2,0),IF(M$5='Conceptos Desglosados'!$H$7,VLOOKUP($A477,sanidad,2,0),IF(M$5='Conceptos Desglosados'!$H$8,VLOOKUP($A477,servicios,2,0),IF(M$5='Conceptos Desglosados'!$H$9,VLOOKUP($A477,comyaloj,2,0),IF(M$5='Conceptos Desglosados'!$H$10,VLOOKUP($A477,comandancia,2,0),IF(M$5='Conceptos Desglosados'!$H$11,VLOOKUP($A477,mantenimiento,2,0),IF(M$5='Conceptos Desglosados'!$H$12,VLOOKUP($A477,serestatal,2,0),IF(M$5='Conceptos Desglosados'!$H$13,VLOOKUP($A477,conferencias,2,0),"")))))))))),"")*M$3,"")</f>
        <v/>
      </c>
      <c r="O477">
        <f t="shared" si="0"/>
        <v>0</v>
      </c>
    </row>
    <row r="478" spans="1:15" x14ac:dyDescent="0.35">
      <c r="A478">
        <v>473</v>
      </c>
      <c r="B478" t="s">
        <v>11</v>
      </c>
      <c r="C478" t="s">
        <v>1065</v>
      </c>
      <c r="D478" t="s">
        <v>1064</v>
      </c>
      <c r="E478" t="s">
        <v>1066</v>
      </c>
      <c r="F478" t="s">
        <v>132</v>
      </c>
      <c r="G478" t="s">
        <v>9</v>
      </c>
      <c r="H478">
        <v>1.9750000000000001</v>
      </c>
      <c r="I478">
        <v>2.7149999999999999</v>
      </c>
      <c r="J478" t="s">
        <v>6</v>
      </c>
      <c r="K478" t="str">
        <f>IFERROR(IFERROR(IF(K$5='Conceptos Desglosados'!$H$4,VLOOKUP($A478,dormitorios,2,0),IF(K$5='Conceptos Desglosados'!$H$5,VLOOKUP($A478,comedor,2,0),IF(K$5='Conceptos Desglosados'!$H$6,VLOOKUP($A478,alojamiento,2,0),IF(K$5='Conceptos Desglosados'!$H$7,VLOOKUP($A478,sanidad,2,0),IF(K$5='Conceptos Desglosados'!$H$8,VLOOKUP($A478,servicios,2,0),IF(K$5='Conceptos Desglosados'!$H$9,VLOOKUP($A478,comyaloj,2,0),IF(K$5='Conceptos Desglosados'!$H$10,VLOOKUP($A478,comandancia,2,0),IF(K$5='Conceptos Desglosados'!$H$11,VLOOKUP($A478,mantenimiento,2,0),IF(K$5='Conceptos Desglosados'!$H$12,VLOOKUP($A478,serestatal,2,0),IF(K$5='Conceptos Desglosados'!$H$13,VLOOKUP($A478,conferencias,2,0),"")))))))))),"")*K$3,"")</f>
        <v/>
      </c>
      <c r="L478" t="str">
        <f>IFERROR(IFERROR(IF(L$5='Conceptos Desglosados'!$H$4,VLOOKUP($A478,dormitorios,2,0),IF(L$5='Conceptos Desglosados'!$H$5,VLOOKUP($A478,comedor,2,0),IF(L$5='Conceptos Desglosados'!$H$6,VLOOKUP($A478,alojamiento,2,0),IF(L$5='Conceptos Desglosados'!$H$7,VLOOKUP($A478,sanidad,2,0),IF(L$5='Conceptos Desglosados'!$H$8,VLOOKUP($A478,servicios,2,0),IF(L$5='Conceptos Desglosados'!$H$9,VLOOKUP($A478,comyaloj,2,0),IF(L$5='Conceptos Desglosados'!$H$10,VLOOKUP($A478,comandancia,2,0),IF(L$5='Conceptos Desglosados'!$H$11,VLOOKUP($A478,mantenimiento,2,0),IF(L$5='Conceptos Desglosados'!$H$12,VLOOKUP($A478,serestatal,2,0),IF(L$5='Conceptos Desglosados'!$H$13,VLOOKUP($A478,conferencias,2,0),"")))))))))),"")*L$3,"")</f>
        <v/>
      </c>
      <c r="M478" t="str">
        <f>IFERROR(IFERROR(IF(M$5='Conceptos Desglosados'!$H$4,VLOOKUP($A478,dormitorios,2,0),IF(M$5='Conceptos Desglosados'!$H$5,VLOOKUP($A478,comedor,2,0),IF(M$5='Conceptos Desglosados'!$H$6,VLOOKUP($A478,alojamiento,2,0),IF(M$5='Conceptos Desglosados'!$H$7,VLOOKUP($A478,sanidad,2,0),IF(M$5='Conceptos Desglosados'!$H$8,VLOOKUP($A478,servicios,2,0),IF(M$5='Conceptos Desglosados'!$H$9,VLOOKUP($A478,comyaloj,2,0),IF(M$5='Conceptos Desglosados'!$H$10,VLOOKUP($A478,comandancia,2,0),IF(M$5='Conceptos Desglosados'!$H$11,VLOOKUP($A478,mantenimiento,2,0),IF(M$5='Conceptos Desglosados'!$H$12,VLOOKUP($A478,serestatal,2,0),IF(M$5='Conceptos Desglosados'!$H$13,VLOOKUP($A478,conferencias,2,0),"")))))))))),"")*M$3,"")</f>
        <v/>
      </c>
      <c r="O478">
        <f t="shared" si="0"/>
        <v>0</v>
      </c>
    </row>
    <row r="479" spans="1:15" x14ac:dyDescent="0.35">
      <c r="A479">
        <v>474</v>
      </c>
      <c r="B479" t="s">
        <v>11</v>
      </c>
      <c r="C479" t="s">
        <v>539</v>
      </c>
      <c r="D479" t="s">
        <v>540</v>
      </c>
      <c r="E479" t="s">
        <v>384</v>
      </c>
      <c r="F479" t="s">
        <v>132</v>
      </c>
      <c r="G479" t="s">
        <v>9</v>
      </c>
      <c r="H479">
        <v>1.9750000000000001</v>
      </c>
      <c r="I479">
        <v>2.7149999999999999</v>
      </c>
      <c r="J479" t="s">
        <v>6</v>
      </c>
      <c r="K479" t="str">
        <f>IFERROR(IFERROR(IF(K$5='Conceptos Desglosados'!$H$4,VLOOKUP($A479,dormitorios,2,0),IF(K$5='Conceptos Desglosados'!$H$5,VLOOKUP($A479,comedor,2,0),IF(K$5='Conceptos Desglosados'!$H$6,VLOOKUP($A479,alojamiento,2,0),IF(K$5='Conceptos Desglosados'!$H$7,VLOOKUP($A479,sanidad,2,0),IF(K$5='Conceptos Desglosados'!$H$8,VLOOKUP($A479,servicios,2,0),IF(K$5='Conceptos Desglosados'!$H$9,VLOOKUP($A479,comyaloj,2,0),IF(K$5='Conceptos Desglosados'!$H$10,VLOOKUP($A479,comandancia,2,0),IF(K$5='Conceptos Desglosados'!$H$11,VLOOKUP($A479,mantenimiento,2,0),IF(K$5='Conceptos Desglosados'!$H$12,VLOOKUP($A479,serestatal,2,0),IF(K$5='Conceptos Desglosados'!$H$13,VLOOKUP($A479,conferencias,2,0),"")))))))))),"")*K$3,"")</f>
        <v/>
      </c>
      <c r="L479" t="str">
        <f>IFERROR(IFERROR(IF(L$5='Conceptos Desglosados'!$H$4,VLOOKUP($A479,dormitorios,2,0),IF(L$5='Conceptos Desglosados'!$H$5,VLOOKUP($A479,comedor,2,0),IF(L$5='Conceptos Desglosados'!$H$6,VLOOKUP($A479,alojamiento,2,0),IF(L$5='Conceptos Desglosados'!$H$7,VLOOKUP($A479,sanidad,2,0),IF(L$5='Conceptos Desglosados'!$H$8,VLOOKUP($A479,servicios,2,0),IF(L$5='Conceptos Desglosados'!$H$9,VLOOKUP($A479,comyaloj,2,0),IF(L$5='Conceptos Desglosados'!$H$10,VLOOKUP($A479,comandancia,2,0),IF(L$5='Conceptos Desglosados'!$H$11,VLOOKUP($A479,mantenimiento,2,0),IF(L$5='Conceptos Desglosados'!$H$12,VLOOKUP($A479,serestatal,2,0),IF(L$5='Conceptos Desglosados'!$H$13,VLOOKUP($A479,conferencias,2,0),"")))))))))),"")*L$3,"")</f>
        <v/>
      </c>
      <c r="M479" t="str">
        <f>IFERROR(IFERROR(IF(M$5='Conceptos Desglosados'!$H$4,VLOOKUP($A479,dormitorios,2,0),IF(M$5='Conceptos Desglosados'!$H$5,VLOOKUP($A479,comedor,2,0),IF(M$5='Conceptos Desglosados'!$H$6,VLOOKUP($A479,alojamiento,2,0),IF(M$5='Conceptos Desglosados'!$H$7,VLOOKUP($A479,sanidad,2,0),IF(M$5='Conceptos Desglosados'!$H$8,VLOOKUP($A479,servicios,2,0),IF(M$5='Conceptos Desglosados'!$H$9,VLOOKUP($A479,comyaloj,2,0),IF(M$5='Conceptos Desglosados'!$H$10,VLOOKUP($A479,comandancia,2,0),IF(M$5='Conceptos Desglosados'!$H$11,VLOOKUP($A479,mantenimiento,2,0),IF(M$5='Conceptos Desglosados'!$H$12,VLOOKUP($A479,serestatal,2,0),IF(M$5='Conceptos Desglosados'!$H$13,VLOOKUP($A479,conferencias,2,0),"")))))))))),"")*M$3,"")</f>
        <v/>
      </c>
      <c r="O479">
        <f t="shared" si="0"/>
        <v>0</v>
      </c>
    </row>
    <row r="480" spans="1:15" x14ac:dyDescent="0.35">
      <c r="A480">
        <v>475</v>
      </c>
      <c r="B480" t="s">
        <v>11</v>
      </c>
      <c r="C480" t="s">
        <v>541</v>
      </c>
      <c r="D480" t="s">
        <v>542</v>
      </c>
      <c r="E480" t="s">
        <v>385</v>
      </c>
      <c r="F480" t="s">
        <v>132</v>
      </c>
      <c r="G480" t="s">
        <v>9</v>
      </c>
      <c r="H480">
        <v>1.9750000000000001</v>
      </c>
      <c r="I480">
        <v>2.7149999999999999</v>
      </c>
      <c r="J480" t="s">
        <v>6</v>
      </c>
      <c r="K480" t="str">
        <f>IFERROR(IFERROR(IF(K$5='Conceptos Desglosados'!$H$4,VLOOKUP($A480,dormitorios,2,0),IF(K$5='Conceptos Desglosados'!$H$5,VLOOKUP($A480,comedor,2,0),IF(K$5='Conceptos Desglosados'!$H$6,VLOOKUP($A480,alojamiento,2,0),IF(K$5='Conceptos Desglosados'!$H$7,VLOOKUP($A480,sanidad,2,0),IF(K$5='Conceptos Desglosados'!$H$8,VLOOKUP($A480,servicios,2,0),IF(K$5='Conceptos Desglosados'!$H$9,VLOOKUP($A480,comyaloj,2,0),IF(K$5='Conceptos Desglosados'!$H$10,VLOOKUP($A480,comandancia,2,0),IF(K$5='Conceptos Desglosados'!$H$11,VLOOKUP($A480,mantenimiento,2,0),IF(K$5='Conceptos Desglosados'!$H$12,VLOOKUP($A480,serestatal,2,0),IF(K$5='Conceptos Desglosados'!$H$13,VLOOKUP($A480,conferencias,2,0),"")))))))))),"")*K$3,"")</f>
        <v/>
      </c>
      <c r="L480" t="str">
        <f>IFERROR(IFERROR(IF(L$5='Conceptos Desglosados'!$H$4,VLOOKUP($A480,dormitorios,2,0),IF(L$5='Conceptos Desglosados'!$H$5,VLOOKUP($A480,comedor,2,0),IF(L$5='Conceptos Desglosados'!$H$6,VLOOKUP($A480,alojamiento,2,0),IF(L$5='Conceptos Desglosados'!$H$7,VLOOKUP($A480,sanidad,2,0),IF(L$5='Conceptos Desglosados'!$H$8,VLOOKUP($A480,servicios,2,0),IF(L$5='Conceptos Desglosados'!$H$9,VLOOKUP($A480,comyaloj,2,0),IF(L$5='Conceptos Desglosados'!$H$10,VLOOKUP($A480,comandancia,2,0),IF(L$5='Conceptos Desglosados'!$H$11,VLOOKUP($A480,mantenimiento,2,0),IF(L$5='Conceptos Desglosados'!$H$12,VLOOKUP($A480,serestatal,2,0),IF(L$5='Conceptos Desglosados'!$H$13,VLOOKUP($A480,conferencias,2,0),"")))))))))),"")*L$3,"")</f>
        <v/>
      </c>
      <c r="M480" t="str">
        <f>IFERROR(IFERROR(IF(M$5='Conceptos Desglosados'!$H$4,VLOOKUP($A480,dormitorios,2,0),IF(M$5='Conceptos Desglosados'!$H$5,VLOOKUP($A480,comedor,2,0),IF(M$5='Conceptos Desglosados'!$H$6,VLOOKUP($A480,alojamiento,2,0),IF(M$5='Conceptos Desglosados'!$H$7,VLOOKUP($A480,sanidad,2,0),IF(M$5='Conceptos Desglosados'!$H$8,VLOOKUP($A480,servicios,2,0),IF(M$5='Conceptos Desglosados'!$H$9,VLOOKUP($A480,comyaloj,2,0),IF(M$5='Conceptos Desglosados'!$H$10,VLOOKUP($A480,comandancia,2,0),IF(M$5='Conceptos Desglosados'!$H$11,VLOOKUP($A480,mantenimiento,2,0),IF(M$5='Conceptos Desglosados'!$H$12,VLOOKUP($A480,serestatal,2,0),IF(M$5='Conceptos Desglosados'!$H$13,VLOOKUP($A480,conferencias,2,0),"")))))))))),"")*M$3,"")</f>
        <v/>
      </c>
      <c r="O480">
        <f t="shared" si="0"/>
        <v>0</v>
      </c>
    </row>
    <row r="481" spans="1:15" x14ac:dyDescent="0.35">
      <c r="A481">
        <v>476</v>
      </c>
      <c r="B481" t="s">
        <v>11</v>
      </c>
      <c r="C481" t="s">
        <v>1196</v>
      </c>
      <c r="D481" t="s">
        <v>1191</v>
      </c>
      <c r="E481" t="s">
        <v>1</v>
      </c>
      <c r="F481" t="s">
        <v>1127</v>
      </c>
      <c r="G481" t="s">
        <v>9</v>
      </c>
      <c r="H481">
        <v>1.9750000000000001</v>
      </c>
      <c r="I481">
        <v>2.7149999999999999</v>
      </c>
      <c r="J481" t="s">
        <v>6</v>
      </c>
      <c r="K481" t="str">
        <f>IFERROR(IFERROR(IF(K$5='Conceptos Desglosados'!$H$4,VLOOKUP($A481,dormitorios,2,0),IF(K$5='Conceptos Desglosados'!$H$5,VLOOKUP($A481,comedor,2,0),IF(K$5='Conceptos Desglosados'!$H$6,VLOOKUP($A481,alojamiento,2,0),IF(K$5='Conceptos Desglosados'!$H$7,VLOOKUP($A481,sanidad,2,0),IF(K$5='Conceptos Desglosados'!$H$8,VLOOKUP($A481,servicios,2,0),IF(K$5='Conceptos Desglosados'!$H$9,VLOOKUP($A481,comyaloj,2,0),IF(K$5='Conceptos Desglosados'!$H$10,VLOOKUP($A481,comandancia,2,0),IF(K$5='Conceptos Desglosados'!$H$11,VLOOKUP($A481,mantenimiento,2,0),IF(K$5='Conceptos Desglosados'!$H$12,VLOOKUP($A481,serestatal,2,0),IF(K$5='Conceptos Desglosados'!$H$13,VLOOKUP($A481,conferencias,2,0),"")))))))))),"")*K$3,"")</f>
        <v/>
      </c>
      <c r="L481" t="str">
        <f>IFERROR(IFERROR(IF(L$5='Conceptos Desglosados'!$H$4,VLOOKUP($A481,dormitorios,2,0),IF(L$5='Conceptos Desglosados'!$H$5,VLOOKUP($A481,comedor,2,0),IF(L$5='Conceptos Desglosados'!$H$6,VLOOKUP($A481,alojamiento,2,0),IF(L$5='Conceptos Desglosados'!$H$7,VLOOKUP($A481,sanidad,2,0),IF(L$5='Conceptos Desglosados'!$H$8,VLOOKUP($A481,servicios,2,0),IF(L$5='Conceptos Desglosados'!$H$9,VLOOKUP($A481,comyaloj,2,0),IF(L$5='Conceptos Desglosados'!$H$10,VLOOKUP($A481,comandancia,2,0),IF(L$5='Conceptos Desglosados'!$H$11,VLOOKUP($A481,mantenimiento,2,0),IF(L$5='Conceptos Desglosados'!$H$12,VLOOKUP($A481,serestatal,2,0),IF(L$5='Conceptos Desglosados'!$H$13,VLOOKUP($A481,conferencias,2,0),"")))))))))),"")*L$3,"")</f>
        <v/>
      </c>
      <c r="M481" t="str">
        <f>IFERROR(IFERROR(IF(M$5='Conceptos Desglosados'!$H$4,VLOOKUP($A481,dormitorios,2,0),IF(M$5='Conceptos Desglosados'!$H$5,VLOOKUP($A481,comedor,2,0),IF(M$5='Conceptos Desglosados'!$H$6,VLOOKUP($A481,alojamiento,2,0),IF(M$5='Conceptos Desglosados'!$H$7,VLOOKUP($A481,sanidad,2,0),IF(M$5='Conceptos Desglosados'!$H$8,VLOOKUP($A481,servicios,2,0),IF(M$5='Conceptos Desglosados'!$H$9,VLOOKUP($A481,comyaloj,2,0),IF(M$5='Conceptos Desglosados'!$H$10,VLOOKUP($A481,comandancia,2,0),IF(M$5='Conceptos Desglosados'!$H$11,VLOOKUP($A481,mantenimiento,2,0),IF(M$5='Conceptos Desglosados'!$H$12,VLOOKUP($A481,serestatal,2,0),IF(M$5='Conceptos Desglosados'!$H$13,VLOOKUP($A481,conferencias,2,0),"")))))))))),"")*M$3,"")</f>
        <v/>
      </c>
      <c r="O481">
        <f t="shared" si="0"/>
        <v>0</v>
      </c>
    </row>
    <row r="482" spans="1:15" x14ac:dyDescent="0.35">
      <c r="A482">
        <v>477</v>
      </c>
      <c r="B482" t="s">
        <v>11</v>
      </c>
      <c r="C482" t="s">
        <v>1195</v>
      </c>
      <c r="D482" t="s">
        <v>1192</v>
      </c>
      <c r="E482" t="s">
        <v>1</v>
      </c>
      <c r="F482" t="s">
        <v>1127</v>
      </c>
      <c r="G482" t="s">
        <v>9</v>
      </c>
      <c r="H482">
        <v>1.05</v>
      </c>
      <c r="I482">
        <v>2.7149999999999999</v>
      </c>
      <c r="J482" t="s">
        <v>6</v>
      </c>
      <c r="K482" t="str">
        <f>IFERROR(IFERROR(IF(K$5='Conceptos Desglosados'!$H$4,VLOOKUP($A482,dormitorios,2,0),IF(K$5='Conceptos Desglosados'!$H$5,VLOOKUP($A482,comedor,2,0),IF(K$5='Conceptos Desglosados'!$H$6,VLOOKUP($A482,alojamiento,2,0),IF(K$5='Conceptos Desglosados'!$H$7,VLOOKUP($A482,sanidad,2,0),IF(K$5='Conceptos Desglosados'!$H$8,VLOOKUP($A482,servicios,2,0),IF(K$5='Conceptos Desglosados'!$H$9,VLOOKUP($A482,comyaloj,2,0),IF(K$5='Conceptos Desglosados'!$H$10,VLOOKUP($A482,comandancia,2,0),IF(K$5='Conceptos Desglosados'!$H$11,VLOOKUP($A482,mantenimiento,2,0),IF(K$5='Conceptos Desglosados'!$H$12,VLOOKUP($A482,serestatal,2,0),IF(K$5='Conceptos Desglosados'!$H$13,VLOOKUP($A482,conferencias,2,0),"")))))))))),"")*K$3,"")</f>
        <v/>
      </c>
      <c r="L482" t="str">
        <f>IFERROR(IFERROR(IF(L$5='Conceptos Desglosados'!$H$4,VLOOKUP($A482,dormitorios,2,0),IF(L$5='Conceptos Desglosados'!$H$5,VLOOKUP($A482,comedor,2,0),IF(L$5='Conceptos Desglosados'!$H$6,VLOOKUP($A482,alojamiento,2,0),IF(L$5='Conceptos Desglosados'!$H$7,VLOOKUP($A482,sanidad,2,0),IF(L$5='Conceptos Desglosados'!$H$8,VLOOKUP($A482,servicios,2,0),IF(L$5='Conceptos Desglosados'!$H$9,VLOOKUP($A482,comyaloj,2,0),IF(L$5='Conceptos Desglosados'!$H$10,VLOOKUP($A482,comandancia,2,0),IF(L$5='Conceptos Desglosados'!$H$11,VLOOKUP($A482,mantenimiento,2,0),IF(L$5='Conceptos Desglosados'!$H$12,VLOOKUP($A482,serestatal,2,0),IF(L$5='Conceptos Desglosados'!$H$13,VLOOKUP($A482,conferencias,2,0),"")))))))))),"")*L$3,"")</f>
        <v/>
      </c>
      <c r="M482" t="str">
        <f>IFERROR(IFERROR(IF(M$5='Conceptos Desglosados'!$H$4,VLOOKUP($A482,dormitorios,2,0),IF(M$5='Conceptos Desglosados'!$H$5,VLOOKUP($A482,comedor,2,0),IF(M$5='Conceptos Desglosados'!$H$6,VLOOKUP($A482,alojamiento,2,0),IF(M$5='Conceptos Desglosados'!$H$7,VLOOKUP($A482,sanidad,2,0),IF(M$5='Conceptos Desglosados'!$H$8,VLOOKUP($A482,servicios,2,0),IF(M$5='Conceptos Desglosados'!$H$9,VLOOKUP($A482,comyaloj,2,0),IF(M$5='Conceptos Desglosados'!$H$10,VLOOKUP($A482,comandancia,2,0),IF(M$5='Conceptos Desglosados'!$H$11,VLOOKUP($A482,mantenimiento,2,0),IF(M$5='Conceptos Desglosados'!$H$12,VLOOKUP($A482,serestatal,2,0),IF(M$5='Conceptos Desglosados'!$H$13,VLOOKUP($A482,conferencias,2,0),"")))))))))),"")*M$3,"")</f>
        <v/>
      </c>
      <c r="O482">
        <f t="shared" si="0"/>
        <v>0</v>
      </c>
    </row>
    <row r="483" spans="1:15" x14ac:dyDescent="0.35">
      <c r="A483">
        <v>478</v>
      </c>
      <c r="B483" t="s">
        <v>11</v>
      </c>
      <c r="C483" t="s">
        <v>1194</v>
      </c>
      <c r="D483" t="s">
        <v>1193</v>
      </c>
      <c r="E483" t="s">
        <v>1</v>
      </c>
      <c r="F483" t="s">
        <v>1127</v>
      </c>
      <c r="G483" t="s">
        <v>9</v>
      </c>
      <c r="H483">
        <v>1.9750000000000001</v>
      </c>
      <c r="I483">
        <v>2.7149999999999999</v>
      </c>
      <c r="J483" t="s">
        <v>6</v>
      </c>
      <c r="K483" t="str">
        <f>IFERROR(IFERROR(IF(K$5='Conceptos Desglosados'!$H$4,VLOOKUP($A483,dormitorios,2,0),IF(K$5='Conceptos Desglosados'!$H$5,VLOOKUP($A483,comedor,2,0),IF(K$5='Conceptos Desglosados'!$H$6,VLOOKUP($A483,alojamiento,2,0),IF(K$5='Conceptos Desglosados'!$H$7,VLOOKUP($A483,sanidad,2,0),IF(K$5='Conceptos Desglosados'!$H$8,VLOOKUP($A483,servicios,2,0),IF(K$5='Conceptos Desglosados'!$H$9,VLOOKUP($A483,comyaloj,2,0),IF(K$5='Conceptos Desglosados'!$H$10,VLOOKUP($A483,comandancia,2,0),IF(K$5='Conceptos Desglosados'!$H$11,VLOOKUP($A483,mantenimiento,2,0),IF(K$5='Conceptos Desglosados'!$H$12,VLOOKUP($A483,serestatal,2,0),IF(K$5='Conceptos Desglosados'!$H$13,VLOOKUP($A483,conferencias,2,0),"")))))))))),"")*K$3,"")</f>
        <v/>
      </c>
      <c r="L483" t="str">
        <f>IFERROR(IFERROR(IF(L$5='Conceptos Desglosados'!$H$4,VLOOKUP($A483,dormitorios,2,0),IF(L$5='Conceptos Desglosados'!$H$5,VLOOKUP($A483,comedor,2,0),IF(L$5='Conceptos Desglosados'!$H$6,VLOOKUP($A483,alojamiento,2,0),IF(L$5='Conceptos Desglosados'!$H$7,VLOOKUP($A483,sanidad,2,0),IF(L$5='Conceptos Desglosados'!$H$8,VLOOKUP($A483,servicios,2,0),IF(L$5='Conceptos Desglosados'!$H$9,VLOOKUP($A483,comyaloj,2,0),IF(L$5='Conceptos Desglosados'!$H$10,VLOOKUP($A483,comandancia,2,0),IF(L$5='Conceptos Desglosados'!$H$11,VLOOKUP($A483,mantenimiento,2,0),IF(L$5='Conceptos Desglosados'!$H$12,VLOOKUP($A483,serestatal,2,0),IF(L$5='Conceptos Desglosados'!$H$13,VLOOKUP($A483,conferencias,2,0),"")))))))))),"")*L$3,"")</f>
        <v/>
      </c>
      <c r="M483" t="str">
        <f>IFERROR(IFERROR(IF(M$5='Conceptos Desglosados'!$H$4,VLOOKUP($A483,dormitorios,2,0),IF(M$5='Conceptos Desglosados'!$H$5,VLOOKUP($A483,comedor,2,0),IF(M$5='Conceptos Desglosados'!$H$6,VLOOKUP($A483,alojamiento,2,0),IF(M$5='Conceptos Desglosados'!$H$7,VLOOKUP($A483,sanidad,2,0),IF(M$5='Conceptos Desglosados'!$H$8,VLOOKUP($A483,servicios,2,0),IF(M$5='Conceptos Desglosados'!$H$9,VLOOKUP($A483,comyaloj,2,0),IF(M$5='Conceptos Desglosados'!$H$10,VLOOKUP($A483,comandancia,2,0),IF(M$5='Conceptos Desglosados'!$H$11,VLOOKUP($A483,mantenimiento,2,0),IF(M$5='Conceptos Desglosados'!$H$12,VLOOKUP($A483,serestatal,2,0),IF(M$5='Conceptos Desglosados'!$H$13,VLOOKUP($A483,conferencias,2,0),"")))))))))),"")*M$3,"")</f>
        <v/>
      </c>
      <c r="O483">
        <f t="shared" si="0"/>
        <v>0</v>
      </c>
    </row>
    <row r="484" spans="1:15" x14ac:dyDescent="0.35">
      <c r="A484">
        <v>479</v>
      </c>
      <c r="B484" t="s">
        <v>11</v>
      </c>
      <c r="C484" t="s">
        <v>1209</v>
      </c>
      <c r="D484" t="s">
        <v>1210</v>
      </c>
      <c r="E484" t="s">
        <v>1</v>
      </c>
      <c r="F484" t="s">
        <v>1127</v>
      </c>
      <c r="G484" t="s">
        <v>9</v>
      </c>
      <c r="H484">
        <v>1.9750000000000001</v>
      </c>
      <c r="I484">
        <v>3</v>
      </c>
      <c r="J484" t="s">
        <v>6</v>
      </c>
      <c r="K484" t="str">
        <f>IFERROR(IFERROR(IF(K$5='Conceptos Desglosados'!$H$4,VLOOKUP($A484,dormitorios,2,0),IF(K$5='Conceptos Desglosados'!$H$5,VLOOKUP($A484,comedor,2,0),IF(K$5='Conceptos Desglosados'!$H$6,VLOOKUP($A484,alojamiento,2,0),IF(K$5='Conceptos Desglosados'!$H$7,VLOOKUP($A484,sanidad,2,0),IF(K$5='Conceptos Desglosados'!$H$8,VLOOKUP($A484,servicios,2,0),IF(K$5='Conceptos Desglosados'!$H$9,VLOOKUP($A484,comyaloj,2,0),IF(K$5='Conceptos Desglosados'!$H$10,VLOOKUP($A484,comandancia,2,0),IF(K$5='Conceptos Desglosados'!$H$11,VLOOKUP($A484,mantenimiento,2,0),IF(K$5='Conceptos Desglosados'!$H$12,VLOOKUP($A484,serestatal,2,0),IF(K$5='Conceptos Desglosados'!$H$13,VLOOKUP($A484,conferencias,2,0),"")))))))))),"")*K$3,"")</f>
        <v/>
      </c>
      <c r="L484" t="str">
        <f>IFERROR(IFERROR(IF(L$5='Conceptos Desglosados'!$H$4,VLOOKUP($A484,dormitorios,2,0),IF(L$5='Conceptos Desglosados'!$H$5,VLOOKUP($A484,comedor,2,0),IF(L$5='Conceptos Desglosados'!$H$6,VLOOKUP($A484,alojamiento,2,0),IF(L$5='Conceptos Desglosados'!$H$7,VLOOKUP($A484,sanidad,2,0),IF(L$5='Conceptos Desglosados'!$H$8,VLOOKUP($A484,servicios,2,0),IF(L$5='Conceptos Desglosados'!$H$9,VLOOKUP($A484,comyaloj,2,0),IF(L$5='Conceptos Desglosados'!$H$10,VLOOKUP($A484,comandancia,2,0),IF(L$5='Conceptos Desglosados'!$H$11,VLOOKUP($A484,mantenimiento,2,0),IF(L$5='Conceptos Desglosados'!$H$12,VLOOKUP($A484,serestatal,2,0),IF(L$5='Conceptos Desglosados'!$H$13,VLOOKUP($A484,conferencias,2,0),"")))))))))),"")*L$3,"")</f>
        <v/>
      </c>
      <c r="M484" t="str">
        <f>IFERROR(IFERROR(IF(M$5='Conceptos Desglosados'!$H$4,VLOOKUP($A484,dormitorios,2,0),IF(M$5='Conceptos Desglosados'!$H$5,VLOOKUP($A484,comedor,2,0),IF(M$5='Conceptos Desglosados'!$H$6,VLOOKUP($A484,alojamiento,2,0),IF(M$5='Conceptos Desglosados'!$H$7,VLOOKUP($A484,sanidad,2,0),IF(M$5='Conceptos Desglosados'!$H$8,VLOOKUP($A484,servicios,2,0),IF(M$5='Conceptos Desglosados'!$H$9,VLOOKUP($A484,comyaloj,2,0),IF(M$5='Conceptos Desglosados'!$H$10,VLOOKUP($A484,comandancia,2,0),IF(M$5='Conceptos Desglosados'!$H$11,VLOOKUP($A484,mantenimiento,2,0),IF(M$5='Conceptos Desglosados'!$H$12,VLOOKUP($A484,serestatal,2,0),IF(M$5='Conceptos Desglosados'!$H$13,VLOOKUP($A484,conferencias,2,0),"")))))))))),"")*M$3,"")</f>
        <v/>
      </c>
      <c r="O484">
        <f t="shared" si="0"/>
        <v>0</v>
      </c>
    </row>
    <row r="485" spans="1:15" x14ac:dyDescent="0.35">
      <c r="A485">
        <v>480</v>
      </c>
      <c r="B485" t="s">
        <v>11</v>
      </c>
      <c r="C485" t="s">
        <v>1200</v>
      </c>
      <c r="D485" t="s">
        <v>1197</v>
      </c>
      <c r="E485" t="s">
        <v>1198</v>
      </c>
      <c r="F485" t="s">
        <v>1127</v>
      </c>
      <c r="G485" t="s">
        <v>9</v>
      </c>
      <c r="H485">
        <v>1.9750000000000001</v>
      </c>
      <c r="I485">
        <v>2.7149999999999999</v>
      </c>
      <c r="J485" t="s">
        <v>6</v>
      </c>
      <c r="K485" t="str">
        <f>IFERROR(IFERROR(IF(K$5='Conceptos Desglosados'!$H$4,VLOOKUP($A485,dormitorios,2,0),IF(K$5='Conceptos Desglosados'!$H$5,VLOOKUP($A485,comedor,2,0),IF(K$5='Conceptos Desglosados'!$H$6,VLOOKUP($A485,alojamiento,2,0),IF(K$5='Conceptos Desglosados'!$H$7,VLOOKUP($A485,sanidad,2,0),IF(K$5='Conceptos Desglosados'!$H$8,VLOOKUP($A485,servicios,2,0),IF(K$5='Conceptos Desglosados'!$H$9,VLOOKUP($A485,comyaloj,2,0),IF(K$5='Conceptos Desglosados'!$H$10,VLOOKUP($A485,comandancia,2,0),IF(K$5='Conceptos Desglosados'!$H$11,VLOOKUP($A485,mantenimiento,2,0),IF(K$5='Conceptos Desglosados'!$H$12,VLOOKUP($A485,serestatal,2,0),IF(K$5='Conceptos Desglosados'!$H$13,VLOOKUP($A485,conferencias,2,0),"")))))))))),"")*K$3,"")</f>
        <v/>
      </c>
      <c r="L485" t="str">
        <f>IFERROR(IFERROR(IF(L$5='Conceptos Desglosados'!$H$4,VLOOKUP($A485,dormitorios,2,0),IF(L$5='Conceptos Desglosados'!$H$5,VLOOKUP($A485,comedor,2,0),IF(L$5='Conceptos Desglosados'!$H$6,VLOOKUP($A485,alojamiento,2,0),IF(L$5='Conceptos Desglosados'!$H$7,VLOOKUP($A485,sanidad,2,0),IF(L$5='Conceptos Desglosados'!$H$8,VLOOKUP($A485,servicios,2,0),IF(L$5='Conceptos Desglosados'!$H$9,VLOOKUP($A485,comyaloj,2,0),IF(L$5='Conceptos Desglosados'!$H$10,VLOOKUP($A485,comandancia,2,0),IF(L$5='Conceptos Desglosados'!$H$11,VLOOKUP($A485,mantenimiento,2,0),IF(L$5='Conceptos Desglosados'!$H$12,VLOOKUP($A485,serestatal,2,0),IF(L$5='Conceptos Desglosados'!$H$13,VLOOKUP($A485,conferencias,2,0),"")))))))))),"")*L$3,"")</f>
        <v/>
      </c>
      <c r="M485" t="str">
        <f>IFERROR(IFERROR(IF(M$5='Conceptos Desglosados'!$H$4,VLOOKUP($A485,dormitorios,2,0),IF(M$5='Conceptos Desglosados'!$H$5,VLOOKUP($A485,comedor,2,0),IF(M$5='Conceptos Desglosados'!$H$6,VLOOKUP($A485,alojamiento,2,0),IF(M$5='Conceptos Desglosados'!$H$7,VLOOKUP($A485,sanidad,2,0),IF(M$5='Conceptos Desglosados'!$H$8,VLOOKUP($A485,servicios,2,0),IF(M$5='Conceptos Desglosados'!$H$9,VLOOKUP($A485,comyaloj,2,0),IF(M$5='Conceptos Desglosados'!$H$10,VLOOKUP($A485,comandancia,2,0),IF(M$5='Conceptos Desglosados'!$H$11,VLOOKUP($A485,mantenimiento,2,0),IF(M$5='Conceptos Desglosados'!$H$12,VLOOKUP($A485,serestatal,2,0),IF(M$5='Conceptos Desglosados'!$H$13,VLOOKUP($A485,conferencias,2,0),"")))))))))),"")*M$3,"")</f>
        <v/>
      </c>
      <c r="O485">
        <f t="shared" si="0"/>
        <v>0</v>
      </c>
    </row>
    <row r="486" spans="1:15" x14ac:dyDescent="0.35">
      <c r="A486">
        <v>481</v>
      </c>
      <c r="B486" t="s">
        <v>11</v>
      </c>
      <c r="C486" t="s">
        <v>1201</v>
      </c>
      <c r="D486" t="s">
        <v>1199</v>
      </c>
      <c r="E486" t="s">
        <v>1202</v>
      </c>
      <c r="F486" t="s">
        <v>1127</v>
      </c>
      <c r="G486" t="s">
        <v>9</v>
      </c>
      <c r="H486">
        <v>1.9750000000000001</v>
      </c>
      <c r="I486">
        <v>2.7149999999999999</v>
      </c>
      <c r="J486" t="s">
        <v>6</v>
      </c>
      <c r="K486" t="str">
        <f>IFERROR(IFERROR(IF(K$5='Conceptos Desglosados'!$H$4,VLOOKUP($A486,dormitorios,2,0),IF(K$5='Conceptos Desglosados'!$H$5,VLOOKUP($A486,comedor,2,0),IF(K$5='Conceptos Desglosados'!$H$6,VLOOKUP($A486,alojamiento,2,0),IF(K$5='Conceptos Desglosados'!$H$7,VLOOKUP($A486,sanidad,2,0),IF(K$5='Conceptos Desglosados'!$H$8,VLOOKUP($A486,servicios,2,0),IF(K$5='Conceptos Desglosados'!$H$9,VLOOKUP($A486,comyaloj,2,0),IF(K$5='Conceptos Desglosados'!$H$10,VLOOKUP($A486,comandancia,2,0),IF(K$5='Conceptos Desglosados'!$H$11,VLOOKUP($A486,mantenimiento,2,0),IF(K$5='Conceptos Desglosados'!$H$12,VLOOKUP($A486,serestatal,2,0),IF(K$5='Conceptos Desglosados'!$H$13,VLOOKUP($A486,conferencias,2,0),"")))))))))),"")*K$3,"")</f>
        <v/>
      </c>
      <c r="L486" t="str">
        <f>IFERROR(IFERROR(IF(L$5='Conceptos Desglosados'!$H$4,VLOOKUP($A486,dormitorios,2,0),IF(L$5='Conceptos Desglosados'!$H$5,VLOOKUP($A486,comedor,2,0),IF(L$5='Conceptos Desglosados'!$H$6,VLOOKUP($A486,alojamiento,2,0),IF(L$5='Conceptos Desglosados'!$H$7,VLOOKUP($A486,sanidad,2,0),IF(L$5='Conceptos Desglosados'!$H$8,VLOOKUP($A486,servicios,2,0),IF(L$5='Conceptos Desglosados'!$H$9,VLOOKUP($A486,comyaloj,2,0),IF(L$5='Conceptos Desglosados'!$H$10,VLOOKUP($A486,comandancia,2,0),IF(L$5='Conceptos Desglosados'!$H$11,VLOOKUP($A486,mantenimiento,2,0),IF(L$5='Conceptos Desglosados'!$H$12,VLOOKUP($A486,serestatal,2,0),IF(L$5='Conceptos Desglosados'!$H$13,VLOOKUP($A486,conferencias,2,0),"")))))))))),"")*L$3,"")</f>
        <v/>
      </c>
      <c r="M486" t="str">
        <f>IFERROR(IFERROR(IF(M$5='Conceptos Desglosados'!$H$4,VLOOKUP($A486,dormitorios,2,0),IF(M$5='Conceptos Desglosados'!$H$5,VLOOKUP($A486,comedor,2,0),IF(M$5='Conceptos Desglosados'!$H$6,VLOOKUP($A486,alojamiento,2,0),IF(M$5='Conceptos Desglosados'!$H$7,VLOOKUP($A486,sanidad,2,0),IF(M$5='Conceptos Desglosados'!$H$8,VLOOKUP($A486,servicios,2,0),IF(M$5='Conceptos Desglosados'!$H$9,VLOOKUP($A486,comyaloj,2,0),IF(M$5='Conceptos Desglosados'!$H$10,VLOOKUP($A486,comandancia,2,0),IF(M$5='Conceptos Desglosados'!$H$11,VLOOKUP($A486,mantenimiento,2,0),IF(M$5='Conceptos Desglosados'!$H$12,VLOOKUP($A486,serestatal,2,0),IF(M$5='Conceptos Desglosados'!$H$13,VLOOKUP($A486,conferencias,2,0),"")))))))))),"")*M$3,"")</f>
        <v/>
      </c>
      <c r="O486">
        <f t="shared" si="0"/>
        <v>0</v>
      </c>
    </row>
    <row r="487" spans="1:15" x14ac:dyDescent="0.35">
      <c r="A487">
        <v>482</v>
      </c>
      <c r="B487" t="s">
        <v>11</v>
      </c>
      <c r="C487" t="s">
        <v>1203</v>
      </c>
      <c r="D487" t="s">
        <v>1204</v>
      </c>
      <c r="E487" t="s">
        <v>1205</v>
      </c>
      <c r="F487" t="s">
        <v>1127</v>
      </c>
      <c r="G487" t="s">
        <v>9</v>
      </c>
      <c r="H487">
        <v>1.9750000000000001</v>
      </c>
      <c r="I487">
        <v>2.7149999999999999</v>
      </c>
      <c r="J487" t="s">
        <v>6</v>
      </c>
      <c r="K487" t="str">
        <f>IFERROR(IFERROR(IF(K$5='Conceptos Desglosados'!$H$4,VLOOKUP($A487,dormitorios,2,0),IF(K$5='Conceptos Desglosados'!$H$5,VLOOKUP($A487,comedor,2,0),IF(K$5='Conceptos Desglosados'!$H$6,VLOOKUP($A487,alojamiento,2,0),IF(K$5='Conceptos Desglosados'!$H$7,VLOOKUP($A487,sanidad,2,0),IF(K$5='Conceptos Desglosados'!$H$8,VLOOKUP($A487,servicios,2,0),IF(K$5='Conceptos Desglosados'!$H$9,VLOOKUP($A487,comyaloj,2,0),IF(K$5='Conceptos Desglosados'!$H$10,VLOOKUP($A487,comandancia,2,0),IF(K$5='Conceptos Desglosados'!$H$11,VLOOKUP($A487,mantenimiento,2,0),IF(K$5='Conceptos Desglosados'!$H$12,VLOOKUP($A487,serestatal,2,0),IF(K$5='Conceptos Desglosados'!$H$13,VLOOKUP($A487,conferencias,2,0),"")))))))))),"")*K$3,"")</f>
        <v/>
      </c>
      <c r="L487" t="str">
        <f>IFERROR(IFERROR(IF(L$5='Conceptos Desglosados'!$H$4,VLOOKUP($A487,dormitorios,2,0),IF(L$5='Conceptos Desglosados'!$H$5,VLOOKUP($A487,comedor,2,0),IF(L$5='Conceptos Desglosados'!$H$6,VLOOKUP($A487,alojamiento,2,0),IF(L$5='Conceptos Desglosados'!$H$7,VLOOKUP($A487,sanidad,2,0),IF(L$5='Conceptos Desglosados'!$H$8,VLOOKUP($A487,servicios,2,0),IF(L$5='Conceptos Desglosados'!$H$9,VLOOKUP($A487,comyaloj,2,0),IF(L$5='Conceptos Desglosados'!$H$10,VLOOKUP($A487,comandancia,2,0),IF(L$5='Conceptos Desglosados'!$H$11,VLOOKUP($A487,mantenimiento,2,0),IF(L$5='Conceptos Desglosados'!$H$12,VLOOKUP($A487,serestatal,2,0),IF(L$5='Conceptos Desglosados'!$H$13,VLOOKUP($A487,conferencias,2,0),"")))))))))),"")*L$3,"")</f>
        <v/>
      </c>
      <c r="M487" t="str">
        <f>IFERROR(IFERROR(IF(M$5='Conceptos Desglosados'!$H$4,VLOOKUP($A487,dormitorios,2,0),IF(M$5='Conceptos Desglosados'!$H$5,VLOOKUP($A487,comedor,2,0),IF(M$5='Conceptos Desglosados'!$H$6,VLOOKUP($A487,alojamiento,2,0),IF(M$5='Conceptos Desglosados'!$H$7,VLOOKUP($A487,sanidad,2,0),IF(M$5='Conceptos Desglosados'!$H$8,VLOOKUP($A487,servicios,2,0),IF(M$5='Conceptos Desglosados'!$H$9,VLOOKUP($A487,comyaloj,2,0),IF(M$5='Conceptos Desglosados'!$H$10,VLOOKUP($A487,comandancia,2,0),IF(M$5='Conceptos Desglosados'!$H$11,VLOOKUP($A487,mantenimiento,2,0),IF(M$5='Conceptos Desglosados'!$H$12,VLOOKUP($A487,serestatal,2,0),IF(M$5='Conceptos Desglosados'!$H$13,VLOOKUP($A487,conferencias,2,0),"")))))))))),"")*M$3,"")</f>
        <v/>
      </c>
      <c r="O487">
        <f t="shared" si="0"/>
        <v>0</v>
      </c>
    </row>
    <row r="488" spans="1:15" x14ac:dyDescent="0.35">
      <c r="A488">
        <v>483</v>
      </c>
      <c r="B488" t="s">
        <v>11</v>
      </c>
      <c r="C488" t="s">
        <v>1211</v>
      </c>
      <c r="D488" t="s">
        <v>1214</v>
      </c>
      <c r="E488" t="s">
        <v>1198</v>
      </c>
      <c r="F488" t="s">
        <v>1127</v>
      </c>
      <c r="G488" t="s">
        <v>9</v>
      </c>
      <c r="H488">
        <v>1.9750000000000001</v>
      </c>
      <c r="I488">
        <v>3</v>
      </c>
      <c r="J488" t="s">
        <v>6</v>
      </c>
      <c r="K488" t="str">
        <f>IFERROR(IFERROR(IF(K$5='Conceptos Desglosados'!$H$4,VLOOKUP($A488,dormitorios,2,0),IF(K$5='Conceptos Desglosados'!$H$5,VLOOKUP($A488,comedor,2,0),IF(K$5='Conceptos Desglosados'!$H$6,VLOOKUP($A488,alojamiento,2,0),IF(K$5='Conceptos Desglosados'!$H$7,VLOOKUP($A488,sanidad,2,0),IF(K$5='Conceptos Desglosados'!$H$8,VLOOKUP($A488,servicios,2,0),IF(K$5='Conceptos Desglosados'!$H$9,VLOOKUP($A488,comyaloj,2,0),IF(K$5='Conceptos Desglosados'!$H$10,VLOOKUP($A488,comandancia,2,0),IF(K$5='Conceptos Desglosados'!$H$11,VLOOKUP($A488,mantenimiento,2,0),IF(K$5='Conceptos Desglosados'!$H$12,VLOOKUP($A488,serestatal,2,0),IF(K$5='Conceptos Desglosados'!$H$13,VLOOKUP($A488,conferencias,2,0),"")))))))))),"")*K$3,"")</f>
        <v/>
      </c>
      <c r="L488" t="str">
        <f>IFERROR(IFERROR(IF(L$5='Conceptos Desglosados'!$H$4,VLOOKUP($A488,dormitorios,2,0),IF(L$5='Conceptos Desglosados'!$H$5,VLOOKUP($A488,comedor,2,0),IF(L$5='Conceptos Desglosados'!$H$6,VLOOKUP($A488,alojamiento,2,0),IF(L$5='Conceptos Desglosados'!$H$7,VLOOKUP($A488,sanidad,2,0),IF(L$5='Conceptos Desglosados'!$H$8,VLOOKUP($A488,servicios,2,0),IF(L$5='Conceptos Desglosados'!$H$9,VLOOKUP($A488,comyaloj,2,0),IF(L$5='Conceptos Desglosados'!$H$10,VLOOKUP($A488,comandancia,2,0),IF(L$5='Conceptos Desglosados'!$H$11,VLOOKUP($A488,mantenimiento,2,0),IF(L$5='Conceptos Desglosados'!$H$12,VLOOKUP($A488,serestatal,2,0),IF(L$5='Conceptos Desglosados'!$H$13,VLOOKUP($A488,conferencias,2,0),"")))))))))),"")*L$3,"")</f>
        <v/>
      </c>
      <c r="M488" t="str">
        <f>IFERROR(IFERROR(IF(M$5='Conceptos Desglosados'!$H$4,VLOOKUP($A488,dormitorios,2,0),IF(M$5='Conceptos Desglosados'!$H$5,VLOOKUP($A488,comedor,2,0),IF(M$5='Conceptos Desglosados'!$H$6,VLOOKUP($A488,alojamiento,2,0),IF(M$5='Conceptos Desglosados'!$H$7,VLOOKUP($A488,sanidad,2,0),IF(M$5='Conceptos Desglosados'!$H$8,VLOOKUP($A488,servicios,2,0),IF(M$5='Conceptos Desglosados'!$H$9,VLOOKUP($A488,comyaloj,2,0),IF(M$5='Conceptos Desglosados'!$H$10,VLOOKUP($A488,comandancia,2,0),IF(M$5='Conceptos Desglosados'!$H$11,VLOOKUP($A488,mantenimiento,2,0),IF(M$5='Conceptos Desglosados'!$H$12,VLOOKUP($A488,serestatal,2,0),IF(M$5='Conceptos Desglosados'!$H$13,VLOOKUP($A488,conferencias,2,0),"")))))))))),"")*M$3,"")</f>
        <v/>
      </c>
      <c r="O488">
        <f t="shared" si="0"/>
        <v>0</v>
      </c>
    </row>
    <row r="489" spans="1:15" x14ac:dyDescent="0.35">
      <c r="A489">
        <v>484</v>
      </c>
      <c r="B489" t="s">
        <v>11</v>
      </c>
      <c r="C489" t="s">
        <v>1212</v>
      </c>
      <c r="D489" t="s">
        <v>1215</v>
      </c>
      <c r="E489" t="s">
        <v>1202</v>
      </c>
      <c r="F489" t="s">
        <v>1127</v>
      </c>
      <c r="G489" t="s">
        <v>9</v>
      </c>
      <c r="H489">
        <v>1.9750000000000001</v>
      </c>
      <c r="I489">
        <v>3</v>
      </c>
      <c r="J489" t="s">
        <v>6</v>
      </c>
      <c r="K489" t="str">
        <f>IFERROR(IFERROR(IF(K$5='Conceptos Desglosados'!$H$4,VLOOKUP($A489,dormitorios,2,0),IF(K$5='Conceptos Desglosados'!$H$5,VLOOKUP($A489,comedor,2,0),IF(K$5='Conceptos Desglosados'!$H$6,VLOOKUP($A489,alojamiento,2,0),IF(K$5='Conceptos Desglosados'!$H$7,VLOOKUP($A489,sanidad,2,0),IF(K$5='Conceptos Desglosados'!$H$8,VLOOKUP($A489,servicios,2,0),IF(K$5='Conceptos Desglosados'!$H$9,VLOOKUP($A489,comyaloj,2,0),IF(K$5='Conceptos Desglosados'!$H$10,VLOOKUP($A489,comandancia,2,0),IF(K$5='Conceptos Desglosados'!$H$11,VLOOKUP($A489,mantenimiento,2,0),IF(K$5='Conceptos Desglosados'!$H$12,VLOOKUP($A489,serestatal,2,0),IF(K$5='Conceptos Desglosados'!$H$13,VLOOKUP($A489,conferencias,2,0),"")))))))))),"")*K$3,"")</f>
        <v/>
      </c>
      <c r="L489" t="str">
        <f>IFERROR(IFERROR(IF(L$5='Conceptos Desglosados'!$H$4,VLOOKUP($A489,dormitorios,2,0),IF(L$5='Conceptos Desglosados'!$H$5,VLOOKUP($A489,comedor,2,0),IF(L$5='Conceptos Desglosados'!$H$6,VLOOKUP($A489,alojamiento,2,0),IF(L$5='Conceptos Desglosados'!$H$7,VLOOKUP($A489,sanidad,2,0),IF(L$5='Conceptos Desglosados'!$H$8,VLOOKUP($A489,servicios,2,0),IF(L$5='Conceptos Desglosados'!$H$9,VLOOKUP($A489,comyaloj,2,0),IF(L$5='Conceptos Desglosados'!$H$10,VLOOKUP($A489,comandancia,2,0),IF(L$5='Conceptos Desglosados'!$H$11,VLOOKUP($A489,mantenimiento,2,0),IF(L$5='Conceptos Desglosados'!$H$12,VLOOKUP($A489,serestatal,2,0),IF(L$5='Conceptos Desglosados'!$H$13,VLOOKUP($A489,conferencias,2,0),"")))))))))),"")*L$3,"")</f>
        <v/>
      </c>
      <c r="M489" t="str">
        <f>IFERROR(IFERROR(IF(M$5='Conceptos Desglosados'!$H$4,VLOOKUP($A489,dormitorios,2,0),IF(M$5='Conceptos Desglosados'!$H$5,VLOOKUP($A489,comedor,2,0),IF(M$5='Conceptos Desglosados'!$H$6,VLOOKUP($A489,alojamiento,2,0),IF(M$5='Conceptos Desglosados'!$H$7,VLOOKUP($A489,sanidad,2,0),IF(M$5='Conceptos Desglosados'!$H$8,VLOOKUP($A489,servicios,2,0),IF(M$5='Conceptos Desglosados'!$H$9,VLOOKUP($A489,comyaloj,2,0),IF(M$5='Conceptos Desglosados'!$H$10,VLOOKUP($A489,comandancia,2,0),IF(M$5='Conceptos Desglosados'!$H$11,VLOOKUP($A489,mantenimiento,2,0),IF(M$5='Conceptos Desglosados'!$H$12,VLOOKUP($A489,serestatal,2,0),IF(M$5='Conceptos Desglosados'!$H$13,VLOOKUP($A489,conferencias,2,0),"")))))))))),"")*M$3,"")</f>
        <v/>
      </c>
      <c r="O489">
        <f t="shared" si="0"/>
        <v>0</v>
      </c>
    </row>
    <row r="490" spans="1:15" x14ac:dyDescent="0.35">
      <c r="A490">
        <v>485</v>
      </c>
      <c r="B490" t="s">
        <v>11</v>
      </c>
      <c r="C490" t="s">
        <v>1213</v>
      </c>
      <c r="D490" t="s">
        <v>1216</v>
      </c>
      <c r="E490" t="s">
        <v>1205</v>
      </c>
      <c r="F490" t="s">
        <v>1127</v>
      </c>
      <c r="G490" t="s">
        <v>9</v>
      </c>
      <c r="H490">
        <v>1.9750000000000001</v>
      </c>
      <c r="I490">
        <v>3</v>
      </c>
      <c r="J490" t="s">
        <v>6</v>
      </c>
      <c r="K490" t="str">
        <f>IFERROR(IFERROR(IF(K$5='Conceptos Desglosados'!$H$4,VLOOKUP($A490,dormitorios,2,0),IF(K$5='Conceptos Desglosados'!$H$5,VLOOKUP($A490,comedor,2,0),IF(K$5='Conceptos Desglosados'!$H$6,VLOOKUP($A490,alojamiento,2,0),IF(K$5='Conceptos Desglosados'!$H$7,VLOOKUP($A490,sanidad,2,0),IF(K$5='Conceptos Desglosados'!$H$8,VLOOKUP($A490,servicios,2,0),IF(K$5='Conceptos Desglosados'!$H$9,VLOOKUP($A490,comyaloj,2,0),IF(K$5='Conceptos Desglosados'!$H$10,VLOOKUP($A490,comandancia,2,0),IF(K$5='Conceptos Desglosados'!$H$11,VLOOKUP($A490,mantenimiento,2,0),IF(K$5='Conceptos Desglosados'!$H$12,VLOOKUP($A490,serestatal,2,0),IF(K$5='Conceptos Desglosados'!$H$13,VLOOKUP($A490,conferencias,2,0),"")))))))))),"")*K$3,"")</f>
        <v/>
      </c>
      <c r="L490" t="str">
        <f>IFERROR(IFERROR(IF(L$5='Conceptos Desglosados'!$H$4,VLOOKUP($A490,dormitorios,2,0),IF(L$5='Conceptos Desglosados'!$H$5,VLOOKUP($A490,comedor,2,0),IF(L$5='Conceptos Desglosados'!$H$6,VLOOKUP($A490,alojamiento,2,0),IF(L$5='Conceptos Desglosados'!$H$7,VLOOKUP($A490,sanidad,2,0),IF(L$5='Conceptos Desglosados'!$H$8,VLOOKUP($A490,servicios,2,0),IF(L$5='Conceptos Desglosados'!$H$9,VLOOKUP($A490,comyaloj,2,0),IF(L$5='Conceptos Desglosados'!$H$10,VLOOKUP($A490,comandancia,2,0),IF(L$5='Conceptos Desglosados'!$H$11,VLOOKUP($A490,mantenimiento,2,0),IF(L$5='Conceptos Desglosados'!$H$12,VLOOKUP($A490,serestatal,2,0),IF(L$5='Conceptos Desglosados'!$H$13,VLOOKUP($A490,conferencias,2,0),"")))))))))),"")*L$3,"")</f>
        <v/>
      </c>
      <c r="M490" t="str">
        <f>IFERROR(IFERROR(IF(M$5='Conceptos Desglosados'!$H$4,VLOOKUP($A490,dormitorios,2,0),IF(M$5='Conceptos Desglosados'!$H$5,VLOOKUP($A490,comedor,2,0),IF(M$5='Conceptos Desglosados'!$H$6,VLOOKUP($A490,alojamiento,2,0),IF(M$5='Conceptos Desglosados'!$H$7,VLOOKUP($A490,sanidad,2,0),IF(M$5='Conceptos Desglosados'!$H$8,VLOOKUP($A490,servicios,2,0),IF(M$5='Conceptos Desglosados'!$H$9,VLOOKUP($A490,comyaloj,2,0),IF(M$5='Conceptos Desglosados'!$H$10,VLOOKUP($A490,comandancia,2,0),IF(M$5='Conceptos Desglosados'!$H$11,VLOOKUP($A490,mantenimiento,2,0),IF(M$5='Conceptos Desglosados'!$H$12,VLOOKUP($A490,serestatal,2,0),IF(M$5='Conceptos Desglosados'!$H$13,VLOOKUP($A490,conferencias,2,0),"")))))))))),"")*M$3,"")</f>
        <v/>
      </c>
      <c r="O490">
        <f t="shared" si="0"/>
        <v>0</v>
      </c>
    </row>
    <row r="491" spans="1:15" x14ac:dyDescent="0.35">
      <c r="A491">
        <v>486</v>
      </c>
      <c r="B491" t="s">
        <v>11</v>
      </c>
      <c r="C491" t="s">
        <v>1206</v>
      </c>
      <c r="D491" t="s">
        <v>1207</v>
      </c>
      <c r="E491" t="s">
        <v>1208</v>
      </c>
      <c r="F491" t="s">
        <v>1127</v>
      </c>
      <c r="G491" t="s">
        <v>9</v>
      </c>
      <c r="H491">
        <v>1.9750000000000001</v>
      </c>
      <c r="I491">
        <v>2.7149999999999999</v>
      </c>
      <c r="J491" t="s">
        <v>6</v>
      </c>
      <c r="K491" t="str">
        <f>IFERROR(IFERROR(IF(K$5='Conceptos Desglosados'!$H$4,VLOOKUP($A491,dormitorios,2,0),IF(K$5='Conceptos Desglosados'!$H$5,VLOOKUP($A491,comedor,2,0),IF(K$5='Conceptos Desglosados'!$H$6,VLOOKUP($A491,alojamiento,2,0),IF(K$5='Conceptos Desglosados'!$H$7,VLOOKUP($A491,sanidad,2,0),IF(K$5='Conceptos Desglosados'!$H$8,VLOOKUP($A491,servicios,2,0),IF(K$5='Conceptos Desglosados'!$H$9,VLOOKUP($A491,comyaloj,2,0),IF(K$5='Conceptos Desglosados'!$H$10,VLOOKUP($A491,comandancia,2,0),IF(K$5='Conceptos Desglosados'!$H$11,VLOOKUP($A491,mantenimiento,2,0),IF(K$5='Conceptos Desglosados'!$H$12,VLOOKUP($A491,serestatal,2,0),IF(K$5='Conceptos Desglosados'!$H$13,VLOOKUP($A491,conferencias,2,0),"")))))))))),"")*K$3,"")</f>
        <v/>
      </c>
      <c r="L491" t="str">
        <f>IFERROR(IFERROR(IF(L$5='Conceptos Desglosados'!$H$4,VLOOKUP($A491,dormitorios,2,0),IF(L$5='Conceptos Desglosados'!$H$5,VLOOKUP($A491,comedor,2,0),IF(L$5='Conceptos Desglosados'!$H$6,VLOOKUP($A491,alojamiento,2,0),IF(L$5='Conceptos Desglosados'!$H$7,VLOOKUP($A491,sanidad,2,0),IF(L$5='Conceptos Desglosados'!$H$8,VLOOKUP($A491,servicios,2,0),IF(L$5='Conceptos Desglosados'!$H$9,VLOOKUP($A491,comyaloj,2,0),IF(L$5='Conceptos Desglosados'!$H$10,VLOOKUP($A491,comandancia,2,0),IF(L$5='Conceptos Desglosados'!$H$11,VLOOKUP($A491,mantenimiento,2,0),IF(L$5='Conceptos Desglosados'!$H$12,VLOOKUP($A491,serestatal,2,0),IF(L$5='Conceptos Desglosados'!$H$13,VLOOKUP($A491,conferencias,2,0),"")))))))))),"")*L$3,"")</f>
        <v/>
      </c>
      <c r="M491" t="str">
        <f>IFERROR(IFERROR(IF(M$5='Conceptos Desglosados'!$H$4,VLOOKUP($A491,dormitorios,2,0),IF(M$5='Conceptos Desglosados'!$H$5,VLOOKUP($A491,comedor,2,0),IF(M$5='Conceptos Desglosados'!$H$6,VLOOKUP($A491,alojamiento,2,0),IF(M$5='Conceptos Desglosados'!$H$7,VLOOKUP($A491,sanidad,2,0),IF(M$5='Conceptos Desglosados'!$H$8,VLOOKUP($A491,servicios,2,0),IF(M$5='Conceptos Desglosados'!$H$9,VLOOKUP($A491,comyaloj,2,0),IF(M$5='Conceptos Desglosados'!$H$10,VLOOKUP($A491,comandancia,2,0),IF(M$5='Conceptos Desglosados'!$H$11,VLOOKUP($A491,mantenimiento,2,0),IF(M$5='Conceptos Desglosados'!$H$12,VLOOKUP($A491,serestatal,2,0),IF(M$5='Conceptos Desglosados'!$H$13,VLOOKUP($A491,conferencias,2,0),"")))))))))),"")*M$3,"")</f>
        <v/>
      </c>
      <c r="O491">
        <f t="shared" si="0"/>
        <v>0</v>
      </c>
    </row>
    <row r="492" spans="1:15" x14ac:dyDescent="0.35">
      <c r="A492">
        <v>487</v>
      </c>
      <c r="B492" t="s">
        <v>11</v>
      </c>
      <c r="C492" t="s">
        <v>1217</v>
      </c>
      <c r="D492" t="s">
        <v>1218</v>
      </c>
      <c r="E492" t="s">
        <v>1208</v>
      </c>
      <c r="F492" t="s">
        <v>1127</v>
      </c>
      <c r="G492" t="s">
        <v>9</v>
      </c>
      <c r="H492">
        <v>1.9750000000000001</v>
      </c>
      <c r="I492">
        <v>3</v>
      </c>
      <c r="J492" t="s">
        <v>6</v>
      </c>
      <c r="K492" t="str">
        <f>IFERROR(IFERROR(IF(K$5='Conceptos Desglosados'!$H$4,VLOOKUP($A492,dormitorios,2,0),IF(K$5='Conceptos Desglosados'!$H$5,VLOOKUP($A492,comedor,2,0),IF(K$5='Conceptos Desglosados'!$H$6,VLOOKUP($A492,alojamiento,2,0),IF(K$5='Conceptos Desglosados'!$H$7,VLOOKUP($A492,sanidad,2,0),IF(K$5='Conceptos Desglosados'!$H$8,VLOOKUP($A492,servicios,2,0),IF(K$5='Conceptos Desglosados'!$H$9,VLOOKUP($A492,comyaloj,2,0),IF(K$5='Conceptos Desglosados'!$H$10,VLOOKUP($A492,comandancia,2,0),IF(K$5='Conceptos Desglosados'!$H$11,VLOOKUP($A492,mantenimiento,2,0),IF(K$5='Conceptos Desglosados'!$H$12,VLOOKUP($A492,serestatal,2,0),IF(K$5='Conceptos Desglosados'!$H$13,VLOOKUP($A492,conferencias,2,0),"")))))))))),"")*K$3,"")</f>
        <v/>
      </c>
      <c r="L492" t="str">
        <f>IFERROR(IFERROR(IF(L$5='Conceptos Desglosados'!$H$4,VLOOKUP($A492,dormitorios,2,0),IF(L$5='Conceptos Desglosados'!$H$5,VLOOKUP($A492,comedor,2,0),IF(L$5='Conceptos Desglosados'!$H$6,VLOOKUP($A492,alojamiento,2,0),IF(L$5='Conceptos Desglosados'!$H$7,VLOOKUP($A492,sanidad,2,0),IF(L$5='Conceptos Desglosados'!$H$8,VLOOKUP($A492,servicios,2,0),IF(L$5='Conceptos Desglosados'!$H$9,VLOOKUP($A492,comyaloj,2,0),IF(L$5='Conceptos Desglosados'!$H$10,VLOOKUP($A492,comandancia,2,0),IF(L$5='Conceptos Desglosados'!$H$11,VLOOKUP($A492,mantenimiento,2,0),IF(L$5='Conceptos Desglosados'!$H$12,VLOOKUP($A492,serestatal,2,0),IF(L$5='Conceptos Desglosados'!$H$13,VLOOKUP($A492,conferencias,2,0),"")))))))))),"")*L$3,"")</f>
        <v/>
      </c>
      <c r="M492" t="str">
        <f>IFERROR(IFERROR(IF(M$5='Conceptos Desglosados'!$H$4,VLOOKUP($A492,dormitorios,2,0),IF(M$5='Conceptos Desglosados'!$H$5,VLOOKUP($A492,comedor,2,0),IF(M$5='Conceptos Desglosados'!$H$6,VLOOKUP($A492,alojamiento,2,0),IF(M$5='Conceptos Desglosados'!$H$7,VLOOKUP($A492,sanidad,2,0),IF(M$5='Conceptos Desglosados'!$H$8,VLOOKUP($A492,servicios,2,0),IF(M$5='Conceptos Desglosados'!$H$9,VLOOKUP($A492,comyaloj,2,0),IF(M$5='Conceptos Desglosados'!$H$10,VLOOKUP($A492,comandancia,2,0),IF(M$5='Conceptos Desglosados'!$H$11,VLOOKUP($A492,mantenimiento,2,0),IF(M$5='Conceptos Desglosados'!$H$12,VLOOKUP($A492,serestatal,2,0),IF(M$5='Conceptos Desglosados'!$H$13,VLOOKUP($A492,conferencias,2,0),"")))))))))),"")*M$3,"")</f>
        <v/>
      </c>
      <c r="O492">
        <f t="shared" si="0"/>
        <v>0</v>
      </c>
    </row>
    <row r="496" spans="1:15" x14ac:dyDescent="0.35">
      <c r="B496" t="s">
        <v>1381</v>
      </c>
    </row>
    <row r="497" spans="2:10" x14ac:dyDescent="0.35">
      <c r="B497" t="s">
        <v>1382</v>
      </c>
    </row>
    <row r="498" spans="2:10" x14ac:dyDescent="0.35">
      <c r="B498" t="s">
        <v>1383</v>
      </c>
    </row>
    <row r="499" spans="2:10" x14ac:dyDescent="0.35">
      <c r="E499" t="s">
        <v>57</v>
      </c>
      <c r="J499" t="s">
        <v>6</v>
      </c>
    </row>
    <row r="500" spans="2:10" x14ac:dyDescent="0.35">
      <c r="E500" t="s">
        <v>116</v>
      </c>
      <c r="J500" t="s">
        <v>6</v>
      </c>
    </row>
    <row r="501" spans="2:10" x14ac:dyDescent="0.35">
      <c r="B501" t="s">
        <v>1056</v>
      </c>
    </row>
    <row r="502" spans="2:10" x14ac:dyDescent="0.35">
      <c r="E502" t="s">
        <v>1058</v>
      </c>
      <c r="J502" t="s">
        <v>25</v>
      </c>
    </row>
    <row r="503" spans="2:10" x14ac:dyDescent="0.35">
      <c r="E503" t="s">
        <v>1057</v>
      </c>
    </row>
    <row r="504" spans="2:10" x14ac:dyDescent="0.35">
      <c r="B504" t="s">
        <v>897</v>
      </c>
    </row>
    <row r="505" spans="2:10" x14ac:dyDescent="0.35">
      <c r="B505" t="s">
        <v>8</v>
      </c>
      <c r="E505" t="s">
        <v>142</v>
      </c>
      <c r="H505" t="s">
        <v>4</v>
      </c>
      <c r="I505" t="s">
        <v>3</v>
      </c>
      <c r="J505" t="s">
        <v>7</v>
      </c>
    </row>
    <row r="506" spans="2:10" x14ac:dyDescent="0.35">
      <c r="B506" t="s">
        <v>14</v>
      </c>
      <c r="E506" t="s">
        <v>443</v>
      </c>
      <c r="H506">
        <v>2</v>
      </c>
      <c r="J506" t="s">
        <v>6</v>
      </c>
    </row>
    <row r="507" spans="2:10" x14ac:dyDescent="0.35">
      <c r="B507" t="s">
        <v>15</v>
      </c>
      <c r="E507" t="s">
        <v>444</v>
      </c>
      <c r="H507">
        <v>3.05</v>
      </c>
      <c r="J507" t="s">
        <v>6</v>
      </c>
    </row>
    <row r="508" spans="2:10" x14ac:dyDescent="0.35">
      <c r="B508" t="s">
        <v>12</v>
      </c>
      <c r="E508" t="s">
        <v>445</v>
      </c>
      <c r="I508">
        <v>2.75</v>
      </c>
      <c r="J508" t="s">
        <v>6</v>
      </c>
    </row>
    <row r="509" spans="2:10" x14ac:dyDescent="0.35">
      <c r="B509" t="s">
        <v>13</v>
      </c>
      <c r="E509" t="s">
        <v>446</v>
      </c>
      <c r="I509">
        <v>2.75</v>
      </c>
      <c r="J509" t="s">
        <v>6</v>
      </c>
    </row>
    <row r="510" spans="2:10" x14ac:dyDescent="0.35">
      <c r="B510" t="s">
        <v>431</v>
      </c>
      <c r="E510" t="s">
        <v>447</v>
      </c>
      <c r="I510">
        <v>3.05</v>
      </c>
      <c r="J510" t="s">
        <v>6</v>
      </c>
    </row>
    <row r="511" spans="2:10" x14ac:dyDescent="0.35">
      <c r="B511" t="s">
        <v>432</v>
      </c>
      <c r="E511" t="s">
        <v>448</v>
      </c>
      <c r="I511">
        <v>3.05</v>
      </c>
      <c r="J511" t="s">
        <v>6</v>
      </c>
    </row>
    <row r="512" spans="2:10" x14ac:dyDescent="0.35">
      <c r="B512" t="s">
        <v>433</v>
      </c>
      <c r="E512" t="s">
        <v>449</v>
      </c>
      <c r="I512">
        <v>3.5350000000000001</v>
      </c>
      <c r="J512" t="s">
        <v>6</v>
      </c>
    </row>
    <row r="513" spans="2:10" x14ac:dyDescent="0.35">
      <c r="B513" t="s">
        <v>434</v>
      </c>
      <c r="E513" t="s">
        <v>450</v>
      </c>
      <c r="I513">
        <v>3.5350000000000001</v>
      </c>
      <c r="J513" t="s">
        <v>6</v>
      </c>
    </row>
    <row r="514" spans="2:10" x14ac:dyDescent="0.35">
      <c r="B514" t="s">
        <v>433</v>
      </c>
      <c r="E514" t="s">
        <v>1256</v>
      </c>
      <c r="I514">
        <v>4.3179999999999996</v>
      </c>
      <c r="J514" t="s">
        <v>6</v>
      </c>
    </row>
    <row r="515" spans="2:10" x14ac:dyDescent="0.35">
      <c r="B515" t="s">
        <v>434</v>
      </c>
      <c r="E515" t="s">
        <v>1257</v>
      </c>
      <c r="I515">
        <v>4.3179999999999996</v>
      </c>
      <c r="J515" t="s">
        <v>6</v>
      </c>
    </row>
    <row r="516" spans="2:10" x14ac:dyDescent="0.35">
      <c r="B516" t="s">
        <v>617</v>
      </c>
      <c r="E516" t="s">
        <v>619</v>
      </c>
      <c r="H516">
        <v>12.539</v>
      </c>
      <c r="J516" t="s">
        <v>6</v>
      </c>
    </row>
    <row r="517" spans="2:10" x14ac:dyDescent="0.35">
      <c r="B517" t="s">
        <v>618</v>
      </c>
      <c r="E517" t="s">
        <v>620</v>
      </c>
      <c r="H517">
        <v>12.539</v>
      </c>
      <c r="J517" t="s">
        <v>6</v>
      </c>
    </row>
    <row r="518" spans="2:10" x14ac:dyDescent="0.35">
      <c r="B518" t="s">
        <v>435</v>
      </c>
      <c r="E518" t="s">
        <v>451</v>
      </c>
      <c r="H518">
        <v>10.5</v>
      </c>
      <c r="J518" t="s">
        <v>6</v>
      </c>
    </row>
    <row r="519" spans="2:10" x14ac:dyDescent="0.35">
      <c r="B519" t="s">
        <v>16</v>
      </c>
      <c r="E519" t="s">
        <v>452</v>
      </c>
      <c r="H519">
        <v>10.5</v>
      </c>
      <c r="J519" t="s">
        <v>6</v>
      </c>
    </row>
    <row r="520" spans="2:10" x14ac:dyDescent="0.35">
      <c r="B520" t="s">
        <v>436</v>
      </c>
      <c r="E520" t="s">
        <v>652</v>
      </c>
      <c r="H520">
        <v>8.5</v>
      </c>
      <c r="J520" t="s">
        <v>6</v>
      </c>
    </row>
    <row r="521" spans="2:10" x14ac:dyDescent="0.35">
      <c r="B521" t="s">
        <v>437</v>
      </c>
      <c r="E521" t="s">
        <v>653</v>
      </c>
      <c r="H521">
        <v>8.5</v>
      </c>
      <c r="J521" t="s">
        <v>6</v>
      </c>
    </row>
    <row r="522" spans="2:10" x14ac:dyDescent="0.35">
      <c r="B522" t="s">
        <v>1282</v>
      </c>
      <c r="E522" t="s">
        <v>1283</v>
      </c>
      <c r="H522">
        <v>5</v>
      </c>
      <c r="J522" t="s">
        <v>6</v>
      </c>
    </row>
    <row r="523" spans="2:10" x14ac:dyDescent="0.35">
      <c r="B523" t="s">
        <v>16</v>
      </c>
      <c r="E523" t="s">
        <v>1284</v>
      </c>
      <c r="H523">
        <v>10.5</v>
      </c>
      <c r="J523" t="s">
        <v>6</v>
      </c>
    </row>
    <row r="524" spans="2:10" x14ac:dyDescent="0.35">
      <c r="B524" t="s">
        <v>618</v>
      </c>
      <c r="E524" t="s">
        <v>1285</v>
      </c>
      <c r="H524">
        <v>12.539</v>
      </c>
      <c r="J524" t="s">
        <v>6</v>
      </c>
    </row>
    <row r="525" spans="2:10" x14ac:dyDescent="0.35">
      <c r="B525" t="s">
        <v>52</v>
      </c>
      <c r="E525" t="s">
        <v>53</v>
      </c>
      <c r="J525" t="s">
        <v>6</v>
      </c>
    </row>
    <row r="526" spans="2:10" x14ac:dyDescent="0.35">
      <c r="B526" t="s">
        <v>54</v>
      </c>
      <c r="E526" t="s">
        <v>143</v>
      </c>
      <c r="J526" t="s">
        <v>6</v>
      </c>
    </row>
    <row r="527" spans="2:10" x14ac:dyDescent="0.35">
      <c r="B527" t="s">
        <v>55</v>
      </c>
      <c r="E527" t="s">
        <v>144</v>
      </c>
      <c r="J527" t="s">
        <v>6</v>
      </c>
    </row>
    <row r="528" spans="2:10" x14ac:dyDescent="0.35">
      <c r="B528" t="s">
        <v>56</v>
      </c>
      <c r="E528" t="s">
        <v>145</v>
      </c>
      <c r="J528" t="s">
        <v>6</v>
      </c>
    </row>
    <row r="529" spans="2:10" x14ac:dyDescent="0.35">
      <c r="E529" t="s">
        <v>146</v>
      </c>
      <c r="J529" t="s">
        <v>6</v>
      </c>
    </row>
    <row r="530" spans="2:10" x14ac:dyDescent="0.35">
      <c r="E530" t="s">
        <v>147</v>
      </c>
      <c r="J530" t="s">
        <v>6</v>
      </c>
    </row>
    <row r="531" spans="2:10" x14ac:dyDescent="0.35">
      <c r="E531" t="s">
        <v>148</v>
      </c>
      <c r="J531" t="s">
        <v>6</v>
      </c>
    </row>
    <row r="532" spans="2:10" x14ac:dyDescent="0.35">
      <c r="B532" t="s">
        <v>17</v>
      </c>
      <c r="E532" t="s">
        <v>453</v>
      </c>
      <c r="J532" t="s">
        <v>6</v>
      </c>
    </row>
    <row r="533" spans="2:10" x14ac:dyDescent="0.35">
      <c r="E533" t="s">
        <v>51</v>
      </c>
    </row>
    <row r="534" spans="2:10" x14ac:dyDescent="0.35">
      <c r="E534" t="s">
        <v>454</v>
      </c>
      <c r="J534" t="s">
        <v>6</v>
      </c>
    </row>
    <row r="535" spans="2:10" x14ac:dyDescent="0.35">
      <c r="E535" t="s">
        <v>123</v>
      </c>
    </row>
    <row r="536" spans="2:10" x14ac:dyDescent="0.35">
      <c r="E536" t="s">
        <v>455</v>
      </c>
      <c r="J536" t="s">
        <v>6</v>
      </c>
    </row>
    <row r="537" spans="2:10" x14ac:dyDescent="0.35">
      <c r="E537" t="s">
        <v>873</v>
      </c>
      <c r="J537" t="s">
        <v>6</v>
      </c>
    </row>
    <row r="538" spans="2:10" x14ac:dyDescent="0.35">
      <c r="B538" t="s">
        <v>19</v>
      </c>
      <c r="E538" t="s">
        <v>456</v>
      </c>
      <c r="J538" t="s">
        <v>6</v>
      </c>
    </row>
    <row r="539" spans="2:10" x14ac:dyDescent="0.35">
      <c r="E539" t="s">
        <v>51</v>
      </c>
    </row>
    <row r="540" spans="2:10" x14ac:dyDescent="0.35">
      <c r="B540" t="s">
        <v>20</v>
      </c>
      <c r="E540" t="s">
        <v>457</v>
      </c>
      <c r="J540" t="s">
        <v>6</v>
      </c>
    </row>
    <row r="541" spans="2:10" x14ac:dyDescent="0.35">
      <c r="G541" s="6"/>
    </row>
    <row r="542" spans="2:10" x14ac:dyDescent="0.35">
      <c r="E542" t="s">
        <v>458</v>
      </c>
      <c r="J542" t="s">
        <v>6</v>
      </c>
    </row>
    <row r="543" spans="2:10" x14ac:dyDescent="0.35">
      <c r="E543" t="s">
        <v>118</v>
      </c>
      <c r="J543" t="s">
        <v>6</v>
      </c>
    </row>
    <row r="544" spans="2:10" x14ac:dyDescent="0.35">
      <c r="B544" t="s">
        <v>23</v>
      </c>
    </row>
    <row r="545" spans="2:10" x14ac:dyDescent="0.35">
      <c r="B545" t="s">
        <v>8</v>
      </c>
      <c r="E545" t="s">
        <v>345</v>
      </c>
      <c r="H545" t="s">
        <v>4</v>
      </c>
      <c r="I545" t="s">
        <v>3</v>
      </c>
      <c r="J545" t="s">
        <v>7</v>
      </c>
    </row>
    <row r="546" spans="2:10" x14ac:dyDescent="0.35">
      <c r="E546" t="s">
        <v>23</v>
      </c>
    </row>
    <row r="547" spans="2:10" x14ac:dyDescent="0.35">
      <c r="J547" t="s">
        <v>21</v>
      </c>
    </row>
    <row r="548" spans="2:10" x14ac:dyDescent="0.35">
      <c r="B548" t="s">
        <v>546</v>
      </c>
    </row>
    <row r="549" spans="2:10" x14ac:dyDescent="0.35">
      <c r="B549" t="s">
        <v>547</v>
      </c>
    </row>
    <row r="550" spans="2:10" x14ac:dyDescent="0.35">
      <c r="B550" t="s">
        <v>614</v>
      </c>
    </row>
    <row r="552" spans="2:10" x14ac:dyDescent="0.35">
      <c r="B552" t="s">
        <v>615</v>
      </c>
    </row>
    <row r="553" spans="2:10" x14ac:dyDescent="0.35">
      <c r="B553" t="s">
        <v>616</v>
      </c>
    </row>
    <row r="554" spans="2:10" x14ac:dyDescent="0.35">
      <c r="E554" t="s">
        <v>890</v>
      </c>
      <c r="J554" t="s">
        <v>25</v>
      </c>
    </row>
    <row r="555" spans="2:10" x14ac:dyDescent="0.35">
      <c r="E555" t="s">
        <v>893</v>
      </c>
      <c r="J555" t="s">
        <v>25</v>
      </c>
    </row>
    <row r="556" spans="2:10" x14ac:dyDescent="0.35">
      <c r="E556" t="s">
        <v>891</v>
      </c>
      <c r="J556" t="s">
        <v>25</v>
      </c>
    </row>
    <row r="557" spans="2:10" x14ac:dyDescent="0.35">
      <c r="E557" t="s">
        <v>892</v>
      </c>
      <c r="J557" t="s">
        <v>25</v>
      </c>
    </row>
    <row r="558" spans="2:10" x14ac:dyDescent="0.35">
      <c r="E558" t="s">
        <v>894</v>
      </c>
      <c r="J558" t="s">
        <v>25</v>
      </c>
    </row>
    <row r="559" spans="2:10" x14ac:dyDescent="0.35">
      <c r="B559" t="s">
        <v>124</v>
      </c>
      <c r="E559" t="s">
        <v>895</v>
      </c>
      <c r="J559" t="s">
        <v>25</v>
      </c>
    </row>
    <row r="560" spans="2:10" x14ac:dyDescent="0.35">
      <c r="E560" t="s">
        <v>896</v>
      </c>
      <c r="J560" t="s">
        <v>25</v>
      </c>
    </row>
    <row r="561" spans="2:10" x14ac:dyDescent="0.35">
      <c r="E561" t="s">
        <v>874</v>
      </c>
      <c r="J561" t="s">
        <v>25</v>
      </c>
    </row>
    <row r="562" spans="2:10" x14ac:dyDescent="0.35">
      <c r="E562" t="s">
        <v>898</v>
      </c>
      <c r="J562" t="s">
        <v>25</v>
      </c>
    </row>
    <row r="563" spans="2:10" x14ac:dyDescent="0.35">
      <c r="E563" t="s">
        <v>28</v>
      </c>
      <c r="J563" t="s">
        <v>27</v>
      </c>
    </row>
    <row r="564" spans="2:10" x14ac:dyDescent="0.35">
      <c r="E564" t="s">
        <v>29</v>
      </c>
      <c r="J564" t="s">
        <v>25</v>
      </c>
    </row>
    <row r="565" spans="2:10" x14ac:dyDescent="0.35">
      <c r="E565" t="s">
        <v>137</v>
      </c>
      <c r="J565" t="s">
        <v>33</v>
      </c>
    </row>
    <row r="566" spans="2:10" x14ac:dyDescent="0.35">
      <c r="E566" t="s">
        <v>548</v>
      </c>
      <c r="J566" t="s">
        <v>27</v>
      </c>
    </row>
    <row r="567" spans="2:10" x14ac:dyDescent="0.35">
      <c r="B567" t="s">
        <v>18</v>
      </c>
      <c r="E567" t="s">
        <v>346</v>
      </c>
      <c r="J567" t="s">
        <v>21</v>
      </c>
    </row>
    <row r="568" spans="2:10" x14ac:dyDescent="0.35">
      <c r="E568" t="s">
        <v>31</v>
      </c>
      <c r="J568" t="s">
        <v>25</v>
      </c>
    </row>
    <row r="569" spans="2:10" x14ac:dyDescent="0.35">
      <c r="E569" t="s">
        <v>32</v>
      </c>
      <c r="J569" t="s">
        <v>25</v>
      </c>
    </row>
    <row r="570" spans="2:10" x14ac:dyDescent="0.35">
      <c r="E570" t="s">
        <v>1384</v>
      </c>
      <c r="J570" t="s">
        <v>25</v>
      </c>
    </row>
    <row r="571" spans="2:10" x14ac:dyDescent="0.35">
      <c r="E571" t="s">
        <v>30</v>
      </c>
      <c r="J571" t="s">
        <v>25</v>
      </c>
    </row>
    <row r="572" spans="2:10" x14ac:dyDescent="0.35">
      <c r="E572" t="s">
        <v>26</v>
      </c>
      <c r="J572" t="s">
        <v>27</v>
      </c>
    </row>
    <row r="573" spans="2:10" x14ac:dyDescent="0.35">
      <c r="E573" t="s">
        <v>149</v>
      </c>
      <c r="J573" t="s">
        <v>6</v>
      </c>
    </row>
    <row r="574" spans="2:10" x14ac:dyDescent="0.35">
      <c r="E574" t="s">
        <v>150</v>
      </c>
      <c r="J574" t="s">
        <v>6</v>
      </c>
    </row>
    <row r="575" spans="2:10" x14ac:dyDescent="0.35">
      <c r="B575" t="s">
        <v>35</v>
      </c>
    </row>
    <row r="576" spans="2:10" x14ac:dyDescent="0.35">
      <c r="E576" t="s">
        <v>421</v>
      </c>
      <c r="J576" t="s">
        <v>25</v>
      </c>
    </row>
    <row r="577" spans="5:10" x14ac:dyDescent="0.35">
      <c r="E577" t="s">
        <v>912</v>
      </c>
      <c r="J577" t="s">
        <v>25</v>
      </c>
    </row>
    <row r="578" spans="5:10" x14ac:dyDescent="0.35">
      <c r="E578" t="s">
        <v>422</v>
      </c>
      <c r="J578" t="s">
        <v>25</v>
      </c>
    </row>
    <row r="579" spans="5:10" x14ac:dyDescent="0.35">
      <c r="E579" t="s">
        <v>423</v>
      </c>
      <c r="J579" t="s">
        <v>25</v>
      </c>
    </row>
    <row r="580" spans="5:10" x14ac:dyDescent="0.35">
      <c r="E580" t="s">
        <v>424</v>
      </c>
      <c r="J580" t="s">
        <v>25</v>
      </c>
    </row>
    <row r="581" spans="5:10" x14ac:dyDescent="0.35">
      <c r="E581" t="s">
        <v>425</v>
      </c>
      <c r="J581" t="s">
        <v>25</v>
      </c>
    </row>
    <row r="582" spans="5:10" x14ac:dyDescent="0.35">
      <c r="E582" t="s">
        <v>426</v>
      </c>
      <c r="J582" t="s">
        <v>25</v>
      </c>
    </row>
    <row r="583" spans="5:10" x14ac:dyDescent="0.35">
      <c r="E583" t="s">
        <v>427</v>
      </c>
      <c r="J583" t="s">
        <v>25</v>
      </c>
    </row>
    <row r="584" spans="5:10" x14ac:dyDescent="0.35">
      <c r="E584" t="s">
        <v>465</v>
      </c>
      <c r="J584" t="s">
        <v>25</v>
      </c>
    </row>
    <row r="585" spans="5:10" x14ac:dyDescent="0.35">
      <c r="E585" t="s">
        <v>879</v>
      </c>
      <c r="J585" t="s">
        <v>25</v>
      </c>
    </row>
    <row r="586" spans="5:10" x14ac:dyDescent="0.35">
      <c r="E586" t="s">
        <v>46</v>
      </c>
      <c r="J586" t="s">
        <v>25</v>
      </c>
    </row>
    <row r="587" spans="5:10" x14ac:dyDescent="0.35">
      <c r="E587" t="s">
        <v>47</v>
      </c>
      <c r="J587" t="s">
        <v>25</v>
      </c>
    </row>
    <row r="588" spans="5:10" x14ac:dyDescent="0.35">
      <c r="E588" t="s">
        <v>36</v>
      </c>
      <c r="J588" t="s">
        <v>25</v>
      </c>
    </row>
    <row r="589" spans="5:10" x14ac:dyDescent="0.35">
      <c r="E589" t="s">
        <v>37</v>
      </c>
      <c r="J589" t="s">
        <v>25</v>
      </c>
    </row>
    <row r="590" spans="5:10" x14ac:dyDescent="0.35">
      <c r="E590" t="s">
        <v>38</v>
      </c>
      <c r="J590" t="s">
        <v>25</v>
      </c>
    </row>
    <row r="591" spans="5:10" x14ac:dyDescent="0.35">
      <c r="E591" t="s">
        <v>39</v>
      </c>
      <c r="J591" t="s">
        <v>25</v>
      </c>
    </row>
    <row r="592" spans="5:10" x14ac:dyDescent="0.35">
      <c r="E592" t="s">
        <v>284</v>
      </c>
      <c r="J592" t="s">
        <v>25</v>
      </c>
    </row>
    <row r="593" spans="2:10" x14ac:dyDescent="0.35">
      <c r="E593" t="s">
        <v>343</v>
      </c>
      <c r="J593" t="s">
        <v>25</v>
      </c>
    </row>
    <row r="594" spans="2:10" x14ac:dyDescent="0.35">
      <c r="E594" t="s">
        <v>429</v>
      </c>
      <c r="J594" t="s">
        <v>25</v>
      </c>
    </row>
    <row r="595" spans="2:10" x14ac:dyDescent="0.35">
      <c r="E595" t="s">
        <v>344</v>
      </c>
      <c r="J595" t="s">
        <v>25</v>
      </c>
    </row>
    <row r="596" spans="2:10" x14ac:dyDescent="0.35">
      <c r="E596" t="s">
        <v>40</v>
      </c>
      <c r="J596" t="s">
        <v>25</v>
      </c>
    </row>
    <row r="597" spans="2:10" x14ac:dyDescent="0.35">
      <c r="E597" t="s">
        <v>41</v>
      </c>
      <c r="J597" t="s">
        <v>25</v>
      </c>
    </row>
    <row r="598" spans="2:10" x14ac:dyDescent="0.35">
      <c r="E598" t="s">
        <v>428</v>
      </c>
      <c r="J598" t="s">
        <v>25</v>
      </c>
    </row>
    <row r="599" spans="2:10" x14ac:dyDescent="0.35">
      <c r="E599" t="s">
        <v>506</v>
      </c>
      <c r="J599" t="s">
        <v>25</v>
      </c>
    </row>
    <row r="600" spans="2:10" x14ac:dyDescent="0.35">
      <c r="E600" t="s">
        <v>45</v>
      </c>
      <c r="J600" t="s">
        <v>25</v>
      </c>
    </row>
    <row r="601" spans="2:10" x14ac:dyDescent="0.35">
      <c r="E601" t="s">
        <v>42</v>
      </c>
      <c r="J601" t="s">
        <v>25</v>
      </c>
    </row>
    <row r="602" spans="2:10" x14ac:dyDescent="0.35">
      <c r="E602" t="s">
        <v>43</v>
      </c>
      <c r="J602" t="s">
        <v>25</v>
      </c>
    </row>
    <row r="603" spans="2:10" x14ac:dyDescent="0.35">
      <c r="E603" t="s">
        <v>44</v>
      </c>
      <c r="J603" t="s">
        <v>25</v>
      </c>
    </row>
    <row r="604" spans="2:10" x14ac:dyDescent="0.35">
      <c r="E604" t="s">
        <v>151</v>
      </c>
      <c r="J604" t="s">
        <v>25</v>
      </c>
    </row>
    <row r="605" spans="2:10" x14ac:dyDescent="0.35">
      <c r="E605" t="s">
        <v>58</v>
      </c>
      <c r="J605" t="s">
        <v>25</v>
      </c>
    </row>
    <row r="606" spans="2:10" x14ac:dyDescent="0.35">
      <c r="B606" t="s">
        <v>50</v>
      </c>
    </row>
    <row r="607" spans="2:10" x14ac:dyDescent="0.35">
      <c r="B607" t="s">
        <v>140</v>
      </c>
      <c r="E607" t="s">
        <v>926</v>
      </c>
      <c r="J607" t="s">
        <v>25</v>
      </c>
    </row>
    <row r="608" spans="2:10" x14ac:dyDescent="0.35">
      <c r="B608" t="s">
        <v>141</v>
      </c>
      <c r="E608" t="s">
        <v>139</v>
      </c>
      <c r="J608" t="s">
        <v>25</v>
      </c>
    </row>
    <row r="609" spans="2:10" x14ac:dyDescent="0.35">
      <c r="B609" t="s">
        <v>48</v>
      </c>
      <c r="E609" t="s">
        <v>49</v>
      </c>
      <c r="J609" t="s">
        <v>25</v>
      </c>
    </row>
    <row r="610" spans="2:10" x14ac:dyDescent="0.35">
      <c r="E610" t="s">
        <v>576</v>
      </c>
      <c r="J610" t="s">
        <v>25</v>
      </c>
    </row>
    <row r="611" spans="2:10" x14ac:dyDescent="0.35">
      <c r="E611" t="s">
        <v>577</v>
      </c>
      <c r="J611" t="s">
        <v>25</v>
      </c>
    </row>
    <row r="612" spans="2:10" x14ac:dyDescent="0.35">
      <c r="E612" t="s">
        <v>578</v>
      </c>
      <c r="J612" t="s">
        <v>25</v>
      </c>
    </row>
    <row r="614" spans="2:10" x14ac:dyDescent="0.35">
      <c r="E614" t="s">
        <v>125</v>
      </c>
      <c r="J614" t="s">
        <v>126</v>
      </c>
    </row>
    <row r="615" spans="2:10" x14ac:dyDescent="0.35">
      <c r="E615" t="s">
        <v>889</v>
      </c>
      <c r="J615" t="s">
        <v>126</v>
      </c>
    </row>
    <row r="616" spans="2:10" x14ac:dyDescent="0.35">
      <c r="E616" t="s">
        <v>543</v>
      </c>
      <c r="J616" t="s">
        <v>34</v>
      </c>
    </row>
    <row r="617" spans="2:10" x14ac:dyDescent="0.35">
      <c r="E617" t="s">
        <v>544</v>
      </c>
      <c r="J617" t="s">
        <v>430</v>
      </c>
    </row>
    <row r="618" spans="2:10" x14ac:dyDescent="0.35">
      <c r="E618" t="s">
        <v>545</v>
      </c>
      <c r="J618" t="s">
        <v>430</v>
      </c>
    </row>
    <row r="619" spans="2:10" x14ac:dyDescent="0.35">
      <c r="E619" t="s">
        <v>138</v>
      </c>
      <c r="J619" t="s">
        <v>21</v>
      </c>
    </row>
    <row r="620" spans="2:10" x14ac:dyDescent="0.35">
      <c r="B620" t="s">
        <v>127</v>
      </c>
    </row>
    <row r="621" spans="2:10" x14ac:dyDescent="0.35">
      <c r="E621" t="s">
        <v>134</v>
      </c>
      <c r="J621" t="s">
        <v>25</v>
      </c>
    </row>
    <row r="622" spans="2:10" x14ac:dyDescent="0.35">
      <c r="E622" t="s">
        <v>579</v>
      </c>
      <c r="J622" t="s">
        <v>25</v>
      </c>
    </row>
    <row r="623" spans="2:10" x14ac:dyDescent="0.35">
      <c r="E623" t="s">
        <v>441</v>
      </c>
      <c r="J623" t="s">
        <v>25</v>
      </c>
    </row>
    <row r="624" spans="2:10" x14ac:dyDescent="0.35">
      <c r="E624" t="s">
        <v>442</v>
      </c>
      <c r="J624" t="s">
        <v>25</v>
      </c>
    </row>
    <row r="625" spans="5:10" x14ac:dyDescent="0.35">
      <c r="E625" t="s">
        <v>129</v>
      </c>
      <c r="J625" t="s">
        <v>25</v>
      </c>
    </row>
    <row r="626" spans="5:10" x14ac:dyDescent="0.35">
      <c r="E626" t="s">
        <v>136</v>
      </c>
      <c r="J626" t="s">
        <v>25</v>
      </c>
    </row>
    <row r="627" spans="5:10" x14ac:dyDescent="0.35">
      <c r="E627" t="s">
        <v>128</v>
      </c>
      <c r="J627" t="s">
        <v>25</v>
      </c>
    </row>
    <row r="628" spans="5:10" x14ac:dyDescent="0.35">
      <c r="E628" t="s">
        <v>864</v>
      </c>
      <c r="J628" t="s">
        <v>25</v>
      </c>
    </row>
    <row r="629" spans="5:10" x14ac:dyDescent="0.35">
      <c r="E629" t="s">
        <v>135</v>
      </c>
      <c r="J629" t="s">
        <v>25</v>
      </c>
    </row>
    <row r="630" spans="5:10" x14ac:dyDescent="0.35">
      <c r="E630" t="s">
        <v>621</v>
      </c>
      <c r="J630" t="s">
        <v>25</v>
      </c>
    </row>
    <row r="631" spans="5:10" x14ac:dyDescent="0.35">
      <c r="E631" t="s">
        <v>622</v>
      </c>
      <c r="J631" t="s">
        <v>25</v>
      </c>
    </row>
    <row r="632" spans="5:10" x14ac:dyDescent="0.35">
      <c r="E632" t="s">
        <v>438</v>
      </c>
      <c r="J632" t="s">
        <v>25</v>
      </c>
    </row>
    <row r="633" spans="5:10" x14ac:dyDescent="0.35">
      <c r="E633" t="s">
        <v>439</v>
      </c>
      <c r="J633" t="s">
        <v>25</v>
      </c>
    </row>
    <row r="634" spans="5:10" x14ac:dyDescent="0.35">
      <c r="E634" t="s">
        <v>440</v>
      </c>
      <c r="J634" t="s">
        <v>25</v>
      </c>
    </row>
    <row r="635" spans="5:10" x14ac:dyDescent="0.35">
      <c r="E635" t="s">
        <v>130</v>
      </c>
      <c r="J635" t="s">
        <v>25</v>
      </c>
    </row>
    <row r="636" spans="5:10" x14ac:dyDescent="0.35">
      <c r="E636" t="s">
        <v>580</v>
      </c>
      <c r="J636" t="s">
        <v>25</v>
      </c>
    </row>
    <row r="637" spans="5:10" x14ac:dyDescent="0.35">
      <c r="E637" t="s">
        <v>901</v>
      </c>
      <c r="J637" t="s">
        <v>25</v>
      </c>
    </row>
    <row r="638" spans="5:10" x14ac:dyDescent="0.35">
      <c r="E638" t="s">
        <v>1277</v>
      </c>
      <c r="J638" t="s">
        <v>25</v>
      </c>
    </row>
  </sheetData>
  <mergeCells count="2">
    <mergeCell ref="B1:E1"/>
    <mergeCell ref="G3:J3"/>
  </mergeCells>
  <dataValidations count="3">
    <dataValidation type="list" allowBlank="1" showInputMessage="1" showErrorMessage="1" sqref="B1:E1">
      <formula1>PROYECTOS</formula1>
    </dataValidation>
    <dataValidation type="list" allowBlank="1" showInputMessage="1" showErrorMessage="1" sqref="K5:M5">
      <formula1>conceptos2</formula1>
    </dataValidation>
    <dataValidation type="list" allowBlank="1" showInputMessage="1" showErrorMessage="1" sqref="K3:M3">
      <formula1>lista</formula1>
    </dataValidation>
  </dataValidations>
  <printOptions horizontalCentered="1"/>
  <pageMargins left="0.25" right="0.25" top="0.75" bottom="0.75" header="0.3" footer="0.3"/>
  <pageSetup paperSize="167" scale="27" fitToHeight="0" orientation="landscape" r:id="rId1"/>
  <rowBreaks count="259" manualBreakCount="259">
    <brk id="47" min="1" max="68" man="1"/>
    <brk id="114" min="1" max="68" man="1"/>
    <brk id="162" min="1" max="68" man="1"/>
    <brk id="261" min="1" max="33" man="1"/>
    <brk id="313" min="1" max="68" man="1"/>
    <brk id="392" max="16383" man="1"/>
    <brk id="414" min="1" max="33" man="1"/>
    <brk id="442" min="1" max="68" man="1"/>
    <brk id="508" min="1" max="68" man="1"/>
    <brk id="549" min="1" max="68" man="1"/>
    <brk id="591" min="1" max="68" man="1"/>
    <brk id="626" min="1" max="68" man="1"/>
    <brk id="888" min="1" max="75" man="1"/>
    <brk id="1150" min="1" max="75" man="1"/>
    <brk id="1412" min="1" max="75" man="1"/>
    <brk id="1674" min="1" max="75" man="1"/>
    <brk id="1936" min="1" max="75" man="1"/>
    <brk id="2198" min="1" max="75" man="1"/>
    <brk id="2460" min="1" max="75" man="1"/>
    <brk id="2722" min="1" max="75" man="1"/>
    <brk id="2984" min="1" max="75" man="1"/>
    <brk id="3246" min="1" max="75" man="1"/>
    <brk id="3508" min="1" max="75" man="1"/>
    <brk id="3770" min="1" max="75" man="1"/>
    <brk id="4032" min="1" max="75" man="1"/>
    <brk id="4294" min="1" max="75" man="1"/>
    <brk id="4556" min="1" max="75" man="1"/>
    <brk id="4818" min="1" max="75" man="1"/>
    <brk id="5080" min="1" max="75" man="1"/>
    <brk id="5342" min="1" max="75" man="1"/>
    <brk id="5604" min="1" max="75" man="1"/>
    <brk id="5866" min="1" max="75" man="1"/>
    <brk id="6128" min="1" max="75" man="1"/>
    <brk id="6390" min="1" max="75" man="1"/>
    <brk id="6652" min="1" max="75" man="1"/>
    <brk id="6914" min="1" max="75" man="1"/>
    <brk id="7176" min="1" max="75" man="1"/>
    <brk id="7438" min="1" max="75" man="1"/>
    <brk id="7700" min="1" max="75" man="1"/>
    <brk id="7962" min="1" max="75" man="1"/>
    <brk id="8224" min="1" max="75" man="1"/>
    <brk id="8486" min="1" max="75" man="1"/>
    <brk id="8748" min="1" max="75" man="1"/>
    <brk id="9010" min="1" max="75" man="1"/>
    <brk id="9272" min="1" max="75" man="1"/>
    <brk id="9534" min="1" max="75" man="1"/>
    <brk id="9796" min="1" max="75" man="1"/>
    <brk id="10058" min="1" max="75" man="1"/>
    <brk id="10320" min="1" max="75" man="1"/>
    <brk id="10582" min="1" max="75" man="1"/>
    <brk id="10844" min="1" max="75" man="1"/>
    <brk id="11106" min="1" max="75" man="1"/>
    <brk id="11368" min="1" max="75" man="1"/>
    <brk id="11630" min="1" max="75" man="1"/>
    <brk id="11892" min="1" max="75" man="1"/>
    <brk id="12154" min="1" max="75" man="1"/>
    <brk id="12416" min="1" max="75" man="1"/>
    <brk id="12678" min="1" max="75" man="1"/>
    <brk id="12940" min="1" max="75" man="1"/>
    <brk id="13202" min="1" max="75" man="1"/>
    <brk id="13464" min="1" max="75" man="1"/>
    <brk id="13726" min="1" max="75" man="1"/>
    <brk id="13988" min="1" max="75" man="1"/>
    <brk id="14250" min="1" max="75" man="1"/>
    <brk id="14512" min="1" max="75" man="1"/>
    <brk id="14774" min="1" max="75" man="1"/>
    <brk id="15036" min="1" max="75" man="1"/>
    <brk id="15298" min="1" max="75" man="1"/>
    <brk id="15560" min="1" max="75" man="1"/>
    <brk id="15822" min="1" max="75" man="1"/>
    <brk id="16084" min="1" max="75" man="1"/>
    <brk id="16346" min="1" max="75" man="1"/>
    <brk id="16608" min="1" max="75" man="1"/>
    <brk id="16870" min="1" max="75" man="1"/>
    <brk id="17132" min="1" max="75" man="1"/>
    <brk id="17394" min="1" max="75" man="1"/>
    <brk id="17656" min="1" max="75" man="1"/>
    <brk id="17918" min="1" max="75" man="1"/>
    <brk id="18180" min="1" max="75" man="1"/>
    <brk id="18442" min="1" max="75" man="1"/>
    <brk id="18704" min="1" max="75" man="1"/>
    <brk id="18966" min="1" max="75" man="1"/>
    <brk id="19228" min="1" max="75" man="1"/>
    <brk id="19490" min="1" max="75" man="1"/>
    <brk id="19752" min="1" max="75" man="1"/>
    <brk id="20014" min="1" max="75" man="1"/>
    <brk id="20276" min="1" max="75" man="1"/>
    <brk id="20538" min="1" max="75" man="1"/>
    <brk id="20800" min="1" max="75" man="1"/>
    <brk id="21062" min="1" max="75" man="1"/>
    <brk id="21324" min="1" max="75" man="1"/>
    <brk id="21586" min="1" max="75" man="1"/>
    <brk id="21848" min="1" max="75" man="1"/>
    <brk id="22110" min="1" max="75" man="1"/>
    <brk id="22372" min="1" max="75" man="1"/>
    <brk id="22634" min="1" max="75" man="1"/>
    <brk id="22896" min="1" max="75" man="1"/>
    <brk id="23158" min="1" max="75" man="1"/>
    <brk id="23420" min="1" max="75" man="1"/>
    <brk id="23682" min="1" max="75" man="1"/>
    <brk id="23944" min="1" max="75" man="1"/>
    <brk id="24206" min="1" max="75" man="1"/>
    <brk id="24468" min="1" max="75" man="1"/>
    <brk id="24730" min="1" max="75" man="1"/>
    <brk id="24992" min="1" max="75" man="1"/>
    <brk id="25254" min="1" max="75" man="1"/>
    <brk id="25516" min="1" max="75" man="1"/>
    <brk id="25778" min="1" max="75" man="1"/>
    <brk id="26040" min="1" max="75" man="1"/>
    <brk id="26302" min="1" max="75" man="1"/>
    <brk id="26564" min="1" max="75" man="1"/>
    <brk id="26826" min="1" max="75" man="1"/>
    <brk id="27088" min="1" max="75" man="1"/>
    <brk id="27350" min="1" max="75" man="1"/>
    <brk id="27612" min="1" max="75" man="1"/>
    <brk id="27874" min="1" max="75" man="1"/>
    <brk id="28136" min="1" max="75" man="1"/>
    <brk id="28398" min="1" max="75" man="1"/>
    <brk id="28660" min="1" max="75" man="1"/>
    <brk id="28922" min="1" max="75" man="1"/>
    <brk id="29184" min="1" max="75" man="1"/>
    <brk id="29446" min="1" max="75" man="1"/>
    <brk id="29708" min="1" max="75" man="1"/>
    <brk id="29970" min="1" max="75" man="1"/>
    <brk id="30232" min="1" max="75" man="1"/>
    <brk id="30494" min="1" max="75" man="1"/>
    <brk id="30756" min="1" max="75" man="1"/>
    <brk id="31018" min="1" max="75" man="1"/>
    <brk id="31280" min="1" max="75" man="1"/>
    <brk id="31542" min="1" max="75" man="1"/>
    <brk id="31804" min="1" max="75" man="1"/>
    <brk id="32066" min="1" max="75" man="1"/>
    <brk id="32328" min="1" max="75" man="1"/>
    <brk id="32590" min="1" max="75" man="1"/>
    <brk id="32852" min="1" max="75" man="1"/>
    <brk id="33114" min="1" max="75" man="1"/>
    <brk id="33376" min="1" max="75" man="1"/>
    <brk id="33638" min="1" max="75" man="1"/>
    <brk id="33900" min="1" max="75" man="1"/>
    <brk id="34162" min="1" max="75" man="1"/>
    <brk id="34424" min="1" max="75" man="1"/>
    <brk id="34686" min="1" max="75" man="1"/>
    <brk id="34948" min="1" max="75" man="1"/>
    <brk id="35210" min="1" max="75" man="1"/>
    <brk id="35472" min="1" max="75" man="1"/>
    <brk id="35734" min="1" max="75" man="1"/>
    <brk id="35996" min="1" max="75" man="1"/>
    <brk id="36258" min="1" max="75" man="1"/>
    <brk id="36520" min="1" max="75" man="1"/>
    <brk id="36782" min="1" max="75" man="1"/>
    <brk id="37044" min="1" max="75" man="1"/>
    <brk id="37306" min="1" max="75" man="1"/>
    <brk id="37568" min="1" max="75" man="1"/>
    <brk id="37830" min="1" max="75" man="1"/>
    <brk id="38092" min="1" max="75" man="1"/>
    <brk id="38354" min="1" max="75" man="1"/>
    <brk id="38616" min="1" max="75" man="1"/>
    <brk id="38878" min="1" max="75" man="1"/>
    <brk id="39140" min="1" max="75" man="1"/>
    <brk id="39402" min="1" max="75" man="1"/>
    <brk id="39664" min="1" max="75" man="1"/>
    <brk id="39926" min="1" max="75" man="1"/>
    <brk id="40188" min="1" max="75" man="1"/>
    <brk id="40450" min="1" max="75" man="1"/>
    <brk id="40712" min="1" max="75" man="1"/>
    <brk id="40974" min="1" max="75" man="1"/>
    <brk id="41236" min="1" max="75" man="1"/>
    <brk id="41498" min="1" max="75" man="1"/>
    <brk id="41760" min="1" max="75" man="1"/>
    <brk id="42022" min="1" max="75" man="1"/>
    <brk id="42284" min="1" max="75" man="1"/>
    <brk id="42546" min="1" max="75" man="1"/>
    <brk id="42808" min="1" max="75" man="1"/>
    <brk id="43070" min="1" max="75" man="1"/>
    <brk id="43332" min="1" max="75" man="1"/>
    <brk id="43594" min="1" max="75" man="1"/>
    <brk id="43856" min="1" max="75" man="1"/>
    <brk id="44118" min="1" max="75" man="1"/>
    <brk id="44380" min="1" max="75" man="1"/>
    <brk id="44642" min="1" max="75" man="1"/>
    <brk id="44904" min="1" max="75" man="1"/>
    <brk id="45166" min="1" max="75" man="1"/>
    <brk id="45428" min="1" max="75" man="1"/>
    <brk id="45690" min="1" max="75" man="1"/>
    <brk id="45952" min="1" max="75" man="1"/>
    <brk id="46214" min="1" max="75" man="1"/>
    <brk id="46476" min="1" max="75" man="1"/>
    <brk id="46738" min="1" max="75" man="1"/>
    <brk id="47000" min="1" max="75" man="1"/>
    <brk id="47262" min="1" max="75" man="1"/>
    <brk id="47524" min="1" max="75" man="1"/>
    <brk id="47786" min="1" max="75" man="1"/>
    <brk id="48048" min="1" max="75" man="1"/>
    <brk id="48310" min="1" max="75" man="1"/>
    <brk id="48572" min="1" max="75" man="1"/>
    <brk id="48834" min="1" max="75" man="1"/>
    <brk id="49096" min="1" max="75" man="1"/>
    <brk id="49358" min="1" max="75" man="1"/>
    <brk id="49620" min="1" max="75" man="1"/>
    <brk id="49882" min="1" max="75" man="1"/>
    <brk id="50144" min="1" max="75" man="1"/>
    <brk id="50406" min="1" max="75" man="1"/>
    <brk id="50668" min="1" max="75" man="1"/>
    <brk id="50930" min="1" max="75" man="1"/>
    <brk id="51192" min="1" max="75" man="1"/>
    <brk id="51454" min="1" max="75" man="1"/>
    <brk id="51716" min="1" max="75" man="1"/>
    <brk id="51978" min="1" max="75" man="1"/>
    <brk id="52240" min="1" max="75" man="1"/>
    <brk id="52502" min="1" max="75" man="1"/>
    <brk id="52764" min="1" max="75" man="1"/>
    <brk id="53026" min="1" max="75" man="1"/>
    <brk id="53288" min="1" max="75" man="1"/>
    <brk id="53550" min="1" max="75" man="1"/>
    <brk id="53812" min="1" max="75" man="1"/>
    <brk id="54074" min="1" max="75" man="1"/>
    <brk id="54336" min="1" max="75" man="1"/>
    <brk id="54598" min="1" max="75" man="1"/>
    <brk id="54860" min="1" max="75" man="1"/>
    <brk id="55122" min="1" max="75" man="1"/>
    <brk id="55384" min="1" max="75" man="1"/>
    <brk id="55646" min="1" max="75" man="1"/>
    <brk id="55908" min="1" max="75" man="1"/>
    <brk id="56170" min="1" max="75" man="1"/>
    <brk id="56432" min="1" max="75" man="1"/>
    <brk id="56694" min="1" max="75" man="1"/>
    <brk id="56956" min="1" max="75" man="1"/>
    <brk id="57218" min="1" max="75" man="1"/>
    <brk id="57480" min="1" max="75" man="1"/>
    <brk id="57742" min="1" max="75" man="1"/>
    <brk id="58004" min="1" max="75" man="1"/>
    <brk id="58266" min="1" max="75" man="1"/>
    <brk id="58528" min="1" max="75" man="1"/>
    <brk id="58790" min="1" max="75" man="1"/>
    <brk id="59052" min="1" max="75" man="1"/>
    <brk id="59314" min="1" max="75" man="1"/>
    <brk id="59576" min="1" max="75" man="1"/>
    <brk id="59838" min="1" max="75" man="1"/>
    <brk id="60100" min="1" max="75" man="1"/>
    <brk id="60362" min="1" max="75" man="1"/>
    <brk id="60624" min="1" max="75" man="1"/>
    <brk id="60886" min="1" max="75" man="1"/>
    <brk id="61148" min="1" max="75" man="1"/>
    <brk id="61410" min="1" max="75" man="1"/>
    <brk id="61672" min="1" max="75" man="1"/>
    <brk id="61934" min="1" max="75" man="1"/>
    <brk id="62196" min="1" max="75" man="1"/>
    <brk id="62458" min="1" max="75" man="1"/>
    <brk id="62720" min="1" max="75" man="1"/>
    <brk id="62982" min="1" max="75" man="1"/>
    <brk id="63244" min="1" max="75" man="1"/>
    <brk id="63506" min="1" max="75" man="1"/>
    <brk id="63768" min="1" max="75" man="1"/>
    <brk id="64030" min="1" max="75" man="1"/>
    <brk id="64292" min="1" max="75" man="1"/>
    <brk id="64562" min="1" max="84" man="1"/>
    <brk id="64832" min="1" max="84" man="1"/>
    <brk id="65102" min="1" max="84" man="1"/>
    <brk id="65372" min="1" max="8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5" r:id="rId4" name="Button 111">
              <controlPr defaultSize="0" print="0" autoFill="0" autoPict="0" macro="[0]!asignacion">
                <anchor moveWithCells="1" sizeWithCells="1">
                  <from>
                    <xdr:col>6</xdr:col>
                    <xdr:colOff>6350</xdr:colOff>
                    <xdr:row>0</xdr:row>
                    <xdr:rowOff>0</xdr:rowOff>
                  </from>
                  <to>
                    <xdr:col>8</xdr:col>
                    <xdr:colOff>425450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5" name="Button 112">
              <controlPr defaultSize="0" print="0" autoFill="0" autoPict="0" macro="[0]!Identificar">
                <anchor moveWithCells="1" sizeWithCells="1">
                  <from>
                    <xdr:col>6</xdr:col>
                    <xdr:colOff>6350</xdr:colOff>
                    <xdr:row>1</xdr:row>
                    <xdr:rowOff>6350</xdr:rowOff>
                  </from>
                  <to>
                    <xdr:col>9</xdr:col>
                    <xdr:colOff>6350</xdr:colOff>
                    <xdr:row>1</xdr:row>
                    <xdr:rowOff>273050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14"/>
  <sheetViews>
    <sheetView workbookViewId="0">
      <selection activeCell="A4" sqref="A4"/>
    </sheetView>
  </sheetViews>
  <sheetFormatPr baseColWidth="10" defaultRowHeight="14.5" x14ac:dyDescent="0.35"/>
  <cols>
    <col min="1" max="1" width="7.453125" style="2" customWidth="1"/>
    <col min="2" max="2" width="39.7265625" customWidth="1"/>
    <col min="3" max="3" width="24.453125" customWidth="1"/>
    <col min="4" max="4" width="22.54296875" customWidth="1"/>
    <col min="5" max="5" width="26" customWidth="1"/>
    <col min="6" max="6" width="13" customWidth="1"/>
    <col min="7" max="7" width="19.1796875" customWidth="1"/>
    <col min="8" max="8" width="18.7265625" style="6" customWidth="1"/>
    <col min="9" max="9" width="17.453125" style="6" customWidth="1"/>
  </cols>
  <sheetData>
    <row r="1" spans="1:9" x14ac:dyDescent="0.35">
      <c r="H1"/>
      <c r="I1"/>
    </row>
    <row r="2" spans="1:9" x14ac:dyDescent="0.35">
      <c r="H2"/>
      <c r="I2"/>
    </row>
    <row r="3" spans="1:9" s="1" customFormat="1" ht="29" x14ac:dyDescent="0.35">
      <c r="A3" s="5" t="s">
        <v>1295</v>
      </c>
      <c r="B3" s="5" t="s">
        <v>1308</v>
      </c>
      <c r="C3" s="5" t="s">
        <v>1309</v>
      </c>
      <c r="D3" s="5" t="s">
        <v>1310</v>
      </c>
      <c r="E3" s="5" t="s">
        <v>1316</v>
      </c>
      <c r="F3" s="5" t="s">
        <v>1311</v>
      </c>
      <c r="G3" s="5" t="s">
        <v>1312</v>
      </c>
      <c r="H3" s="5" t="s">
        <v>1313</v>
      </c>
      <c r="I3" s="5" t="s">
        <v>1337</v>
      </c>
    </row>
    <row r="4" spans="1:9" s="1" customFormat="1" x14ac:dyDescent="0.35">
      <c r="A4" s="5">
        <f t="shared" ref="A4:A10" si="0">ROW()-3</f>
        <v>1</v>
      </c>
      <c r="B4" t="s">
        <v>927</v>
      </c>
      <c r="C4" t="s">
        <v>1330</v>
      </c>
      <c r="D4" t="s">
        <v>1331</v>
      </c>
      <c r="E4" t="s">
        <v>1332</v>
      </c>
      <c r="F4">
        <v>4</v>
      </c>
      <c r="G4" t="s">
        <v>1333</v>
      </c>
      <c r="H4" s="6">
        <v>42005</v>
      </c>
      <c r="I4" s="6">
        <v>42370</v>
      </c>
    </row>
    <row r="5" spans="1:9" s="1" customFormat="1" x14ac:dyDescent="0.35">
      <c r="A5" s="2">
        <f t="shared" si="0"/>
        <v>2</v>
      </c>
      <c r="B5" t="s">
        <v>1338</v>
      </c>
      <c r="C5" t="s">
        <v>1338</v>
      </c>
      <c r="D5" t="s">
        <v>1336</v>
      </c>
      <c r="E5" t="s">
        <v>1339</v>
      </c>
      <c r="F5">
        <v>5</v>
      </c>
      <c r="G5" t="s">
        <v>1340</v>
      </c>
      <c r="H5" s="6">
        <v>42414</v>
      </c>
      <c r="I5" s="6">
        <v>42609</v>
      </c>
    </row>
    <row r="6" spans="1:9" x14ac:dyDescent="0.35">
      <c r="A6" s="5">
        <f t="shared" si="0"/>
        <v>3</v>
      </c>
      <c r="B6" t="s">
        <v>1341</v>
      </c>
      <c r="C6" t="s">
        <v>1342</v>
      </c>
      <c r="D6" t="s">
        <v>1343</v>
      </c>
      <c r="E6" t="s">
        <v>1344</v>
      </c>
      <c r="F6">
        <v>7</v>
      </c>
      <c r="G6" t="s">
        <v>1345</v>
      </c>
      <c r="H6" s="6">
        <v>42005</v>
      </c>
      <c r="I6" s="6">
        <v>42586</v>
      </c>
    </row>
    <row r="7" spans="1:9" x14ac:dyDescent="0.35">
      <c r="A7" s="2">
        <f t="shared" si="0"/>
        <v>4</v>
      </c>
      <c r="B7" t="s">
        <v>1346</v>
      </c>
      <c r="C7" t="s">
        <v>1347</v>
      </c>
      <c r="D7" t="s">
        <v>1348</v>
      </c>
      <c r="E7" t="s">
        <v>1349</v>
      </c>
      <c r="G7" t="s">
        <v>1347</v>
      </c>
      <c r="H7" s="6">
        <v>42005</v>
      </c>
      <c r="I7" s="6">
        <v>42370</v>
      </c>
    </row>
    <row r="8" spans="1:9" x14ac:dyDescent="0.35">
      <c r="A8" s="2">
        <f t="shared" si="0"/>
        <v>5</v>
      </c>
      <c r="B8" t="s">
        <v>1350</v>
      </c>
      <c r="C8">
        <v>345</v>
      </c>
      <c r="D8">
        <v>34</v>
      </c>
      <c r="F8">
        <v>54</v>
      </c>
      <c r="G8">
        <v>6</v>
      </c>
      <c r="H8" s="6" t="s">
        <v>1351</v>
      </c>
      <c r="I8" s="6" t="s">
        <v>1352</v>
      </c>
    </row>
    <row r="9" spans="1:9" x14ac:dyDescent="0.35">
      <c r="A9" s="2">
        <f t="shared" si="0"/>
        <v>6</v>
      </c>
      <c r="B9" t="s">
        <v>1355</v>
      </c>
      <c r="C9">
        <v>23325435345</v>
      </c>
      <c r="D9">
        <v>345345</v>
      </c>
      <c r="E9">
        <v>345435</v>
      </c>
      <c r="F9">
        <v>345345</v>
      </c>
      <c r="G9">
        <v>34535</v>
      </c>
      <c r="H9" s="6">
        <v>42686</v>
      </c>
      <c r="I9" s="6">
        <v>43081</v>
      </c>
    </row>
    <row r="10" spans="1:9" x14ac:dyDescent="0.35">
      <c r="A10" s="2">
        <f t="shared" si="0"/>
        <v>7</v>
      </c>
      <c r="B10" t="s">
        <v>1358</v>
      </c>
      <c r="C10" t="s">
        <v>1359</v>
      </c>
      <c r="D10" t="s">
        <v>1360</v>
      </c>
      <c r="E10" t="s">
        <v>1361</v>
      </c>
      <c r="F10" t="s">
        <v>1362</v>
      </c>
      <c r="G10" t="s">
        <v>1363</v>
      </c>
      <c r="H10" s="6">
        <v>42005</v>
      </c>
      <c r="I10" s="6">
        <v>43081</v>
      </c>
    </row>
    <row r="11" spans="1:9" x14ac:dyDescent="0.35">
      <c r="A11" s="2">
        <f>ROW()-3</f>
        <v>8</v>
      </c>
      <c r="B11" t="s">
        <v>1365</v>
      </c>
      <c r="C11" t="s">
        <v>1366</v>
      </c>
      <c r="D11" t="s">
        <v>1367</v>
      </c>
      <c r="E11" t="s">
        <v>1368</v>
      </c>
      <c r="F11" t="s">
        <v>1369</v>
      </c>
      <c r="G11" t="s">
        <v>1370</v>
      </c>
      <c r="H11" s="6">
        <v>42339</v>
      </c>
      <c r="I11" s="6">
        <v>43081</v>
      </c>
    </row>
    <row r="12" spans="1:9" x14ac:dyDescent="0.35">
      <c r="A12" s="2">
        <f>ROW()-3</f>
        <v>9</v>
      </c>
      <c r="B12" t="s">
        <v>1371</v>
      </c>
      <c r="C12" t="s">
        <v>1372</v>
      </c>
      <c r="D12" t="s">
        <v>1373</v>
      </c>
      <c r="E12" t="s">
        <v>1374</v>
      </c>
      <c r="F12" t="s">
        <v>1375</v>
      </c>
      <c r="G12" t="s">
        <v>1376</v>
      </c>
      <c r="H12" s="6">
        <v>42005</v>
      </c>
      <c r="I12" s="6">
        <v>42370</v>
      </c>
    </row>
    <row r="13" spans="1:9" x14ac:dyDescent="0.35">
      <c r="A13" s="2">
        <f>ROW()-3</f>
        <v>10</v>
      </c>
      <c r="B13" t="s">
        <v>1377</v>
      </c>
      <c r="C13" t="s">
        <v>1349</v>
      </c>
      <c r="D13" t="s">
        <v>1348</v>
      </c>
      <c r="E13" t="s">
        <v>1349</v>
      </c>
      <c r="F13" t="s">
        <v>1378</v>
      </c>
      <c r="G13" t="s">
        <v>1379</v>
      </c>
      <c r="H13" s="6">
        <v>36892</v>
      </c>
      <c r="I13" s="6">
        <v>36892</v>
      </c>
    </row>
    <row r="14" spans="1:9" x14ac:dyDescent="0.35">
      <c r="A14" s="2">
        <f>ROW()-3</f>
        <v>11</v>
      </c>
      <c r="B14" t="s">
        <v>1385</v>
      </c>
      <c r="C14" t="s">
        <v>1386</v>
      </c>
      <c r="D14" t="s">
        <v>1343</v>
      </c>
      <c r="E14" t="s">
        <v>1387</v>
      </c>
      <c r="F14">
        <v>5</v>
      </c>
      <c r="G14" t="s">
        <v>1388</v>
      </c>
      <c r="H14" s="6">
        <v>42716</v>
      </c>
      <c r="I14" s="6">
        <v>43081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7"/>
  <sheetViews>
    <sheetView workbookViewId="0">
      <selection activeCell="F15" sqref="F15"/>
    </sheetView>
  </sheetViews>
  <sheetFormatPr baseColWidth="10" defaultRowHeight="14.5" x14ac:dyDescent="0.35"/>
  <cols>
    <col min="6" max="6" width="21.1796875" bestFit="1" customWidth="1"/>
    <col min="8" max="8" width="22.6328125" bestFit="1" customWidth="1"/>
    <col min="9" max="9" width="2.6328125" customWidth="1"/>
  </cols>
  <sheetData>
    <row r="1" spans="1:10" x14ac:dyDescent="0.35">
      <c r="E1" t="s">
        <v>3</v>
      </c>
    </row>
    <row r="2" spans="1:10" x14ac:dyDescent="0.35">
      <c r="A2" s="30"/>
      <c r="B2" s="30"/>
    </row>
    <row r="5" spans="1:10" ht="15.5" x14ac:dyDescent="0.35">
      <c r="A5" s="3" t="s">
        <v>1289</v>
      </c>
      <c r="B5" s="3" t="s">
        <v>1390</v>
      </c>
      <c r="C5" s="3" t="s">
        <v>1391</v>
      </c>
      <c r="D5" s="3" t="s">
        <v>1293</v>
      </c>
      <c r="E5" s="3" t="s">
        <v>1294</v>
      </c>
      <c r="F5" s="23" t="s">
        <v>1315</v>
      </c>
      <c r="G5" s="23" t="s">
        <v>1297</v>
      </c>
      <c r="H5" s="23" t="s">
        <v>1353</v>
      </c>
      <c r="I5" s="22"/>
      <c r="J5" s="22" t="s">
        <v>1380</v>
      </c>
    </row>
    <row r="6" spans="1:10" x14ac:dyDescent="0.35">
      <c r="A6" t="s">
        <v>883</v>
      </c>
      <c r="B6" t="s">
        <v>9</v>
      </c>
      <c r="C6">
        <v>1.9750000000000001</v>
      </c>
      <c r="D6">
        <v>2.7149999999999999</v>
      </c>
      <c r="E6" t="s">
        <v>6</v>
      </c>
      <c r="F6" t="s">
        <v>1389</v>
      </c>
      <c r="G6" t="s">
        <v>1389</v>
      </c>
      <c r="H6" t="s">
        <v>1389</v>
      </c>
      <c r="J6">
        <f>SUM(F6:H6)</f>
        <v>0</v>
      </c>
    </row>
    <row r="7" spans="1:10" x14ac:dyDescent="0.35">
      <c r="A7" t="s">
        <v>883</v>
      </c>
      <c r="B7" t="s">
        <v>0</v>
      </c>
      <c r="C7">
        <v>1.9750000000000001</v>
      </c>
      <c r="D7">
        <v>2.7149999999999999</v>
      </c>
      <c r="E7" t="s">
        <v>6</v>
      </c>
      <c r="F7" t="s">
        <v>1389</v>
      </c>
      <c r="G7">
        <v>4</v>
      </c>
      <c r="H7" t="s">
        <v>1389</v>
      </c>
      <c r="J7">
        <f t="shared" ref="J7:J17" si="0">SUM(F7:H7)</f>
        <v>4</v>
      </c>
    </row>
    <row r="8" spans="1:10" x14ac:dyDescent="0.35">
      <c r="A8" t="s">
        <v>883</v>
      </c>
      <c r="B8" t="s">
        <v>0</v>
      </c>
      <c r="C8">
        <v>2.02</v>
      </c>
      <c r="D8">
        <v>2.7149999999999999</v>
      </c>
      <c r="E8" t="s">
        <v>6</v>
      </c>
      <c r="F8">
        <v>14</v>
      </c>
      <c r="G8">
        <v>4</v>
      </c>
      <c r="H8" t="s">
        <v>1389</v>
      </c>
      <c r="J8">
        <f t="shared" si="0"/>
        <v>18</v>
      </c>
    </row>
    <row r="9" spans="1:10" x14ac:dyDescent="0.35">
      <c r="A9" t="s">
        <v>1326</v>
      </c>
      <c r="B9" t="s">
        <v>2</v>
      </c>
      <c r="C9">
        <v>1.99</v>
      </c>
      <c r="D9">
        <v>2.7149999999999999</v>
      </c>
      <c r="E9" t="s">
        <v>6</v>
      </c>
      <c r="F9" t="s">
        <v>1389</v>
      </c>
      <c r="G9" t="s">
        <v>1389</v>
      </c>
      <c r="H9" t="s">
        <v>1389</v>
      </c>
      <c r="J9">
        <f t="shared" si="0"/>
        <v>0</v>
      </c>
    </row>
    <row r="10" spans="1:10" x14ac:dyDescent="0.35">
      <c r="A10" t="s">
        <v>883</v>
      </c>
      <c r="B10" t="s">
        <v>2</v>
      </c>
      <c r="C10">
        <v>1.93</v>
      </c>
      <c r="D10">
        <v>2.7149999999999999</v>
      </c>
      <c r="E10" t="s">
        <v>6</v>
      </c>
      <c r="F10" t="s">
        <v>1389</v>
      </c>
      <c r="G10" t="s">
        <v>1389</v>
      </c>
      <c r="H10" t="s">
        <v>1389</v>
      </c>
      <c r="J10">
        <f t="shared" si="0"/>
        <v>0</v>
      </c>
    </row>
    <row r="11" spans="1:10" x14ac:dyDescent="0.35">
      <c r="A11" t="s">
        <v>883</v>
      </c>
      <c r="B11" t="s">
        <v>2</v>
      </c>
      <c r="C11">
        <v>1.95</v>
      </c>
      <c r="D11">
        <v>2.7149999999999999</v>
      </c>
      <c r="E11" t="s">
        <v>6</v>
      </c>
      <c r="F11" t="s">
        <v>1389</v>
      </c>
      <c r="G11" t="s">
        <v>1389</v>
      </c>
      <c r="H11" t="s">
        <v>1389</v>
      </c>
      <c r="J11">
        <f t="shared" si="0"/>
        <v>0</v>
      </c>
    </row>
    <row r="12" spans="1:10" x14ac:dyDescent="0.35">
      <c r="A12" t="s">
        <v>883</v>
      </c>
      <c r="B12" t="s">
        <v>0</v>
      </c>
      <c r="C12">
        <v>1.95</v>
      </c>
      <c r="D12">
        <v>2.7149999999999999</v>
      </c>
      <c r="E12" t="s">
        <v>6</v>
      </c>
      <c r="F12" t="s">
        <v>1389</v>
      </c>
      <c r="G12" t="s">
        <v>1389</v>
      </c>
      <c r="H12" t="s">
        <v>1389</v>
      </c>
      <c r="J12">
        <f t="shared" si="0"/>
        <v>0</v>
      </c>
    </row>
    <row r="13" spans="1:10" x14ac:dyDescent="0.35">
      <c r="A13" t="s">
        <v>883</v>
      </c>
      <c r="B13" t="s">
        <v>0</v>
      </c>
      <c r="C13">
        <v>0.88500000000000001</v>
      </c>
      <c r="D13">
        <v>2.7149999999999999</v>
      </c>
      <c r="E13" t="s">
        <v>6</v>
      </c>
      <c r="F13" t="s">
        <v>1389</v>
      </c>
      <c r="G13" t="s">
        <v>1389</v>
      </c>
      <c r="H13" t="s">
        <v>1389</v>
      </c>
      <c r="J13">
        <f t="shared" si="0"/>
        <v>0</v>
      </c>
    </row>
    <row r="14" spans="1:10" x14ac:dyDescent="0.35">
      <c r="A14" t="s">
        <v>883</v>
      </c>
      <c r="B14" t="s">
        <v>0</v>
      </c>
      <c r="C14">
        <v>0.57999999999999996</v>
      </c>
      <c r="D14">
        <v>2.7149999999999999</v>
      </c>
      <c r="E14" t="s">
        <v>6</v>
      </c>
      <c r="F14" t="s">
        <v>1389</v>
      </c>
      <c r="G14" t="s">
        <v>1389</v>
      </c>
      <c r="H14" t="s">
        <v>1389</v>
      </c>
      <c r="J14">
        <f t="shared" si="0"/>
        <v>0</v>
      </c>
    </row>
    <row r="15" spans="1:10" x14ac:dyDescent="0.35">
      <c r="A15" t="s">
        <v>883</v>
      </c>
      <c r="B15" t="s">
        <v>0</v>
      </c>
      <c r="C15">
        <v>0.94</v>
      </c>
      <c r="D15">
        <v>2.7149999999999999</v>
      </c>
      <c r="E15" t="s">
        <v>6</v>
      </c>
      <c r="F15" t="s">
        <v>1389</v>
      </c>
      <c r="G15" t="s">
        <v>1389</v>
      </c>
      <c r="H15" t="s">
        <v>1389</v>
      </c>
      <c r="J15">
        <f t="shared" si="0"/>
        <v>0</v>
      </c>
    </row>
    <row r="16" spans="1:10" x14ac:dyDescent="0.35">
      <c r="A16" t="s">
        <v>883</v>
      </c>
      <c r="B16" t="s">
        <v>2</v>
      </c>
      <c r="C16">
        <v>0.94</v>
      </c>
      <c r="D16">
        <v>2.7149999999999999</v>
      </c>
      <c r="E16" t="s">
        <v>6</v>
      </c>
      <c r="F16" t="s">
        <v>1389</v>
      </c>
      <c r="G16" t="s">
        <v>1389</v>
      </c>
      <c r="H16" t="s">
        <v>1389</v>
      </c>
      <c r="J16">
        <f t="shared" si="0"/>
        <v>0</v>
      </c>
    </row>
    <row r="17" spans="1:10" x14ac:dyDescent="0.35">
      <c r="A17" t="s">
        <v>883</v>
      </c>
      <c r="B17" t="s">
        <v>2</v>
      </c>
      <c r="C17">
        <v>0.8</v>
      </c>
      <c r="D17">
        <v>2.7149999999999999</v>
      </c>
      <c r="E17" t="s">
        <v>6</v>
      </c>
      <c r="F17" t="s">
        <v>1389</v>
      </c>
      <c r="G17" t="s">
        <v>1389</v>
      </c>
      <c r="H17" t="s">
        <v>1389</v>
      </c>
      <c r="J17">
        <f t="shared" si="0"/>
        <v>0</v>
      </c>
    </row>
  </sheetData>
  <dataValidations count="1">
    <dataValidation type="list" allowBlank="1" showInputMessage="1" showErrorMessage="1" sqref="F5:H5">
      <formula1>conceptos2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R200"/>
  <sheetViews>
    <sheetView tabSelected="1" topLeftCell="AD1" workbookViewId="0">
      <selection activeCell="AR9" sqref="AR9"/>
    </sheetView>
  </sheetViews>
  <sheetFormatPr baseColWidth="10" defaultColWidth="0" defaultRowHeight="14.5" zeroHeight="1" x14ac:dyDescent="0.35"/>
  <cols>
    <col min="1" max="1" width="8.26953125" hidden="1" customWidth="1"/>
    <col min="2" max="3" width="10.90625" customWidth="1"/>
    <col min="4" max="4" width="6" customWidth="1"/>
    <col min="5" max="5" width="18.81640625" customWidth="1"/>
    <col min="6" max="6" width="2.453125" customWidth="1"/>
    <col min="7" max="7" width="6" customWidth="1"/>
    <col min="8" max="8" width="29.453125" customWidth="1"/>
    <col min="9" max="9" width="2.453125" customWidth="1"/>
    <col min="10" max="10" width="6.1796875" customWidth="1"/>
    <col min="11" max="11" width="16.453125" customWidth="1"/>
    <col min="12" max="12" width="2.453125" customWidth="1"/>
    <col min="13" max="13" width="6.1796875" customWidth="1"/>
    <col min="14" max="14" width="11.453125" customWidth="1"/>
    <col min="15" max="15" width="2.453125" customWidth="1"/>
    <col min="16" max="16" width="6.1796875" customWidth="1"/>
    <col min="17" max="17" width="16.7265625" customWidth="1"/>
    <col min="18" max="18" width="2.453125" customWidth="1"/>
    <col min="19" max="19" width="6.1796875" customWidth="1"/>
    <col min="20" max="20" width="10.453125" customWidth="1"/>
    <col min="21" max="21" width="2.453125" customWidth="1"/>
    <col min="22" max="22" width="6.1796875" customWidth="1"/>
    <col min="23" max="23" width="11.26953125" customWidth="1"/>
    <col min="24" max="24" width="2.453125" customWidth="1"/>
    <col min="25" max="25" width="6.1796875" customWidth="1"/>
    <col min="26" max="26" width="20.1796875" customWidth="1"/>
    <col min="27" max="27" width="2.453125" customWidth="1"/>
    <col min="28" max="28" width="6.1796875" customWidth="1"/>
    <col min="29" max="29" width="15.7265625" customWidth="1"/>
    <col min="30" max="30" width="2.453125" customWidth="1"/>
    <col min="31" max="31" width="6.1796875" customWidth="1"/>
    <col min="32" max="32" width="17.26953125" customWidth="1"/>
    <col min="33" max="33" width="2.453125" customWidth="1"/>
    <col min="34" max="34" width="6.1796875" customWidth="1"/>
    <col min="35" max="35" width="20.453125" customWidth="1"/>
    <col min="36" max="36" width="2.453125" customWidth="1"/>
    <col min="37" max="37" width="6.1796875" customWidth="1"/>
    <col min="38" max="38" width="22.81640625" customWidth="1"/>
    <col min="39" max="39" width="2.453125" customWidth="1"/>
    <col min="40" max="40" width="11.26953125" customWidth="1"/>
    <col min="41" max="41" width="14.08984375" customWidth="1"/>
    <col min="42" max="42" width="2.453125" customWidth="1"/>
    <col min="43" max="43" width="11.26953125" customWidth="1"/>
    <col min="44" max="44" width="14.36328125" customWidth="1"/>
    <col min="45" max="45" width="2.453125" customWidth="1"/>
    <col min="46" max="47" width="11.26953125" customWidth="1"/>
    <col min="48" max="48" width="2.453125" customWidth="1"/>
    <col min="49" max="50" width="11.26953125" customWidth="1"/>
    <col min="51" max="51" width="2.453125" customWidth="1"/>
    <col min="52" max="53" width="11.26953125" customWidth="1"/>
    <col min="54" max="54" width="2.453125" customWidth="1"/>
    <col min="55" max="56" width="11.26953125" customWidth="1"/>
    <col min="57" max="57" width="2.453125" customWidth="1"/>
    <col min="58" max="59" width="11.26953125" customWidth="1"/>
    <col min="60" max="60" width="2.453125" customWidth="1"/>
    <col min="61" max="62" width="11.26953125" customWidth="1"/>
    <col min="63" max="63" width="2.453125" customWidth="1"/>
    <col min="64" max="65" width="11.26953125" customWidth="1"/>
    <col min="66" max="66" width="2.453125" customWidth="1"/>
    <col min="67" max="68" width="11.26953125" customWidth="1"/>
    <col min="69" max="69" width="2.453125" customWidth="1"/>
    <col min="70" max="71" width="11.26953125" customWidth="1"/>
    <col min="72" max="72" width="2.453125" customWidth="1"/>
    <col min="73" max="74" width="11.26953125" customWidth="1"/>
    <col min="75" max="75" width="2.453125" customWidth="1"/>
    <col min="76" max="77" width="11.26953125" customWidth="1"/>
    <col min="78" max="78" width="2.453125" customWidth="1"/>
    <col min="79" max="80" width="11.26953125" customWidth="1"/>
    <col min="81" max="81" width="2.453125" customWidth="1"/>
    <col min="82" max="83" width="11.26953125" customWidth="1"/>
    <col min="84" max="84" width="2.453125" customWidth="1"/>
    <col min="85" max="86" width="11.26953125" customWidth="1"/>
    <col min="87" max="87" width="2.453125" customWidth="1"/>
    <col min="88" max="89" width="11.26953125" customWidth="1"/>
    <col min="90" max="90" width="2.453125" customWidth="1"/>
    <col min="91" max="92" width="11.26953125" customWidth="1"/>
    <col min="93" max="93" width="2.453125" customWidth="1"/>
    <col min="94" max="95" width="11.26953125" customWidth="1"/>
    <col min="96" max="96" width="2.453125" customWidth="1"/>
    <col min="97" max="98" width="11.26953125" customWidth="1"/>
    <col min="99" max="99" width="2.453125" customWidth="1"/>
    <col min="100" max="101" width="11.26953125" customWidth="1"/>
    <col min="102" max="102" width="2.453125" customWidth="1"/>
    <col min="103" max="104" width="11.26953125" customWidth="1"/>
    <col min="105" max="105" width="2.453125" customWidth="1"/>
    <col min="106" max="107" width="11.26953125" customWidth="1"/>
    <col min="108" max="108" width="2.453125" customWidth="1"/>
    <col min="109" max="110" width="11.26953125" customWidth="1"/>
    <col min="111" max="111" width="2.453125" customWidth="1"/>
    <col min="112" max="113" width="11.26953125" customWidth="1"/>
    <col min="114" max="114" width="2.453125" customWidth="1"/>
    <col min="115" max="116" width="11.26953125" customWidth="1"/>
    <col min="117" max="117" width="2.453125" customWidth="1"/>
    <col min="118" max="119" width="11.26953125" customWidth="1"/>
    <col min="120" max="120" width="2.453125" customWidth="1"/>
    <col min="121" max="122" width="11.26953125" customWidth="1"/>
    <col min="123" max="123" width="2.453125" customWidth="1"/>
    <col min="124" max="125" width="11.26953125" customWidth="1"/>
    <col min="126" max="126" width="2.453125" customWidth="1"/>
    <col min="127" max="128" width="11.26953125" customWidth="1"/>
    <col min="129" max="129" width="2.453125" customWidth="1"/>
    <col min="130" max="131" width="11.26953125" customWidth="1"/>
    <col min="132" max="132" width="2.453125" customWidth="1"/>
    <col min="133" max="134" width="11.26953125" customWidth="1"/>
    <col min="135" max="135" width="2.453125" customWidth="1"/>
    <col min="136" max="137" width="11.26953125" customWidth="1"/>
    <col min="138" max="138" width="2.453125" customWidth="1"/>
    <col min="139" max="140" width="11.26953125" customWidth="1"/>
    <col min="141" max="141" width="2.453125" customWidth="1"/>
    <col min="142" max="143" width="11.26953125" customWidth="1"/>
    <col min="144" max="144" width="2.453125" customWidth="1"/>
    <col min="145" max="146" width="11.26953125" customWidth="1"/>
    <col min="147" max="147" width="2.453125" customWidth="1"/>
    <col min="148" max="149" width="11.26953125" customWidth="1"/>
    <col min="150" max="150" width="2.453125" customWidth="1"/>
    <col min="151" max="152" width="11.26953125" customWidth="1"/>
    <col min="153" max="153" width="2.453125" customWidth="1"/>
    <col min="154" max="155" width="11.26953125" customWidth="1"/>
    <col min="156" max="156" width="2.453125" customWidth="1"/>
    <col min="157" max="158" width="11.26953125" customWidth="1"/>
    <col min="159" max="159" width="2.453125" customWidth="1"/>
    <col min="160" max="161" width="11.26953125" customWidth="1"/>
    <col min="162" max="162" width="2.453125" customWidth="1"/>
    <col min="163" max="164" width="11.26953125" customWidth="1"/>
    <col min="165" max="165" width="2.453125" customWidth="1"/>
    <col min="166" max="167" width="11.26953125" customWidth="1"/>
    <col min="168" max="168" width="2.453125" customWidth="1"/>
    <col min="169" max="170" width="11.26953125" customWidth="1"/>
    <col min="171" max="171" width="2.453125" customWidth="1"/>
    <col min="172" max="173" width="11.26953125" customWidth="1"/>
    <col min="174" max="174" width="2.453125" customWidth="1"/>
    <col min="175" max="175" width="10.90625" customWidth="1"/>
    <col min="176" max="16384" width="10.90625" hidden="1"/>
  </cols>
  <sheetData>
    <row r="1" spans="1:173" x14ac:dyDescent="0.35">
      <c r="E1" s="32" t="str">
        <f>IFERROR(REPLACE(H1,SEARCH(" ",H1),1,"_"),"")</f>
        <v/>
      </c>
      <c r="F1" s="27" t="str">
        <f>IFERROR(SUBSTITUTE(I1," ","_"),"")</f>
        <v/>
      </c>
      <c r="J1">
        <v>1</v>
      </c>
      <c r="K1" t="s">
        <v>1323</v>
      </c>
      <c r="M1">
        <v>2</v>
      </c>
      <c r="N1" t="s">
        <v>1324</v>
      </c>
      <c r="P1">
        <v>3</v>
      </c>
      <c r="Q1" t="s">
        <v>1325</v>
      </c>
      <c r="S1">
        <v>4</v>
      </c>
      <c r="T1" t="s">
        <v>1326</v>
      </c>
      <c r="V1">
        <v>5</v>
      </c>
      <c r="W1" t="s">
        <v>1327</v>
      </c>
      <c r="Y1">
        <v>6</v>
      </c>
      <c r="Z1" s="12" t="s">
        <v>1320</v>
      </c>
      <c r="AB1">
        <v>7</v>
      </c>
      <c r="AC1" t="s">
        <v>1328</v>
      </c>
      <c r="AE1">
        <v>8</v>
      </c>
      <c r="AF1" t="s">
        <v>1329</v>
      </c>
      <c r="AH1">
        <v>9</v>
      </c>
      <c r="AI1" t="s">
        <v>1321</v>
      </c>
      <c r="AK1">
        <v>10</v>
      </c>
      <c r="AL1" t="s">
        <v>1322</v>
      </c>
      <c r="AN1">
        <v>11</v>
      </c>
      <c r="AQ1">
        <v>12</v>
      </c>
      <c r="AT1">
        <v>13</v>
      </c>
      <c r="AW1">
        <v>14</v>
      </c>
      <c r="AZ1">
        <v>15</v>
      </c>
      <c r="BC1">
        <v>16</v>
      </c>
      <c r="BF1">
        <v>17</v>
      </c>
      <c r="BI1">
        <v>18</v>
      </c>
      <c r="BL1">
        <v>19</v>
      </c>
      <c r="BO1">
        <v>20</v>
      </c>
      <c r="BR1">
        <v>21</v>
      </c>
      <c r="BU1">
        <v>22</v>
      </c>
      <c r="BX1">
        <v>23</v>
      </c>
      <c r="CA1">
        <v>24</v>
      </c>
      <c r="CD1">
        <v>25</v>
      </c>
      <c r="CG1">
        <v>26</v>
      </c>
      <c r="CJ1">
        <v>27</v>
      </c>
      <c r="CM1">
        <v>28</v>
      </c>
      <c r="CP1">
        <v>29</v>
      </c>
      <c r="CS1">
        <v>30</v>
      </c>
      <c r="CV1">
        <v>31</v>
      </c>
      <c r="CY1">
        <v>32</v>
      </c>
      <c r="DB1">
        <v>33</v>
      </c>
      <c r="DE1">
        <v>34</v>
      </c>
      <c r="DH1">
        <v>35</v>
      </c>
      <c r="DK1">
        <v>36</v>
      </c>
      <c r="DN1">
        <v>37</v>
      </c>
      <c r="DQ1">
        <v>38</v>
      </c>
      <c r="DT1">
        <v>39</v>
      </c>
      <c r="DW1">
        <v>40</v>
      </c>
      <c r="DZ1">
        <v>41</v>
      </c>
      <c r="EC1">
        <v>42</v>
      </c>
      <c r="EF1">
        <v>43</v>
      </c>
      <c r="EI1">
        <v>44</v>
      </c>
      <c r="EL1">
        <v>45</v>
      </c>
      <c r="EO1">
        <v>46</v>
      </c>
      <c r="ER1">
        <v>47</v>
      </c>
      <c r="EU1">
        <v>48</v>
      </c>
      <c r="EX1">
        <v>49</v>
      </c>
      <c r="FA1">
        <v>50</v>
      </c>
      <c r="FD1">
        <v>51</v>
      </c>
      <c r="FG1">
        <v>52</v>
      </c>
      <c r="FJ1">
        <v>53</v>
      </c>
      <c r="FM1">
        <v>54</v>
      </c>
      <c r="FP1">
        <v>55</v>
      </c>
    </row>
    <row r="2" spans="1:173" ht="6" customHeight="1" x14ac:dyDescent="0.35"/>
    <row r="3" spans="1:173" s="1" customFormat="1" ht="43.5" x14ac:dyDescent="0.35">
      <c r="A3" s="15" t="s">
        <v>1334</v>
      </c>
      <c r="D3" s="8" t="s">
        <v>1314</v>
      </c>
      <c r="E3" s="8" t="s">
        <v>1317</v>
      </c>
      <c r="G3" s="9" t="s">
        <v>1314</v>
      </c>
      <c r="H3" s="9" t="s">
        <v>1357</v>
      </c>
      <c r="J3" s="7" t="s">
        <v>1295</v>
      </c>
      <c r="K3" s="7" t="s">
        <v>1315</v>
      </c>
      <c r="M3" s="7" t="s">
        <v>1295</v>
      </c>
      <c r="N3" s="7" t="s">
        <v>1296</v>
      </c>
      <c r="P3" s="7" t="s">
        <v>1295</v>
      </c>
      <c r="Q3" s="7" t="s">
        <v>1353</v>
      </c>
      <c r="S3" s="3" t="s">
        <v>1295</v>
      </c>
      <c r="T3" s="3" t="s">
        <v>1297</v>
      </c>
      <c r="V3" s="3" t="s">
        <v>1295</v>
      </c>
      <c r="W3" s="3" t="s">
        <v>1298</v>
      </c>
      <c r="Y3" s="3" t="s">
        <v>1295</v>
      </c>
      <c r="Z3" s="7" t="s">
        <v>1354</v>
      </c>
      <c r="AB3" s="3" t="s">
        <v>1295</v>
      </c>
      <c r="AC3" s="3" t="s">
        <v>1299</v>
      </c>
      <c r="AE3" s="3" t="s">
        <v>1295</v>
      </c>
      <c r="AF3" s="3" t="s">
        <v>1300</v>
      </c>
      <c r="AH3" s="3" t="s">
        <v>1295</v>
      </c>
      <c r="AI3" s="3" t="s">
        <v>1301</v>
      </c>
      <c r="AK3" s="3" t="s">
        <v>1295</v>
      </c>
      <c r="AL3" s="3" t="s">
        <v>1302</v>
      </c>
      <c r="AN3" s="31"/>
      <c r="AO3" s="31"/>
      <c r="AQ3" s="31"/>
      <c r="AR3" s="31"/>
      <c r="AT3" s="31"/>
      <c r="AU3" s="31"/>
      <c r="AW3" s="31"/>
      <c r="AX3" s="31"/>
      <c r="AZ3" s="31"/>
      <c r="BA3" s="31"/>
      <c r="BC3" s="31"/>
      <c r="BD3" s="31"/>
      <c r="BF3" s="31"/>
      <c r="BG3" s="31"/>
      <c r="BI3" s="31"/>
      <c r="BJ3" s="31"/>
      <c r="BL3" s="31"/>
      <c r="BM3" s="31"/>
      <c r="BO3" s="31"/>
      <c r="BP3" s="31"/>
      <c r="BR3" s="31"/>
      <c r="BS3" s="31"/>
      <c r="BU3" s="31"/>
      <c r="BV3" s="31"/>
      <c r="BX3" s="31"/>
      <c r="BY3" s="31"/>
      <c r="CA3" s="31"/>
      <c r="CB3" s="31"/>
      <c r="CD3" s="31"/>
      <c r="CE3" s="31"/>
      <c r="CG3" s="31"/>
      <c r="CH3" s="31"/>
      <c r="CJ3" s="31"/>
      <c r="CK3" s="31"/>
      <c r="CM3" s="31"/>
      <c r="CN3" s="31"/>
      <c r="CP3" s="31"/>
      <c r="CQ3" s="31"/>
      <c r="CS3" s="31"/>
      <c r="CT3" s="31"/>
      <c r="CV3" s="31"/>
      <c r="CW3" s="31"/>
      <c r="CY3" s="31"/>
      <c r="CZ3" s="31"/>
      <c r="DB3" s="31"/>
      <c r="DC3" s="31"/>
      <c r="DE3" s="31"/>
      <c r="DF3" s="31"/>
      <c r="DH3" s="31"/>
      <c r="DI3" s="31"/>
      <c r="DK3" s="31"/>
      <c r="DL3" s="31"/>
      <c r="DN3" s="31"/>
      <c r="DO3" s="31"/>
      <c r="DQ3" s="31"/>
      <c r="DR3" s="31"/>
      <c r="DT3" s="31"/>
      <c r="DU3" s="31"/>
      <c r="DW3" s="31"/>
      <c r="DX3" s="31"/>
      <c r="DZ3" s="31"/>
      <c r="EA3" s="31"/>
      <c r="EC3" s="31"/>
      <c r="ED3" s="31"/>
      <c r="EF3" s="31"/>
      <c r="EG3" s="31"/>
      <c r="EI3" s="31"/>
      <c r="EJ3" s="31"/>
      <c r="EL3" s="31"/>
      <c r="EM3" s="31"/>
      <c r="EO3" s="31"/>
      <c r="EP3" s="31"/>
      <c r="ER3" s="31"/>
      <c r="ES3" s="31"/>
      <c r="EU3" s="31"/>
      <c r="EV3" s="31"/>
      <c r="EX3" s="31"/>
      <c r="EY3" s="31"/>
      <c r="FA3" s="31"/>
      <c r="FB3" s="31"/>
      <c r="FD3" s="31"/>
      <c r="FE3" s="31"/>
      <c r="FG3" s="31"/>
      <c r="FH3" s="31"/>
      <c r="FJ3" s="31"/>
      <c r="FK3" s="31"/>
      <c r="FM3" s="31"/>
      <c r="FN3" s="31"/>
      <c r="FP3" s="31"/>
      <c r="FQ3" s="31"/>
    </row>
    <row r="4" spans="1:173" x14ac:dyDescent="0.35">
      <c r="A4" s="12">
        <v>1</v>
      </c>
      <c r="D4">
        <f>ROW()-3</f>
        <v>1</v>
      </c>
      <c r="E4" t="s">
        <v>1318</v>
      </c>
      <c r="G4">
        <f>ROW()-3</f>
        <v>1</v>
      </c>
      <c r="H4" t="s">
        <v>1315</v>
      </c>
      <c r="J4" s="10">
        <v>3</v>
      </c>
      <c r="K4" s="11">
        <v>7</v>
      </c>
      <c r="M4" s="10">
        <v>2</v>
      </c>
      <c r="N4" s="11">
        <v>1</v>
      </c>
      <c r="P4" s="10">
        <v>94</v>
      </c>
      <c r="Q4" s="11">
        <v>2</v>
      </c>
      <c r="S4" s="10">
        <v>2</v>
      </c>
      <c r="T4" s="11">
        <v>1</v>
      </c>
      <c r="V4" s="10">
        <v>5</v>
      </c>
      <c r="W4" s="11">
        <v>2</v>
      </c>
      <c r="Y4" s="10">
        <v>1</v>
      </c>
      <c r="Z4" s="11">
        <v>5</v>
      </c>
      <c r="AB4" s="10">
        <v>3</v>
      </c>
      <c r="AC4" s="11">
        <v>17</v>
      </c>
      <c r="AE4" s="10">
        <v>3</v>
      </c>
      <c r="AF4" s="11">
        <v>3</v>
      </c>
      <c r="AH4" s="10">
        <v>3</v>
      </c>
      <c r="AI4" s="11">
        <v>3</v>
      </c>
      <c r="AK4" s="10">
        <v>462</v>
      </c>
      <c r="AL4" s="11">
        <v>10</v>
      </c>
      <c r="AN4" s="10"/>
      <c r="AO4" s="11"/>
      <c r="BC4" s="10"/>
      <c r="BD4" s="11"/>
      <c r="BF4" s="10"/>
      <c r="BG4" s="11"/>
      <c r="BI4" s="10"/>
      <c r="BJ4" s="11"/>
      <c r="BL4" s="10"/>
      <c r="BM4" s="11"/>
      <c r="BO4" s="10"/>
      <c r="BP4" s="11"/>
      <c r="BR4" s="10"/>
      <c r="BS4" s="11"/>
      <c r="BU4" s="10"/>
      <c r="BV4" s="11"/>
      <c r="BX4" s="10"/>
      <c r="BY4" s="11"/>
      <c r="CA4" s="10"/>
      <c r="CB4" s="11"/>
      <c r="CD4" s="10"/>
      <c r="CE4" s="11"/>
      <c r="CG4" s="10"/>
      <c r="CH4" s="11"/>
      <c r="CJ4" s="10"/>
      <c r="CK4" s="11"/>
      <c r="CM4" s="10"/>
      <c r="CN4" s="11"/>
      <c r="CP4" s="10"/>
      <c r="CQ4" s="11"/>
      <c r="CS4" s="10"/>
      <c r="CT4" s="11"/>
      <c r="CV4" s="10"/>
      <c r="CW4" s="11"/>
      <c r="CY4" s="10"/>
      <c r="CZ4" s="11"/>
      <c r="DB4" s="10"/>
      <c r="DC4" s="11"/>
      <c r="DE4" s="10"/>
      <c r="DF4" s="11"/>
      <c r="DH4" s="10"/>
      <c r="DI4" s="11"/>
      <c r="DK4" s="10"/>
      <c r="DL4" s="11"/>
      <c r="DN4" s="10"/>
      <c r="DO4" s="11"/>
      <c r="DQ4" s="10"/>
      <c r="DR4" s="11"/>
      <c r="DT4" s="10"/>
      <c r="DU4" s="11"/>
      <c r="DW4" s="10"/>
      <c r="DX4" s="11"/>
      <c r="DZ4" s="10"/>
      <c r="EA4" s="11"/>
      <c r="EC4" s="10"/>
      <c r="ED4" s="11"/>
      <c r="EF4" s="10"/>
      <c r="EG4" s="11"/>
      <c r="EI4" s="10"/>
      <c r="EJ4" s="11"/>
      <c r="EL4" s="10"/>
      <c r="EM4" s="11"/>
      <c r="EO4" s="10"/>
      <c r="EP4" s="11"/>
      <c r="ER4" s="10"/>
      <c r="ES4" s="11"/>
      <c r="EU4" s="10"/>
      <c r="EV4" s="11"/>
      <c r="EX4" s="10"/>
      <c r="EY4" s="11"/>
      <c r="FA4" s="10"/>
      <c r="FB4" s="11"/>
      <c r="FD4" s="10"/>
      <c r="FE4" s="11"/>
      <c r="FG4" s="10"/>
      <c r="FH4" s="11"/>
      <c r="FJ4" s="10"/>
      <c r="FK4" s="11"/>
      <c r="FM4" s="10"/>
      <c r="FN4" s="11"/>
      <c r="FP4" s="10"/>
      <c r="FQ4" s="11"/>
    </row>
    <row r="5" spans="1:173" x14ac:dyDescent="0.35">
      <c r="A5" s="12">
        <v>2</v>
      </c>
      <c r="D5">
        <f t="shared" ref="D5:D13" si="0">ROW()-3</f>
        <v>2</v>
      </c>
      <c r="E5" t="s">
        <v>1296</v>
      </c>
      <c r="G5">
        <f t="shared" ref="B5:G31" si="1">ROW()-3</f>
        <v>2</v>
      </c>
      <c r="H5" t="s">
        <v>1296</v>
      </c>
      <c r="J5" s="10">
        <v>36</v>
      </c>
      <c r="K5" s="11">
        <v>1</v>
      </c>
      <c r="M5" s="10">
        <v>3</v>
      </c>
      <c r="N5" s="11">
        <v>1</v>
      </c>
      <c r="P5" s="10">
        <v>102</v>
      </c>
      <c r="Q5" s="11">
        <v>1</v>
      </c>
      <c r="S5" s="10">
        <v>3</v>
      </c>
      <c r="T5" s="11">
        <v>1</v>
      </c>
      <c r="V5" s="10">
        <v>18</v>
      </c>
      <c r="W5" s="11">
        <v>2</v>
      </c>
      <c r="Y5" s="10">
        <v>13</v>
      </c>
      <c r="Z5" s="11">
        <v>1</v>
      </c>
      <c r="AB5" s="10">
        <v>6</v>
      </c>
      <c r="AC5" s="11">
        <v>7</v>
      </c>
      <c r="AE5" s="10">
        <v>10</v>
      </c>
      <c r="AF5" s="11">
        <v>3</v>
      </c>
      <c r="AH5" s="10">
        <v>4</v>
      </c>
      <c r="AI5" s="11">
        <v>2</v>
      </c>
      <c r="AK5" s="10">
        <v>467</v>
      </c>
      <c r="AL5" s="11">
        <v>2</v>
      </c>
      <c r="AN5" s="10"/>
      <c r="AO5" s="11"/>
    </row>
    <row r="6" spans="1:173" x14ac:dyDescent="0.35">
      <c r="A6" s="12">
        <v>3</v>
      </c>
      <c r="D6">
        <f t="shared" si="0"/>
        <v>3</v>
      </c>
      <c r="E6" t="s">
        <v>1319</v>
      </c>
      <c r="G6">
        <f t="shared" si="1"/>
        <v>3</v>
      </c>
      <c r="H6" t="s">
        <v>1353</v>
      </c>
      <c r="J6" s="10">
        <v>56</v>
      </c>
      <c r="K6" s="11">
        <v>2</v>
      </c>
      <c r="M6" s="10">
        <v>4</v>
      </c>
      <c r="N6" s="11">
        <v>2</v>
      </c>
      <c r="P6" s="10">
        <v>124</v>
      </c>
      <c r="Q6" s="11">
        <v>1</v>
      </c>
      <c r="S6" s="10">
        <v>47</v>
      </c>
      <c r="T6" s="11">
        <v>1</v>
      </c>
      <c r="V6" s="10">
        <v>27</v>
      </c>
      <c r="W6" s="11">
        <v>1</v>
      </c>
      <c r="Y6" s="10">
        <v>45</v>
      </c>
      <c r="Z6" s="11">
        <v>1</v>
      </c>
      <c r="AB6" s="10">
        <v>13</v>
      </c>
      <c r="AC6" s="11">
        <v>1</v>
      </c>
      <c r="AE6" s="10">
        <v>160</v>
      </c>
      <c r="AF6" s="11">
        <v>5</v>
      </c>
      <c r="AH6" s="10">
        <v>94</v>
      </c>
      <c r="AI6" s="11">
        <v>3</v>
      </c>
      <c r="AK6" s="10">
        <v>471</v>
      </c>
      <c r="AL6" s="11">
        <v>1</v>
      </c>
      <c r="AN6" s="10"/>
      <c r="AO6" s="11"/>
    </row>
    <row r="7" spans="1:173" x14ac:dyDescent="0.35">
      <c r="A7" s="12">
        <v>4</v>
      </c>
      <c r="D7">
        <f t="shared" si="0"/>
        <v>4</v>
      </c>
      <c r="E7" t="s">
        <v>1297</v>
      </c>
      <c r="G7">
        <f t="shared" si="1"/>
        <v>4</v>
      </c>
      <c r="H7" t="s">
        <v>1297</v>
      </c>
      <c r="J7" s="10">
        <v>94</v>
      </c>
      <c r="K7" s="11">
        <v>7</v>
      </c>
      <c r="M7" s="10">
        <v>6</v>
      </c>
      <c r="N7" s="11">
        <v>1</v>
      </c>
      <c r="P7" s="10">
        <v>127</v>
      </c>
      <c r="Q7" s="11">
        <v>1</v>
      </c>
      <c r="S7" s="10">
        <v>56</v>
      </c>
      <c r="T7" s="11">
        <v>4</v>
      </c>
      <c r="V7" s="10">
        <v>31</v>
      </c>
      <c r="W7" s="11">
        <v>1</v>
      </c>
      <c r="Y7" s="10">
        <v>56</v>
      </c>
      <c r="Z7" s="11">
        <v>1</v>
      </c>
      <c r="AB7" s="10">
        <v>47</v>
      </c>
      <c r="AC7" s="11">
        <v>1</v>
      </c>
      <c r="AE7" s="10">
        <v>161</v>
      </c>
      <c r="AF7" s="11">
        <v>1</v>
      </c>
      <c r="AH7" s="10">
        <v>96</v>
      </c>
      <c r="AI7" s="11">
        <v>2</v>
      </c>
      <c r="AK7" s="10">
        <v>473</v>
      </c>
      <c r="AL7" s="11">
        <v>1</v>
      </c>
      <c r="AN7" s="10"/>
      <c r="AO7" s="11"/>
    </row>
    <row r="8" spans="1:173" x14ac:dyDescent="0.35">
      <c r="A8" s="12">
        <v>5</v>
      </c>
      <c r="D8">
        <f t="shared" si="0"/>
        <v>5</v>
      </c>
      <c r="E8" t="s">
        <v>1298</v>
      </c>
      <c r="G8">
        <f t="shared" si="1"/>
        <v>5</v>
      </c>
      <c r="H8" t="s">
        <v>1298</v>
      </c>
      <c r="J8" s="10">
        <v>95</v>
      </c>
      <c r="K8" s="11">
        <v>2</v>
      </c>
      <c r="M8" s="10">
        <v>86</v>
      </c>
      <c r="N8" s="11">
        <v>1</v>
      </c>
      <c r="P8" s="10">
        <v>166</v>
      </c>
      <c r="Q8" s="11">
        <v>1</v>
      </c>
      <c r="S8" s="10">
        <v>59</v>
      </c>
      <c r="T8" s="11">
        <v>1</v>
      </c>
      <c r="V8" s="10">
        <v>88</v>
      </c>
      <c r="W8" s="11">
        <v>1</v>
      </c>
      <c r="Y8" s="10">
        <v>81</v>
      </c>
      <c r="Z8" s="11">
        <v>1</v>
      </c>
      <c r="AB8" s="10">
        <v>53</v>
      </c>
      <c r="AC8" s="11">
        <v>1</v>
      </c>
      <c r="AE8" s="10">
        <v>162</v>
      </c>
      <c r="AF8" s="11">
        <v>5</v>
      </c>
      <c r="AH8" s="10">
        <v>124</v>
      </c>
      <c r="AI8" s="11">
        <v>2</v>
      </c>
      <c r="AN8" s="10"/>
      <c r="AO8" s="11"/>
    </row>
    <row r="9" spans="1:173" x14ac:dyDescent="0.35">
      <c r="A9" s="12">
        <v>6</v>
      </c>
      <c r="D9">
        <f t="shared" si="0"/>
        <v>6</v>
      </c>
      <c r="E9" t="s">
        <v>1320</v>
      </c>
      <c r="G9">
        <f t="shared" si="1"/>
        <v>6</v>
      </c>
      <c r="H9" t="s">
        <v>1354</v>
      </c>
      <c r="J9" s="10">
        <v>100</v>
      </c>
      <c r="K9" s="11">
        <v>3</v>
      </c>
      <c r="M9" s="10">
        <v>94</v>
      </c>
      <c r="N9" s="11">
        <v>5</v>
      </c>
      <c r="P9" s="10">
        <v>185</v>
      </c>
      <c r="Q9" s="11">
        <v>1</v>
      </c>
      <c r="S9" s="10">
        <v>115</v>
      </c>
      <c r="T9" s="11">
        <v>1</v>
      </c>
      <c r="V9" s="10">
        <v>94</v>
      </c>
      <c r="W9" s="11">
        <v>1</v>
      </c>
      <c r="Y9" s="10">
        <v>85</v>
      </c>
      <c r="Z9" s="11">
        <v>1</v>
      </c>
      <c r="AB9" s="10">
        <v>104</v>
      </c>
      <c r="AC9" s="11">
        <v>1</v>
      </c>
      <c r="AE9" s="10">
        <v>178</v>
      </c>
      <c r="AF9" s="11">
        <v>2</v>
      </c>
      <c r="AH9" s="10">
        <v>127</v>
      </c>
      <c r="AI9" s="11">
        <v>2</v>
      </c>
      <c r="AN9" s="10"/>
      <c r="AO9" s="11"/>
    </row>
    <row r="10" spans="1:173" x14ac:dyDescent="0.35">
      <c r="A10" s="12">
        <v>7</v>
      </c>
      <c r="D10">
        <f t="shared" si="0"/>
        <v>7</v>
      </c>
      <c r="E10" t="s">
        <v>1299</v>
      </c>
      <c r="G10">
        <f t="shared" si="1"/>
        <v>7</v>
      </c>
      <c r="H10" t="s">
        <v>1299</v>
      </c>
      <c r="J10" s="10">
        <v>124</v>
      </c>
      <c r="K10" s="11">
        <v>1</v>
      </c>
      <c r="M10" s="10">
        <v>103</v>
      </c>
      <c r="N10" s="11">
        <v>1</v>
      </c>
      <c r="P10" s="10">
        <v>186</v>
      </c>
      <c r="Q10" s="11">
        <v>1</v>
      </c>
      <c r="S10" s="10">
        <v>141</v>
      </c>
      <c r="T10" s="11">
        <v>2</v>
      </c>
      <c r="V10" s="10">
        <v>102</v>
      </c>
      <c r="W10" s="11">
        <v>1</v>
      </c>
      <c r="Y10" s="10">
        <v>94</v>
      </c>
      <c r="Z10" s="11">
        <v>1</v>
      </c>
      <c r="AB10" s="10">
        <v>115</v>
      </c>
      <c r="AC10" s="11">
        <v>4</v>
      </c>
      <c r="AE10" s="10">
        <v>365</v>
      </c>
      <c r="AF10" s="11">
        <v>8</v>
      </c>
      <c r="AH10" s="10">
        <v>370</v>
      </c>
      <c r="AI10" s="11">
        <v>4</v>
      </c>
    </row>
    <row r="11" spans="1:173" x14ac:dyDescent="0.35">
      <c r="A11" s="12">
        <v>8</v>
      </c>
      <c r="D11">
        <f t="shared" si="0"/>
        <v>8</v>
      </c>
      <c r="E11" t="s">
        <v>1300</v>
      </c>
      <c r="G11">
        <f t="shared" si="1"/>
        <v>8</v>
      </c>
      <c r="H11" t="s">
        <v>1300</v>
      </c>
      <c r="J11" s="10">
        <v>128</v>
      </c>
      <c r="K11" s="11">
        <v>1</v>
      </c>
      <c r="M11" s="10">
        <v>115</v>
      </c>
      <c r="N11" s="11">
        <v>4</v>
      </c>
      <c r="P11" s="10">
        <v>208</v>
      </c>
      <c r="Q11" s="11">
        <v>1</v>
      </c>
      <c r="S11" s="10">
        <v>161</v>
      </c>
      <c r="T11" s="11">
        <v>5</v>
      </c>
      <c r="V11" s="10">
        <v>116</v>
      </c>
      <c r="W11" s="11">
        <v>1</v>
      </c>
      <c r="Y11" s="10">
        <v>95</v>
      </c>
      <c r="Z11" s="11">
        <v>1</v>
      </c>
      <c r="AB11" s="10">
        <v>127</v>
      </c>
      <c r="AC11" s="11">
        <v>2</v>
      </c>
      <c r="AE11" s="10">
        <v>379</v>
      </c>
      <c r="AF11" s="11">
        <v>4</v>
      </c>
      <c r="AH11" s="10">
        <v>377</v>
      </c>
      <c r="AI11" s="11">
        <v>10</v>
      </c>
    </row>
    <row r="12" spans="1:173" x14ac:dyDescent="0.35">
      <c r="A12" s="12">
        <v>9</v>
      </c>
      <c r="D12">
        <f t="shared" si="0"/>
        <v>9</v>
      </c>
      <c r="E12" t="s">
        <v>1321</v>
      </c>
      <c r="G12">
        <f t="shared" si="1"/>
        <v>9</v>
      </c>
      <c r="H12" t="s">
        <v>1301</v>
      </c>
      <c r="J12" s="10">
        <v>144</v>
      </c>
      <c r="K12" s="11">
        <v>1</v>
      </c>
      <c r="M12" s="10">
        <v>160</v>
      </c>
      <c r="N12" s="11">
        <v>1</v>
      </c>
      <c r="P12" s="10">
        <v>269</v>
      </c>
      <c r="Q12" s="11">
        <v>1</v>
      </c>
      <c r="S12" s="10">
        <v>162</v>
      </c>
      <c r="T12" s="11">
        <v>3</v>
      </c>
      <c r="V12" s="10">
        <v>123</v>
      </c>
      <c r="W12" s="11">
        <v>1</v>
      </c>
      <c r="Y12" s="10">
        <v>97</v>
      </c>
      <c r="Z12" s="11">
        <v>1</v>
      </c>
      <c r="AB12" s="10">
        <v>146</v>
      </c>
      <c r="AC12" s="11">
        <v>1</v>
      </c>
      <c r="AE12" s="10">
        <v>407</v>
      </c>
      <c r="AF12" s="11">
        <v>4</v>
      </c>
      <c r="AH12" s="10">
        <v>393</v>
      </c>
      <c r="AI12" s="11">
        <v>2</v>
      </c>
    </row>
    <row r="13" spans="1:173" x14ac:dyDescent="0.35">
      <c r="A13" s="12">
        <v>10</v>
      </c>
      <c r="D13">
        <f t="shared" si="0"/>
        <v>10</v>
      </c>
      <c r="E13" t="s">
        <v>1322</v>
      </c>
      <c r="G13">
        <f t="shared" si="1"/>
        <v>10</v>
      </c>
      <c r="H13" t="s">
        <v>1302</v>
      </c>
      <c r="J13" s="10">
        <v>160</v>
      </c>
      <c r="K13" s="11">
        <v>4</v>
      </c>
      <c r="M13" s="10">
        <v>161</v>
      </c>
      <c r="N13" s="11">
        <v>2</v>
      </c>
      <c r="P13" s="10">
        <v>321</v>
      </c>
      <c r="Q13" s="11">
        <v>1</v>
      </c>
      <c r="S13" s="10">
        <v>163</v>
      </c>
      <c r="T13" s="11">
        <v>4</v>
      </c>
      <c r="V13" s="10">
        <v>147</v>
      </c>
      <c r="W13" s="11">
        <v>1</v>
      </c>
      <c r="Y13" s="10">
        <v>100</v>
      </c>
      <c r="Z13" s="11">
        <v>2</v>
      </c>
      <c r="AB13" s="10">
        <v>161</v>
      </c>
      <c r="AC13" s="11">
        <v>2</v>
      </c>
      <c r="AE13" s="10">
        <v>408</v>
      </c>
      <c r="AF13" s="11">
        <v>4</v>
      </c>
      <c r="AH13" s="10">
        <v>405</v>
      </c>
      <c r="AI13" s="11">
        <v>25</v>
      </c>
    </row>
    <row r="14" spans="1:173" x14ac:dyDescent="0.35">
      <c r="A14" s="12">
        <v>11</v>
      </c>
      <c r="J14" s="10">
        <v>161</v>
      </c>
      <c r="K14" s="11">
        <v>4</v>
      </c>
      <c r="M14" s="10">
        <v>166</v>
      </c>
      <c r="N14" s="11">
        <v>1</v>
      </c>
      <c r="P14" s="10">
        <v>322</v>
      </c>
      <c r="Q14" s="11">
        <v>1</v>
      </c>
      <c r="S14" s="10">
        <v>166</v>
      </c>
      <c r="T14" s="11">
        <v>1</v>
      </c>
      <c r="V14" s="10">
        <v>176</v>
      </c>
      <c r="W14" s="11">
        <v>1</v>
      </c>
      <c r="Y14" s="10">
        <v>104</v>
      </c>
      <c r="Z14" s="11">
        <v>4</v>
      </c>
      <c r="AB14" s="10">
        <v>162</v>
      </c>
      <c r="AC14" s="11">
        <v>7</v>
      </c>
      <c r="AE14" s="10">
        <v>409</v>
      </c>
      <c r="AF14" s="11">
        <v>4</v>
      </c>
      <c r="AH14" s="10">
        <v>418</v>
      </c>
      <c r="AI14" s="11">
        <v>1</v>
      </c>
    </row>
    <row r="15" spans="1:173" x14ac:dyDescent="0.35">
      <c r="A15" s="12">
        <v>12</v>
      </c>
      <c r="J15" s="10">
        <v>162</v>
      </c>
      <c r="K15" s="11">
        <v>2</v>
      </c>
      <c r="M15" s="10">
        <v>170</v>
      </c>
      <c r="N15" s="11">
        <v>1</v>
      </c>
      <c r="P15" s="10">
        <v>361</v>
      </c>
      <c r="Q15" s="11">
        <v>1</v>
      </c>
      <c r="S15" s="10">
        <v>180</v>
      </c>
      <c r="T15" s="11">
        <v>1</v>
      </c>
      <c r="V15" s="10">
        <v>183</v>
      </c>
      <c r="W15" s="11">
        <v>3</v>
      </c>
      <c r="Y15" s="10">
        <v>105</v>
      </c>
      <c r="Z15" s="11">
        <v>3</v>
      </c>
      <c r="AB15" s="10">
        <v>163</v>
      </c>
      <c r="AC15" s="11">
        <v>9</v>
      </c>
      <c r="AE15" s="10">
        <v>410</v>
      </c>
      <c r="AF15" s="11">
        <v>1</v>
      </c>
      <c r="AH15" s="10">
        <v>420</v>
      </c>
      <c r="AI15" s="11">
        <v>5</v>
      </c>
    </row>
    <row r="16" spans="1:173" x14ac:dyDescent="0.35">
      <c r="A16" s="12">
        <v>13</v>
      </c>
      <c r="J16" s="10">
        <v>163</v>
      </c>
      <c r="K16" s="11">
        <v>4</v>
      </c>
      <c r="M16" s="10">
        <v>172</v>
      </c>
      <c r="N16" s="11">
        <v>1</v>
      </c>
      <c r="P16" s="10">
        <v>368</v>
      </c>
      <c r="Q16" s="11">
        <v>1</v>
      </c>
      <c r="S16" s="10">
        <v>203</v>
      </c>
      <c r="T16" s="11">
        <v>1</v>
      </c>
      <c r="V16" s="10">
        <v>312</v>
      </c>
      <c r="W16" s="11">
        <v>1</v>
      </c>
      <c r="Y16" s="10">
        <v>113</v>
      </c>
      <c r="Z16" s="11">
        <v>1</v>
      </c>
      <c r="AB16" s="10">
        <v>165</v>
      </c>
      <c r="AC16" s="11">
        <v>1</v>
      </c>
      <c r="AE16" s="10">
        <v>415</v>
      </c>
      <c r="AF16" s="11">
        <v>1</v>
      </c>
      <c r="AH16" s="10">
        <v>425</v>
      </c>
      <c r="AI16" s="11">
        <v>3</v>
      </c>
    </row>
    <row r="17" spans="1:32" x14ac:dyDescent="0.35">
      <c r="A17" s="12">
        <v>14</v>
      </c>
      <c r="J17" s="10">
        <v>164</v>
      </c>
      <c r="K17" s="11">
        <v>1</v>
      </c>
      <c r="M17" s="10">
        <v>173</v>
      </c>
      <c r="N17" s="11">
        <v>2</v>
      </c>
      <c r="P17" s="10">
        <v>370</v>
      </c>
      <c r="Q17" s="11">
        <v>1</v>
      </c>
      <c r="S17" s="10">
        <v>204</v>
      </c>
      <c r="T17" s="11">
        <v>1</v>
      </c>
      <c r="V17" s="10">
        <v>365</v>
      </c>
      <c r="W17" s="11">
        <v>4</v>
      </c>
      <c r="Y17" s="10">
        <v>122</v>
      </c>
      <c r="Z17" s="11">
        <v>2</v>
      </c>
      <c r="AB17" s="10">
        <v>166</v>
      </c>
      <c r="AC17" s="11">
        <v>1</v>
      </c>
      <c r="AE17" s="10">
        <v>416</v>
      </c>
      <c r="AF17" s="11">
        <v>2</v>
      </c>
    </row>
    <row r="18" spans="1:32" x14ac:dyDescent="0.35">
      <c r="A18" s="12">
        <v>15</v>
      </c>
      <c r="J18" s="10">
        <v>166</v>
      </c>
      <c r="K18" s="11">
        <v>2</v>
      </c>
      <c r="M18" s="10">
        <v>175</v>
      </c>
      <c r="N18" s="11">
        <v>2</v>
      </c>
      <c r="P18" s="10">
        <v>377</v>
      </c>
      <c r="Q18" s="11">
        <v>4</v>
      </c>
      <c r="S18" s="10">
        <v>205</v>
      </c>
      <c r="T18" s="11">
        <v>1</v>
      </c>
      <c r="V18" s="10">
        <v>367</v>
      </c>
      <c r="W18" s="11">
        <v>1</v>
      </c>
      <c r="Y18" s="10">
        <v>123</v>
      </c>
      <c r="Z18" s="11">
        <v>2</v>
      </c>
      <c r="AB18" s="10">
        <v>177</v>
      </c>
      <c r="AC18" s="11">
        <v>1</v>
      </c>
      <c r="AE18" s="10">
        <v>421</v>
      </c>
      <c r="AF18" s="11">
        <v>2</v>
      </c>
    </row>
    <row r="19" spans="1:32" x14ac:dyDescent="0.35">
      <c r="J19" s="10">
        <v>167</v>
      </c>
      <c r="K19" s="11">
        <v>1</v>
      </c>
      <c r="M19" s="10">
        <v>176</v>
      </c>
      <c r="N19" s="11">
        <v>1</v>
      </c>
      <c r="P19" s="10">
        <v>387</v>
      </c>
      <c r="Q19" s="11">
        <v>1</v>
      </c>
      <c r="S19" s="10">
        <v>206</v>
      </c>
      <c r="T19" s="11">
        <v>1</v>
      </c>
      <c r="V19" s="10">
        <v>373</v>
      </c>
      <c r="W19" s="11">
        <v>3</v>
      </c>
      <c r="Y19" s="10">
        <v>164</v>
      </c>
      <c r="Z19" s="11">
        <v>1</v>
      </c>
      <c r="AB19" s="10">
        <v>178</v>
      </c>
      <c r="AC19" s="11">
        <v>2</v>
      </c>
      <c r="AE19" s="10">
        <v>422</v>
      </c>
      <c r="AF19" s="11">
        <v>2</v>
      </c>
    </row>
    <row r="20" spans="1:32" x14ac:dyDescent="0.35">
      <c r="J20" s="10">
        <v>168</v>
      </c>
      <c r="K20" s="11">
        <v>1</v>
      </c>
      <c r="M20" s="10">
        <v>177</v>
      </c>
      <c r="N20" s="11">
        <v>1</v>
      </c>
      <c r="P20" s="10">
        <v>391</v>
      </c>
      <c r="Q20" s="11">
        <v>1</v>
      </c>
      <c r="S20" s="10">
        <v>207</v>
      </c>
      <c r="T20" s="11">
        <v>1</v>
      </c>
      <c r="V20" s="10">
        <v>379</v>
      </c>
      <c r="W20" s="11">
        <v>10</v>
      </c>
      <c r="Y20" s="10">
        <v>167</v>
      </c>
      <c r="Z20" s="11">
        <v>1</v>
      </c>
      <c r="AB20" s="10">
        <v>294</v>
      </c>
      <c r="AC20" s="11">
        <v>3</v>
      </c>
    </row>
    <row r="21" spans="1:32" x14ac:dyDescent="0.35">
      <c r="J21" s="10">
        <v>169</v>
      </c>
      <c r="K21" s="11">
        <v>1</v>
      </c>
      <c r="M21" s="10">
        <v>178</v>
      </c>
      <c r="N21" s="11">
        <v>1</v>
      </c>
      <c r="P21" s="10">
        <v>393</v>
      </c>
      <c r="Q21" s="11">
        <v>1</v>
      </c>
      <c r="S21" s="10">
        <v>210</v>
      </c>
      <c r="T21" s="11">
        <v>1</v>
      </c>
      <c r="V21" s="10">
        <v>381</v>
      </c>
      <c r="W21" s="11">
        <v>2</v>
      </c>
      <c r="Y21" s="10">
        <v>172</v>
      </c>
      <c r="Z21" s="11">
        <v>1</v>
      </c>
      <c r="AB21" s="10">
        <v>295</v>
      </c>
      <c r="AC21" s="11">
        <v>1</v>
      </c>
    </row>
    <row r="22" spans="1:32" x14ac:dyDescent="0.35">
      <c r="J22" s="10">
        <v>174</v>
      </c>
      <c r="K22" s="11">
        <v>1</v>
      </c>
      <c r="M22" s="10">
        <v>179</v>
      </c>
      <c r="N22" s="11">
        <v>1</v>
      </c>
      <c r="P22" s="10">
        <v>395</v>
      </c>
      <c r="Q22" s="11">
        <v>1</v>
      </c>
      <c r="S22" s="10">
        <v>211</v>
      </c>
      <c r="T22" s="11">
        <v>1</v>
      </c>
      <c r="V22" s="10">
        <v>395</v>
      </c>
      <c r="W22" s="11">
        <v>0</v>
      </c>
      <c r="Y22" s="10">
        <v>173</v>
      </c>
      <c r="Z22" s="11">
        <v>1</v>
      </c>
      <c r="AB22" s="10">
        <v>311</v>
      </c>
      <c r="AC22" s="11">
        <v>1</v>
      </c>
    </row>
    <row r="23" spans="1:32" x14ac:dyDescent="0.35">
      <c r="J23" s="10">
        <v>178</v>
      </c>
      <c r="K23" s="11">
        <v>1</v>
      </c>
      <c r="M23" s="10">
        <v>180</v>
      </c>
      <c r="N23" s="11">
        <v>2</v>
      </c>
      <c r="P23" s="10">
        <v>402</v>
      </c>
      <c r="Q23" s="11">
        <v>8</v>
      </c>
      <c r="S23" s="10">
        <v>212</v>
      </c>
      <c r="T23" s="11">
        <v>1</v>
      </c>
      <c r="V23" s="10">
        <v>418</v>
      </c>
      <c r="W23" s="11">
        <v>4</v>
      </c>
      <c r="Y23" s="10">
        <v>175</v>
      </c>
      <c r="Z23" s="11">
        <v>1</v>
      </c>
      <c r="AB23" s="10">
        <v>312</v>
      </c>
      <c r="AC23" s="11">
        <v>3</v>
      </c>
    </row>
    <row r="24" spans="1:32" x14ac:dyDescent="0.35">
      <c r="J24" s="10">
        <v>266</v>
      </c>
      <c r="K24" s="11">
        <v>1</v>
      </c>
      <c r="M24" s="10">
        <v>181</v>
      </c>
      <c r="N24" s="11">
        <v>2</v>
      </c>
      <c r="P24" s="10">
        <v>417</v>
      </c>
      <c r="Q24" s="11">
        <v>1</v>
      </c>
      <c r="S24" s="10">
        <v>213</v>
      </c>
      <c r="T24" s="11">
        <v>1</v>
      </c>
      <c r="Y24" s="10">
        <v>183</v>
      </c>
      <c r="Z24" s="11">
        <v>1</v>
      </c>
      <c r="AB24" s="10">
        <v>313</v>
      </c>
      <c r="AC24" s="11">
        <v>3</v>
      </c>
    </row>
    <row r="25" spans="1:32" x14ac:dyDescent="0.35">
      <c r="J25" s="10">
        <v>294</v>
      </c>
      <c r="K25" s="11">
        <v>3</v>
      </c>
      <c r="M25" s="10">
        <v>182</v>
      </c>
      <c r="N25" s="11">
        <v>1</v>
      </c>
      <c r="P25" s="10">
        <v>418</v>
      </c>
      <c r="Q25" s="11">
        <v>1</v>
      </c>
      <c r="S25" s="10">
        <v>214</v>
      </c>
      <c r="T25" s="11">
        <v>1</v>
      </c>
      <c r="Y25" s="10">
        <v>209</v>
      </c>
      <c r="Z25" s="11">
        <v>1</v>
      </c>
      <c r="AB25" s="10">
        <v>315</v>
      </c>
      <c r="AC25" s="11">
        <v>4</v>
      </c>
    </row>
    <row r="26" spans="1:32" x14ac:dyDescent="0.35">
      <c r="B26" s="28">
        <f t="shared" si="1"/>
        <v>23</v>
      </c>
      <c r="C26" s="28" t="s">
        <v>215</v>
      </c>
      <c r="J26" s="10">
        <v>295</v>
      </c>
      <c r="K26" s="11">
        <v>1</v>
      </c>
      <c r="M26" s="10">
        <v>183</v>
      </c>
      <c r="N26" s="11">
        <v>1</v>
      </c>
      <c r="S26" s="10">
        <v>223</v>
      </c>
      <c r="T26" s="11">
        <v>1</v>
      </c>
      <c r="Y26" s="10">
        <v>233</v>
      </c>
      <c r="Z26" s="11">
        <v>1</v>
      </c>
      <c r="AB26" s="10">
        <v>316</v>
      </c>
      <c r="AC26" s="11">
        <v>1</v>
      </c>
    </row>
    <row r="27" spans="1:32" x14ac:dyDescent="0.35">
      <c r="B27" s="29">
        <f t="shared" si="1"/>
        <v>24</v>
      </c>
      <c r="C27" s="29" t="s">
        <v>1303</v>
      </c>
      <c r="J27" s="10">
        <v>296</v>
      </c>
      <c r="K27" s="11">
        <v>1</v>
      </c>
      <c r="M27" s="10">
        <v>184</v>
      </c>
      <c r="N27" s="11">
        <v>1</v>
      </c>
      <c r="S27" s="10">
        <v>309</v>
      </c>
      <c r="T27" s="11">
        <v>1</v>
      </c>
      <c r="Y27" s="10">
        <v>303</v>
      </c>
      <c r="Z27" s="11">
        <v>0</v>
      </c>
      <c r="AB27" s="10">
        <v>317</v>
      </c>
      <c r="AC27" s="11">
        <v>1</v>
      </c>
    </row>
    <row r="28" spans="1:32" x14ac:dyDescent="0.35">
      <c r="B28" s="28">
        <f t="shared" si="1"/>
        <v>25</v>
      </c>
      <c r="C28" s="28" t="s">
        <v>1304</v>
      </c>
      <c r="J28" s="10">
        <v>297</v>
      </c>
      <c r="K28" s="11">
        <v>1</v>
      </c>
      <c r="M28" s="10">
        <v>209</v>
      </c>
      <c r="N28" s="11">
        <v>2</v>
      </c>
      <c r="S28" s="10">
        <v>319</v>
      </c>
      <c r="T28" s="11">
        <v>1</v>
      </c>
      <c r="Y28" s="10">
        <v>309</v>
      </c>
      <c r="Z28" s="11">
        <v>1</v>
      </c>
      <c r="AB28" s="10">
        <v>318</v>
      </c>
      <c r="AC28" s="11">
        <v>1</v>
      </c>
    </row>
    <row r="29" spans="1:32" x14ac:dyDescent="0.35">
      <c r="B29" s="29">
        <f t="shared" si="1"/>
        <v>26</v>
      </c>
      <c r="C29" s="29" t="s">
        <v>1305</v>
      </c>
      <c r="J29" s="10">
        <v>298</v>
      </c>
      <c r="K29" s="11">
        <v>1</v>
      </c>
      <c r="M29" s="10">
        <v>241</v>
      </c>
      <c r="N29" s="11">
        <v>1</v>
      </c>
      <c r="S29" s="10">
        <v>339</v>
      </c>
      <c r="T29" s="11">
        <v>1</v>
      </c>
      <c r="Y29" s="10">
        <v>320</v>
      </c>
      <c r="Z29" s="11">
        <v>2</v>
      </c>
      <c r="AB29" s="10">
        <v>319</v>
      </c>
      <c r="AC29" s="11">
        <v>1</v>
      </c>
    </row>
    <row r="30" spans="1:32" x14ac:dyDescent="0.35">
      <c r="B30" s="28">
        <f t="shared" si="1"/>
        <v>27</v>
      </c>
      <c r="C30" s="28" t="s">
        <v>1306</v>
      </c>
      <c r="J30" s="10">
        <v>299</v>
      </c>
      <c r="K30" s="11">
        <v>1</v>
      </c>
      <c r="M30" s="10">
        <v>301</v>
      </c>
      <c r="N30" s="11">
        <v>1</v>
      </c>
      <c r="S30" s="10">
        <v>340</v>
      </c>
      <c r="T30" s="11">
        <v>2</v>
      </c>
      <c r="Y30" s="10">
        <v>324</v>
      </c>
      <c r="Z30" s="11">
        <v>1</v>
      </c>
      <c r="AB30" s="10">
        <v>320</v>
      </c>
      <c r="AC30" s="11">
        <v>1</v>
      </c>
    </row>
    <row r="31" spans="1:32" x14ac:dyDescent="0.35">
      <c r="B31" s="29">
        <f t="shared" si="1"/>
        <v>28</v>
      </c>
      <c r="C31" s="29" t="s">
        <v>1307</v>
      </c>
      <c r="J31" s="10">
        <v>300</v>
      </c>
      <c r="K31" s="11">
        <v>1</v>
      </c>
      <c r="M31" s="10">
        <v>302</v>
      </c>
      <c r="N31" s="11">
        <v>1</v>
      </c>
      <c r="S31" s="10">
        <v>341</v>
      </c>
      <c r="T31" s="11">
        <v>1</v>
      </c>
      <c r="Y31" s="10">
        <v>325</v>
      </c>
      <c r="Z31" s="11">
        <v>1</v>
      </c>
      <c r="AB31" s="10">
        <v>347</v>
      </c>
      <c r="AC31" s="11">
        <v>1</v>
      </c>
    </row>
    <row r="32" spans="1:32" x14ac:dyDescent="0.35">
      <c r="J32" s="10">
        <v>314</v>
      </c>
      <c r="K32" s="11">
        <v>1</v>
      </c>
      <c r="M32" s="10">
        <v>303</v>
      </c>
      <c r="N32" s="11">
        <v>1</v>
      </c>
      <c r="S32" s="10">
        <v>342</v>
      </c>
      <c r="T32" s="11">
        <v>3</v>
      </c>
      <c r="Y32" s="10">
        <v>365</v>
      </c>
      <c r="Z32" s="11">
        <v>7</v>
      </c>
      <c r="AB32" s="10">
        <v>365</v>
      </c>
      <c r="AC32" s="11">
        <v>17</v>
      </c>
    </row>
    <row r="33" spans="10:29" x14ac:dyDescent="0.35">
      <c r="J33" s="10">
        <v>365</v>
      </c>
      <c r="K33" s="11">
        <v>6</v>
      </c>
      <c r="M33" s="10">
        <v>304</v>
      </c>
      <c r="N33" s="11">
        <v>1</v>
      </c>
      <c r="S33" s="10">
        <v>343</v>
      </c>
      <c r="T33" s="11">
        <v>1</v>
      </c>
      <c r="Y33" s="10">
        <v>367</v>
      </c>
      <c r="Z33" s="11">
        <v>5</v>
      </c>
      <c r="AB33" s="10">
        <v>373</v>
      </c>
      <c r="AC33" s="11">
        <v>1</v>
      </c>
    </row>
    <row r="34" spans="10:29" x14ac:dyDescent="0.35">
      <c r="J34" s="10">
        <v>368</v>
      </c>
      <c r="K34" s="11">
        <v>1</v>
      </c>
      <c r="M34" s="10">
        <v>305</v>
      </c>
      <c r="N34" s="11">
        <v>1</v>
      </c>
      <c r="S34" s="10">
        <v>344</v>
      </c>
      <c r="T34" s="11">
        <v>1</v>
      </c>
      <c r="Y34" s="10">
        <v>377</v>
      </c>
      <c r="Z34" s="11">
        <v>0</v>
      </c>
      <c r="AB34" s="10">
        <v>378</v>
      </c>
      <c r="AC34" s="11">
        <v>2</v>
      </c>
    </row>
    <row r="35" spans="10:29" x14ac:dyDescent="0.35">
      <c r="J35" s="10">
        <v>370</v>
      </c>
      <c r="K35" s="11">
        <v>9</v>
      </c>
      <c r="M35" s="10">
        <v>306</v>
      </c>
      <c r="N35" s="11">
        <v>1</v>
      </c>
      <c r="S35" s="10">
        <v>348</v>
      </c>
      <c r="T35" s="11">
        <v>1</v>
      </c>
      <c r="Y35" s="10">
        <v>379</v>
      </c>
      <c r="Z35" s="11">
        <v>12</v>
      </c>
      <c r="AB35" s="10">
        <v>379</v>
      </c>
      <c r="AC35" s="11">
        <v>25</v>
      </c>
    </row>
    <row r="36" spans="10:29" x14ac:dyDescent="0.35">
      <c r="J36" s="10">
        <v>379</v>
      </c>
      <c r="K36" s="11">
        <v>3</v>
      </c>
      <c r="M36" s="10">
        <v>307</v>
      </c>
      <c r="N36" s="11">
        <v>2</v>
      </c>
      <c r="S36" s="10">
        <v>349</v>
      </c>
      <c r="T36" s="11">
        <v>1</v>
      </c>
      <c r="Y36" s="10">
        <v>391</v>
      </c>
      <c r="Z36" s="11">
        <v>3</v>
      </c>
      <c r="AB36" s="10">
        <v>386</v>
      </c>
      <c r="AC36" s="11">
        <v>1</v>
      </c>
    </row>
    <row r="37" spans="10:29" x14ac:dyDescent="0.35">
      <c r="J37" s="10">
        <v>380</v>
      </c>
      <c r="K37" s="11">
        <v>7</v>
      </c>
      <c r="M37" s="10">
        <v>308</v>
      </c>
      <c r="N37" s="11">
        <v>1</v>
      </c>
      <c r="S37" s="10">
        <v>350</v>
      </c>
      <c r="T37" s="11">
        <v>1</v>
      </c>
      <c r="Y37" s="10">
        <v>393</v>
      </c>
      <c r="Z37" s="11">
        <v>1</v>
      </c>
      <c r="AB37" s="10">
        <v>399</v>
      </c>
      <c r="AC37" s="11">
        <v>3</v>
      </c>
    </row>
    <row r="38" spans="10:29" x14ac:dyDescent="0.35">
      <c r="J38" s="10">
        <v>382</v>
      </c>
      <c r="K38" s="11">
        <v>37</v>
      </c>
      <c r="M38" s="10">
        <v>309</v>
      </c>
      <c r="N38" s="11">
        <v>1</v>
      </c>
      <c r="S38" s="10">
        <v>363</v>
      </c>
      <c r="T38" s="11">
        <v>1</v>
      </c>
      <c r="Y38" s="10">
        <v>394</v>
      </c>
      <c r="Z38" s="11">
        <v>2</v>
      </c>
      <c r="AB38" s="10">
        <v>402</v>
      </c>
      <c r="AC38" s="11">
        <v>2</v>
      </c>
    </row>
    <row r="39" spans="10:29" x14ac:dyDescent="0.35">
      <c r="J39" s="10">
        <v>384</v>
      </c>
      <c r="K39" s="11">
        <v>2</v>
      </c>
      <c r="M39" s="10">
        <v>310</v>
      </c>
      <c r="N39" s="11">
        <v>1</v>
      </c>
      <c r="S39" s="10">
        <v>364</v>
      </c>
      <c r="T39" s="11">
        <v>1</v>
      </c>
      <c r="Y39" s="10">
        <v>415</v>
      </c>
      <c r="Z39" s="11">
        <v>1</v>
      </c>
      <c r="AB39" s="10">
        <v>407</v>
      </c>
      <c r="AC39" s="11">
        <v>25</v>
      </c>
    </row>
    <row r="40" spans="10:29" x14ac:dyDescent="0.35">
      <c r="J40" s="10">
        <v>385</v>
      </c>
      <c r="K40" s="11">
        <v>1</v>
      </c>
      <c r="M40" s="10">
        <v>359</v>
      </c>
      <c r="N40" s="11">
        <v>1</v>
      </c>
      <c r="S40" s="10">
        <v>367</v>
      </c>
      <c r="T40" s="11">
        <v>2</v>
      </c>
      <c r="Y40" s="10">
        <v>417</v>
      </c>
      <c r="Z40" s="11">
        <v>1</v>
      </c>
      <c r="AB40" s="10">
        <v>408</v>
      </c>
      <c r="AC40" s="11">
        <v>25</v>
      </c>
    </row>
    <row r="41" spans="10:29" x14ac:dyDescent="0.35">
      <c r="J41" s="10">
        <v>407</v>
      </c>
      <c r="K41" s="11">
        <v>3</v>
      </c>
      <c r="M41" s="10">
        <v>360</v>
      </c>
      <c r="N41" s="11">
        <v>1</v>
      </c>
      <c r="S41" s="10">
        <v>377</v>
      </c>
      <c r="T41" s="11">
        <v>12</v>
      </c>
      <c r="Y41" s="10">
        <v>418</v>
      </c>
      <c r="Z41" s="11">
        <v>2</v>
      </c>
      <c r="AB41" s="10">
        <v>409</v>
      </c>
      <c r="AC41" s="11">
        <v>25</v>
      </c>
    </row>
    <row r="42" spans="10:29" x14ac:dyDescent="0.35">
      <c r="J42" s="10">
        <v>408</v>
      </c>
      <c r="K42" s="11">
        <v>3</v>
      </c>
      <c r="M42" s="10">
        <v>368</v>
      </c>
      <c r="N42" s="11">
        <v>1</v>
      </c>
      <c r="S42" s="10">
        <v>395</v>
      </c>
      <c r="T42" s="11">
        <v>5</v>
      </c>
      <c r="AB42" s="10">
        <v>418</v>
      </c>
      <c r="AC42" s="11">
        <v>1</v>
      </c>
    </row>
    <row r="43" spans="10:29" x14ac:dyDescent="0.35">
      <c r="J43" s="10">
        <v>409</v>
      </c>
      <c r="K43" s="11">
        <v>3</v>
      </c>
      <c r="M43" s="10">
        <v>370</v>
      </c>
      <c r="N43" s="11">
        <v>4</v>
      </c>
      <c r="S43" s="10">
        <v>402</v>
      </c>
      <c r="T43" s="11">
        <v>12</v>
      </c>
    </row>
    <row r="44" spans="10:29" x14ac:dyDescent="0.35">
      <c r="J44" s="10">
        <v>418</v>
      </c>
      <c r="K44" s="11">
        <v>3</v>
      </c>
      <c r="M44" s="10">
        <v>377</v>
      </c>
      <c r="N44" s="11">
        <v>12</v>
      </c>
      <c r="S44" s="10">
        <v>405</v>
      </c>
      <c r="T44" s="11">
        <v>1</v>
      </c>
    </row>
    <row r="45" spans="10:29" x14ac:dyDescent="0.35">
      <c r="M45" s="10">
        <v>393</v>
      </c>
      <c r="N45" s="11">
        <v>1</v>
      </c>
      <c r="S45" s="10">
        <v>418</v>
      </c>
      <c r="T45" s="11">
        <v>1</v>
      </c>
    </row>
    <row r="46" spans="10:29" x14ac:dyDescent="0.35">
      <c r="M46" s="10">
        <v>394</v>
      </c>
      <c r="N46" s="11">
        <v>8</v>
      </c>
    </row>
    <row r="47" spans="10:29" x14ac:dyDescent="0.35">
      <c r="M47" s="10">
        <v>402</v>
      </c>
      <c r="N47" s="11">
        <v>5</v>
      </c>
    </row>
    <row r="48" spans="10:29" x14ac:dyDescent="0.35">
      <c r="M48" s="10">
        <v>405</v>
      </c>
      <c r="N48" s="11">
        <v>14</v>
      </c>
    </row>
    <row r="49" spans="13:14" x14ac:dyDescent="0.35">
      <c r="M49" s="10">
        <v>418</v>
      </c>
      <c r="N49" s="11">
        <v>5</v>
      </c>
    </row>
    <row r="50" spans="13:14" x14ac:dyDescent="0.35"/>
    <row r="51" spans="13:14" x14ac:dyDescent="0.35"/>
    <row r="52" spans="13:14" x14ac:dyDescent="0.35"/>
    <row r="53" spans="13:14" x14ac:dyDescent="0.35"/>
    <row r="54" spans="13:14" x14ac:dyDescent="0.35"/>
    <row r="55" spans="13:14" x14ac:dyDescent="0.35"/>
    <row r="56" spans="13:14" x14ac:dyDescent="0.35"/>
    <row r="57" spans="13:14" x14ac:dyDescent="0.35"/>
    <row r="58" spans="13:14" x14ac:dyDescent="0.35"/>
    <row r="59" spans="13:14" x14ac:dyDescent="0.35"/>
    <row r="60" spans="13:14" x14ac:dyDescent="0.35"/>
    <row r="61" spans="13:14" x14ac:dyDescent="0.35"/>
    <row r="62" spans="13:14" x14ac:dyDescent="0.35"/>
    <row r="63" spans="13:14" x14ac:dyDescent="0.35"/>
    <row r="64" spans="13:14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  <row r="73" x14ac:dyDescent="0.35"/>
    <row r="74" x14ac:dyDescent="0.35"/>
    <row r="75" x14ac:dyDescent="0.35"/>
    <row r="76" x14ac:dyDescent="0.35"/>
    <row r="77" x14ac:dyDescent="0.35"/>
    <row r="78" x14ac:dyDescent="0.35"/>
    <row r="79" x14ac:dyDescent="0.35"/>
    <row r="80" x14ac:dyDescent="0.35"/>
    <row r="81" x14ac:dyDescent="0.35"/>
    <row r="82" x14ac:dyDescent="0.35"/>
    <row r="83" x14ac:dyDescent="0.35"/>
    <row r="84" x14ac:dyDescent="0.35"/>
    <row r="85" x14ac:dyDescent="0.35"/>
    <row r="86" x14ac:dyDescent="0.35"/>
    <row r="87" x14ac:dyDescent="0.35"/>
    <row r="88" x14ac:dyDescent="0.35"/>
    <row r="89" x14ac:dyDescent="0.35"/>
    <row r="90" x14ac:dyDescent="0.35"/>
    <row r="91" x14ac:dyDescent="0.35"/>
    <row r="92" x14ac:dyDescent="0.35"/>
    <row r="93" x14ac:dyDescent="0.35"/>
    <row r="94" x14ac:dyDescent="0.35"/>
    <row r="95" x14ac:dyDescent="0.35"/>
    <row r="96" x14ac:dyDescent="0.35"/>
    <row r="97" x14ac:dyDescent="0.35"/>
    <row r="98" x14ac:dyDescent="0.35"/>
    <row r="99" x14ac:dyDescent="0.35"/>
    <row r="100" x14ac:dyDescent="0.35"/>
    <row r="101" x14ac:dyDescent="0.35"/>
    <row r="102" x14ac:dyDescent="0.35"/>
    <row r="103" x14ac:dyDescent="0.35"/>
    <row r="104" x14ac:dyDescent="0.35"/>
    <row r="105" x14ac:dyDescent="0.35"/>
    <row r="106" x14ac:dyDescent="0.35"/>
    <row r="107" x14ac:dyDescent="0.35"/>
    <row r="108" x14ac:dyDescent="0.35"/>
    <row r="109" x14ac:dyDescent="0.35"/>
    <row r="110" x14ac:dyDescent="0.35"/>
    <row r="111" x14ac:dyDescent="0.35"/>
    <row r="112" x14ac:dyDescent="0.35"/>
    <row r="113" x14ac:dyDescent="0.35"/>
    <row r="114" x14ac:dyDescent="0.35"/>
    <row r="115" x14ac:dyDescent="0.35"/>
    <row r="116" x14ac:dyDescent="0.35"/>
    <row r="117" x14ac:dyDescent="0.35"/>
    <row r="118" x14ac:dyDescent="0.35"/>
    <row r="119" x14ac:dyDescent="0.35"/>
    <row r="120" x14ac:dyDescent="0.35"/>
    <row r="121" x14ac:dyDescent="0.35"/>
    <row r="122" x14ac:dyDescent="0.35"/>
    <row r="123" x14ac:dyDescent="0.35"/>
    <row r="124" x14ac:dyDescent="0.35"/>
    <row r="125" x14ac:dyDescent="0.35"/>
    <row r="126" x14ac:dyDescent="0.35"/>
    <row r="127" x14ac:dyDescent="0.35"/>
    <row r="128" x14ac:dyDescent="0.35"/>
    <row r="129" x14ac:dyDescent="0.35"/>
    <row r="130" x14ac:dyDescent="0.35"/>
    <row r="131" x14ac:dyDescent="0.35"/>
    <row r="132" x14ac:dyDescent="0.35"/>
    <row r="133" x14ac:dyDescent="0.35"/>
    <row r="134" x14ac:dyDescent="0.35"/>
    <row r="135" x14ac:dyDescent="0.35"/>
    <row r="136" x14ac:dyDescent="0.35"/>
    <row r="137" x14ac:dyDescent="0.35"/>
    <row r="138" x14ac:dyDescent="0.35"/>
    <row r="139" x14ac:dyDescent="0.35"/>
    <row r="140" x14ac:dyDescent="0.35"/>
    <row r="141" x14ac:dyDescent="0.35"/>
    <row r="142" x14ac:dyDescent="0.35"/>
    <row r="143" x14ac:dyDescent="0.35"/>
    <row r="144" x14ac:dyDescent="0.35"/>
    <row r="145" x14ac:dyDescent="0.35"/>
    <row r="146" x14ac:dyDescent="0.35"/>
    <row r="147" x14ac:dyDescent="0.35"/>
    <row r="148" x14ac:dyDescent="0.35"/>
    <row r="149" x14ac:dyDescent="0.35"/>
    <row r="150" x14ac:dyDescent="0.35"/>
    <row r="151" x14ac:dyDescent="0.35"/>
    <row r="152" x14ac:dyDescent="0.35"/>
    <row r="153" x14ac:dyDescent="0.35"/>
    <row r="154" x14ac:dyDescent="0.35"/>
    <row r="155" x14ac:dyDescent="0.35"/>
    <row r="156" x14ac:dyDescent="0.35"/>
    <row r="157" x14ac:dyDescent="0.35"/>
    <row r="158" x14ac:dyDescent="0.35"/>
    <row r="159" x14ac:dyDescent="0.35"/>
    <row r="160" x14ac:dyDescent="0.35"/>
    <row r="161" x14ac:dyDescent="0.35"/>
    <row r="162" x14ac:dyDescent="0.35"/>
    <row r="163" x14ac:dyDescent="0.35"/>
    <row r="164" x14ac:dyDescent="0.35"/>
    <row r="165" x14ac:dyDescent="0.35"/>
    <row r="166" x14ac:dyDescent="0.35"/>
    <row r="167" x14ac:dyDescent="0.35"/>
    <row r="168" x14ac:dyDescent="0.35"/>
    <row r="169" x14ac:dyDescent="0.35"/>
    <row r="170" x14ac:dyDescent="0.35"/>
    <row r="171" x14ac:dyDescent="0.35"/>
    <row r="172" x14ac:dyDescent="0.35"/>
    <row r="173" x14ac:dyDescent="0.35"/>
    <row r="174" x14ac:dyDescent="0.35"/>
    <row r="175" x14ac:dyDescent="0.35"/>
    <row r="176" x14ac:dyDescent="0.35"/>
    <row r="177" x14ac:dyDescent="0.35"/>
    <row r="178" x14ac:dyDescent="0.35"/>
    <row r="179" x14ac:dyDescent="0.35"/>
    <row r="180" x14ac:dyDescent="0.35"/>
    <row r="181" x14ac:dyDescent="0.35"/>
    <row r="182" x14ac:dyDescent="0.35"/>
    <row r="183" x14ac:dyDescent="0.35"/>
    <row r="184" x14ac:dyDescent="0.35"/>
    <row r="185" x14ac:dyDescent="0.35"/>
    <row r="186" x14ac:dyDescent="0.35"/>
    <row r="187" x14ac:dyDescent="0.35"/>
    <row r="188" x14ac:dyDescent="0.35"/>
    <row r="189" x14ac:dyDescent="0.35"/>
    <row r="190" x14ac:dyDescent="0.35"/>
    <row r="191" x14ac:dyDescent="0.35"/>
    <row r="192" x14ac:dyDescent="0.35"/>
    <row r="193" x14ac:dyDescent="0.35"/>
    <row r="194" x14ac:dyDescent="0.35"/>
    <row r="195" x14ac:dyDescent="0.35"/>
    <row r="196" x14ac:dyDescent="0.35"/>
    <row r="197" x14ac:dyDescent="0.35"/>
    <row r="198" x14ac:dyDescent="0.35"/>
    <row r="199" x14ac:dyDescent="0.35"/>
    <row r="200" x14ac:dyDescent="0.35"/>
  </sheetData>
  <pageMargins left="0.7" right="0.7" top="0.75" bottom="0.75" header="0.3" footer="0.3"/>
  <pageSetup orientation="portrait" r:id="rId1"/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13</vt:i4>
      </vt:variant>
    </vt:vector>
  </HeadingPairs>
  <TitlesOfParts>
    <vt:vector size="18" baseType="lpstr">
      <vt:lpstr>Control</vt:lpstr>
      <vt:lpstr>Inventario</vt:lpstr>
      <vt:lpstr>Proyectos</vt:lpstr>
      <vt:lpstr>Hoja1</vt:lpstr>
      <vt:lpstr>Conceptos Desglosados</vt:lpstr>
      <vt:lpstr>alojamiento</vt:lpstr>
      <vt:lpstr>comandancia</vt:lpstr>
      <vt:lpstr>comedor</vt:lpstr>
      <vt:lpstr>comyaloj</vt:lpstr>
      <vt:lpstr>conceptos2</vt:lpstr>
      <vt:lpstr>conferencias</vt:lpstr>
      <vt:lpstr>dormitorios</vt:lpstr>
      <vt:lpstr>lista</vt:lpstr>
      <vt:lpstr>mantenimiento</vt:lpstr>
      <vt:lpstr>PROYECTOS</vt:lpstr>
      <vt:lpstr>sanidad</vt:lpstr>
      <vt:lpstr>serestatal</vt:lpstr>
      <vt:lpstr>servicios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salinas</dc:creator>
  <cp:lastModifiedBy>salinas</cp:lastModifiedBy>
  <dcterms:created xsi:type="dcterms:W3CDTF">2015-11-25T22:27:19Z</dcterms:created>
  <dcterms:modified xsi:type="dcterms:W3CDTF">2016-03-31T08:51:25Z</dcterms:modified>
</cp:coreProperties>
</file>