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H:\"/>
    </mc:Choice>
  </mc:AlternateContent>
  <bookViews>
    <workbookView xWindow="10230" yWindow="-20" windowWidth="10280" windowHeight="8180"/>
  </bookViews>
  <sheets>
    <sheet name="Control" sheetId="6" r:id="rId1"/>
    <sheet name="Inventario" sheetId="1" r:id="rId2"/>
    <sheet name="Proyectos" sheetId="2" r:id="rId3"/>
    <sheet name="Conceptos Desglosados" sheetId="9" r:id="rId4"/>
    <sheet name="Factura" sheetId="14" r:id="rId5"/>
  </sheets>
  <definedNames>
    <definedName name="_xlnm._FilterDatabase" localSheetId="0" hidden="1">Control!$C$1:$O$4</definedName>
    <definedName name="_xlnm._FilterDatabase" localSheetId="1" hidden="1">Inventario!$A$6:$AC$492</definedName>
    <definedName name="alojamiento">'Conceptos Desglosados'!$P$3:$Q$25</definedName>
    <definedName name="comandancia">'Conceptos Desglosados'!$AB$3:$AC$42</definedName>
    <definedName name="comedor">'Conceptos Desglosados'!$M$3:$N$49</definedName>
    <definedName name="comyaloj">'Conceptos Desglosados'!$Y$3:$Z$41</definedName>
    <definedName name="conceptos2">'Conceptos Desglosados'!$H$4:$H$19</definedName>
    <definedName name="conferencias">'Conceptos Desglosados'!$AK$3:$AL$7</definedName>
    <definedName name="dormitorios">'Conceptos Desglosados'!$J$3:$K$44</definedName>
    <definedName name="lista">tabla14['# por concepto]</definedName>
    <definedName name="mantenimiento">'Conceptos Desglosados'!$AE$3:$AF$19</definedName>
    <definedName name="PROYECTOS">Tabla1[Nombre del Proyecto / Cliente]</definedName>
    <definedName name="sanidad">'Conceptos Desglosados'!$S$3:$T$45</definedName>
    <definedName name="serestatal">'Conceptos Desglosados'!$AH$3:$AI$16</definedName>
    <definedName name="servicios">'Conceptos Desglosados'!$V$3:$W$23</definedName>
    <definedName name="Z_035DBD2E_5914_43EB_945A_19CAB0A2C688_.wvu.FilterData" localSheetId="1" hidden="1">Inventario!$B$6:$AC$612</definedName>
    <definedName name="Z_03B7EE0C_45E7_4D24_873D_EE14AE0D8435_.wvu.FilterData" localSheetId="1" hidden="1">Inventario!$B$6:$AC$612</definedName>
    <definedName name="Z_0DA2284E_C08E_44A4_ACA0_9D6DE4FEB934_.wvu.FilterData" localSheetId="1" hidden="1">Inventario!$B$1:$S$612</definedName>
    <definedName name="Z_0FFE50E3_BA5B_4E35_8E53_F4FACAE025D8_.wvu.FilterData" localSheetId="1" hidden="1">Inventario!$B$6:$AC$612</definedName>
    <definedName name="Z_12C3EB44_05CB_44F5_9388_AB30D8048814_.wvu.FilterData" localSheetId="1" hidden="1">Inventario!$B$6:$AC$612</definedName>
    <definedName name="Z_1976DC91_E290_4258_9F2E_9C8209EFF96E_.wvu.FilterData" localSheetId="1" hidden="1">Inventario!$B$6:$AC$612</definedName>
    <definedName name="Z_2195429D_5AD3_4AB1_A2FC_E39DDCA2D7DF_.wvu.FilterData" localSheetId="1" hidden="1">Inventario!$B$6:$AC$612</definedName>
    <definedName name="Z_24E638DF_1852_4685_BD75_D1530CDECE21_.wvu.FilterData" localSheetId="1" hidden="1">Inventario!$B$6:$AC$612</definedName>
    <definedName name="Z_265818F6_B12E_4789_BBA0_55212EA80692_.wvu.FilterData" localSheetId="1" hidden="1">Inventario!$B$1:$S$612</definedName>
    <definedName name="Z_285770AE_A62E_40B9_B945_8D8AD91047AF_.wvu.FilterData" localSheetId="1" hidden="1">Inventario!$B$1:$S$612</definedName>
    <definedName name="Z_3033D320_A52E_4138_8556_5EF5CC3707FC_.wvu.FilterData" localSheetId="1" hidden="1">Inventario!$B$6:$AC$612</definedName>
    <definedName name="Z_336ECB61_6801_4F99_A290_F0287EC911CD_.wvu.FilterData" localSheetId="1" hidden="1">Inventario!$B$6:$AC$612</definedName>
    <definedName name="Z_354B33BD_C5EB_4804_91BA_936AE14287D9_.wvu.FilterData" localSheetId="1" hidden="1">Inventario!$B$6:$AC$612</definedName>
    <definedName name="Z_374192A7_BA68_4882_979F_33563C413158_.wvu.FilterData" localSheetId="1" hidden="1">Inventario!$B$6:$AC$612</definedName>
    <definedName name="Z_3AC50C12_425B_41D2_AA46_18560C59B2F4_.wvu.FilterData" localSheetId="1" hidden="1">Inventario!$B$1:$S$612</definedName>
    <definedName name="Z_3DC427E4_8C72_424E_99B5_DDEAE05EA452_.wvu.FilterData" localSheetId="1" hidden="1">Inventario!$B$6:$AC$612</definedName>
    <definedName name="Z_4376B6B4_43B9_4882_90AB_AA68050968AC_.wvu.FilterData" localSheetId="1" hidden="1">Inventario!$B$6:$AC$612</definedName>
    <definedName name="Z_50FFB588_49DB_41B6_8E7C_64347708B67E_.wvu.FilterData" localSheetId="1" hidden="1">Inventario!$B$6:$AC$612</definedName>
    <definedName name="Z_57255D78_D060_430E_977A_7ADD3B14206F_.wvu.FilterData" localSheetId="1" hidden="1">Inventario!$B$6:$AC$612</definedName>
    <definedName name="Z_5F135FAC_8885_473A_9733_FB96F1D6F436_.wvu.FilterData" localSheetId="1" hidden="1">Inventario!$B$6:$AC$612</definedName>
    <definedName name="Z_6138A271_D335_407A_AEE3_193F60E04AB2_.wvu.FilterData" localSheetId="1" hidden="1">Inventario!$B$6:$AC$612</definedName>
    <definedName name="Z_63F346E0_729E_4051_BF6F_7E03FADAAC2F_.wvu.FilterData" localSheetId="1" hidden="1">Inventario!$B$6:$AC$612</definedName>
    <definedName name="Z_6F3C0A1C_6750_4C68_9F4B_464DF70A88C7_.wvu.FilterData" localSheetId="1" hidden="1">Inventario!$B$1:$S$612</definedName>
    <definedName name="Z_7FCD48A9_224A_4777_A1FF_FD380B2DC81E_.wvu.FilterData" localSheetId="1" hidden="1">Inventario!$B$1:$S$612</definedName>
    <definedName name="Z_889A3194_1AA4_4F29_B60F_2151005D4D8F_.wvu.FilterData" localSheetId="1" hidden="1">Inventario!$B$6:$AC$612</definedName>
    <definedName name="Z_89D36432_9AC1_401B_8DE1_EDDBBECE1EC9_.wvu.FilterData" localSheetId="1" hidden="1">Inventario!$B$6:$AC$612</definedName>
    <definedName name="Z_89FB724C_A211_4FD2_BBE1_A56EB83C8DAB_.wvu.FilterData" localSheetId="1" hidden="1">Inventario!$B$6:$AC$612</definedName>
    <definedName name="Z_8FA6C7F1_FBE1_451D_B618_69F9D0452D86_.wvu.FilterData" localSheetId="1" hidden="1">Inventario!$B$6:$AC$612</definedName>
    <definedName name="Z_9128C91A_C70A_4FD6_8D07_3717C90C41C8_.wvu.FilterData" localSheetId="1" hidden="1">Inventario!$B$6:$AC$612</definedName>
    <definedName name="Z_947EAB40_F955_4649_9F88_793C041B5E77_.wvu.FilterData" localSheetId="1" hidden="1">Inventario!$B$6:$AC$612</definedName>
    <definedName name="Z_9992C953_4A65_4423_90E3_57E96B61E2BB_.wvu.FilterData" localSheetId="1" hidden="1">Inventario!$B$1:$S$612</definedName>
    <definedName name="Z_9F87C53E_4870_41BD_8C08_AB777E2F0103_.wvu.FilterData" localSheetId="1" hidden="1">Inventario!$B$6:$AC$612</definedName>
    <definedName name="Z_A296347E_FB4B_4658_979B_179AA2255264_.wvu.FilterData" localSheetId="1" hidden="1">Inventario!$B$6:$AC$612</definedName>
    <definedName name="Z_A59B7D33_623E_4C17_8F0C_CD30F317BD11_.wvu.FilterData" localSheetId="1" hidden="1">Inventario!$B$6:$AC$612</definedName>
    <definedName name="Z_B33548BB_32D3_46C6_AA5D_E320D637FA06_.wvu.FilterData" localSheetId="1" hidden="1">Inventario!$B$6:$AC$612</definedName>
    <definedName name="Z_BB50AA1B_FF43_467C_90A8_3E30583B0788_.wvu.FilterData" localSheetId="1" hidden="1">Inventario!$B$1:$S$612</definedName>
    <definedName name="Z_C232DADF_781F_4EE1_9684_D160C6BF791A_.wvu.FilterData" localSheetId="1" hidden="1">Inventario!$B$6:$AC$612</definedName>
    <definedName name="Z_CAF4047A_4CE2_4D07_B0CB_5FECDDA6C685_.wvu.FilterData" localSheetId="1" hidden="1">Inventario!$B$6:$AC$612</definedName>
    <definedName name="Z_CCCC6D0E_E1F5_4CE5_94FC_B4B4710C7BE4_.wvu.FilterData" localSheetId="1" hidden="1">Inventario!$B$1:$S$612</definedName>
    <definedName name="Z_E1D95866_9155_4004_94AF_91E022EF032C_.wvu.FilterData" localSheetId="1" hidden="1">Inventario!$B$6:$AC$612</definedName>
    <definedName name="Z_E29EA0A6_7231_4EA3_A764_B44C65A6D65D_.wvu.FilterData" localSheetId="1" hidden="1">Inventario!$B$6:$AC$612</definedName>
    <definedName name="Z_F6FC5B26_E55E_48ED_A654_F586B8401CF9_.wvu.FilterData" localSheetId="1" hidden="1">Inventario!$B$6:$AC$612</definedName>
  </definedNames>
  <calcPr calcId="152511"/>
</workbook>
</file>

<file path=xl/calcChain.xml><?xml version="1.0" encoding="utf-8"?>
<calcChain xmlns="http://schemas.openxmlformats.org/spreadsheetml/2006/main">
  <c r="A8" i="2" l="1"/>
  <c r="A7" i="2"/>
  <c r="K6" i="1" l="1"/>
  <c r="K8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L7" i="1"/>
  <c r="M7" i="1"/>
  <c r="N7" i="1"/>
  <c r="O7" i="1"/>
  <c r="P7" i="1"/>
  <c r="Q7" i="1"/>
  <c r="R7" i="1"/>
  <c r="S7" i="1"/>
  <c r="T7" i="1"/>
  <c r="U7" i="1"/>
  <c r="V7" i="1"/>
  <c r="W7" i="1"/>
  <c r="X7" i="1"/>
  <c r="Y7" i="1"/>
  <c r="Z7" i="1"/>
  <c r="AA7" i="1"/>
  <c r="AB7" i="1"/>
  <c r="L8" i="1"/>
  <c r="M8" i="1"/>
  <c r="N8" i="1"/>
  <c r="O8" i="1"/>
  <c r="P8" i="1"/>
  <c r="Q8" i="1"/>
  <c r="R8" i="1"/>
  <c r="S8" i="1"/>
  <c r="T8" i="1"/>
  <c r="U8" i="1"/>
  <c r="V8" i="1"/>
  <c r="W8" i="1"/>
  <c r="X8" i="1"/>
  <c r="Y8" i="1"/>
  <c r="Z8" i="1"/>
  <c r="AA8" i="1"/>
  <c r="AB8" i="1"/>
  <c r="L9" i="1"/>
  <c r="M9" i="1"/>
  <c r="N9" i="1"/>
  <c r="O9" i="1"/>
  <c r="P9" i="1"/>
  <c r="Q9" i="1"/>
  <c r="R9" i="1"/>
  <c r="S9" i="1"/>
  <c r="T9" i="1"/>
  <c r="U9" i="1"/>
  <c r="V9" i="1"/>
  <c r="W9" i="1"/>
  <c r="X9" i="1"/>
  <c r="Y9" i="1"/>
  <c r="Z9" i="1"/>
  <c r="AA9" i="1"/>
  <c r="AB9" i="1"/>
  <c r="L10" i="1"/>
  <c r="M10" i="1"/>
  <c r="N10" i="1"/>
  <c r="O10" i="1"/>
  <c r="P10" i="1"/>
  <c r="Q10" i="1"/>
  <c r="R10" i="1"/>
  <c r="S10" i="1"/>
  <c r="T10" i="1"/>
  <c r="U10" i="1"/>
  <c r="V10" i="1"/>
  <c r="W10" i="1"/>
  <c r="X10" i="1"/>
  <c r="Y10" i="1"/>
  <c r="Z10" i="1"/>
  <c r="AA10" i="1"/>
  <c r="AB10" i="1"/>
  <c r="L11" i="1"/>
  <c r="M11" i="1"/>
  <c r="N11" i="1"/>
  <c r="O11" i="1"/>
  <c r="P11" i="1"/>
  <c r="Q11" i="1"/>
  <c r="R11" i="1"/>
  <c r="S11" i="1"/>
  <c r="T11" i="1"/>
  <c r="U11" i="1"/>
  <c r="V11" i="1"/>
  <c r="W11" i="1"/>
  <c r="X11" i="1"/>
  <c r="Y11" i="1"/>
  <c r="Z11" i="1"/>
  <c r="AA11" i="1"/>
  <c r="AB11" i="1"/>
  <c r="L12" i="1"/>
  <c r="M12" i="1"/>
  <c r="N12" i="1"/>
  <c r="O12" i="1"/>
  <c r="P12" i="1"/>
  <c r="Q12" i="1"/>
  <c r="R12" i="1"/>
  <c r="S12" i="1"/>
  <c r="T12" i="1"/>
  <c r="U12" i="1"/>
  <c r="V12" i="1"/>
  <c r="W12" i="1"/>
  <c r="X12" i="1"/>
  <c r="Y12" i="1"/>
  <c r="Z12" i="1"/>
  <c r="AA12" i="1"/>
  <c r="AB12" i="1"/>
  <c r="L13" i="1"/>
  <c r="M13" i="1"/>
  <c r="N13" i="1"/>
  <c r="O13" i="1"/>
  <c r="P13" i="1"/>
  <c r="Q13" i="1"/>
  <c r="R13" i="1"/>
  <c r="S13" i="1"/>
  <c r="T13" i="1"/>
  <c r="U13" i="1"/>
  <c r="V13" i="1"/>
  <c r="W13" i="1"/>
  <c r="X13" i="1"/>
  <c r="Y13" i="1"/>
  <c r="Z13" i="1"/>
  <c r="AA13" i="1"/>
  <c r="AB13" i="1"/>
  <c r="L14" i="1"/>
  <c r="M14" i="1"/>
  <c r="N14" i="1"/>
  <c r="O14" i="1"/>
  <c r="P14" i="1"/>
  <c r="Q14" i="1"/>
  <c r="R14" i="1"/>
  <c r="S14" i="1"/>
  <c r="T14" i="1"/>
  <c r="U14" i="1"/>
  <c r="V14" i="1"/>
  <c r="W14" i="1"/>
  <c r="X14" i="1"/>
  <c r="Y14" i="1"/>
  <c r="Z14" i="1"/>
  <c r="AA14" i="1"/>
  <c r="AB14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L17" i="1"/>
  <c r="M17" i="1"/>
  <c r="N17" i="1"/>
  <c r="O17" i="1"/>
  <c r="P17" i="1"/>
  <c r="Q17" i="1"/>
  <c r="R17" i="1"/>
  <c r="S17" i="1"/>
  <c r="T17" i="1"/>
  <c r="U17" i="1"/>
  <c r="V17" i="1"/>
  <c r="W17" i="1"/>
  <c r="X17" i="1"/>
  <c r="Y17" i="1"/>
  <c r="Z17" i="1"/>
  <c r="AA17" i="1"/>
  <c r="AB17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Y18" i="1"/>
  <c r="Z18" i="1"/>
  <c r="AA18" i="1"/>
  <c r="AB18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Z19" i="1"/>
  <c r="AA19" i="1"/>
  <c r="AB19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Z20" i="1"/>
  <c r="AA20" i="1"/>
  <c r="AB20" i="1"/>
  <c r="L21" i="1"/>
  <c r="M21" i="1"/>
  <c r="N21" i="1"/>
  <c r="O21" i="1"/>
  <c r="P21" i="1"/>
  <c r="Q21" i="1"/>
  <c r="R21" i="1"/>
  <c r="S21" i="1"/>
  <c r="T21" i="1"/>
  <c r="U21" i="1"/>
  <c r="V21" i="1"/>
  <c r="W21" i="1"/>
  <c r="X21" i="1"/>
  <c r="Y21" i="1"/>
  <c r="Z21" i="1"/>
  <c r="AA21" i="1"/>
  <c r="AB21" i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Z22" i="1"/>
  <c r="AA22" i="1"/>
  <c r="AB22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Z23" i="1"/>
  <c r="AA23" i="1"/>
  <c r="AB23" i="1"/>
  <c r="L24" i="1"/>
  <c r="M24" i="1"/>
  <c r="N24" i="1"/>
  <c r="O24" i="1"/>
  <c r="P24" i="1"/>
  <c r="Q24" i="1"/>
  <c r="R24" i="1"/>
  <c r="S24" i="1"/>
  <c r="T24" i="1"/>
  <c r="U24" i="1"/>
  <c r="V24" i="1"/>
  <c r="W24" i="1"/>
  <c r="X24" i="1"/>
  <c r="Y24" i="1"/>
  <c r="Z24" i="1"/>
  <c r="AA24" i="1"/>
  <c r="AB24" i="1"/>
  <c r="L25" i="1"/>
  <c r="M25" i="1"/>
  <c r="N25" i="1"/>
  <c r="O25" i="1"/>
  <c r="P25" i="1"/>
  <c r="Q25" i="1"/>
  <c r="R25" i="1"/>
  <c r="S25" i="1"/>
  <c r="T25" i="1"/>
  <c r="U25" i="1"/>
  <c r="V25" i="1"/>
  <c r="W25" i="1"/>
  <c r="X25" i="1"/>
  <c r="Y25" i="1"/>
  <c r="Z25" i="1"/>
  <c r="AA25" i="1"/>
  <c r="AB25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L28" i="1"/>
  <c r="M28" i="1"/>
  <c r="N28" i="1"/>
  <c r="O28" i="1"/>
  <c r="P28" i="1"/>
  <c r="Q28" i="1"/>
  <c r="R28" i="1"/>
  <c r="S28" i="1"/>
  <c r="T28" i="1"/>
  <c r="U28" i="1"/>
  <c r="V28" i="1"/>
  <c r="W28" i="1"/>
  <c r="X28" i="1"/>
  <c r="Y28" i="1"/>
  <c r="Z28" i="1"/>
  <c r="AA28" i="1"/>
  <c r="AB28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L30" i="1"/>
  <c r="M30" i="1"/>
  <c r="N30" i="1"/>
  <c r="O30" i="1"/>
  <c r="P30" i="1"/>
  <c r="Q30" i="1"/>
  <c r="R30" i="1"/>
  <c r="S30" i="1"/>
  <c r="T30" i="1"/>
  <c r="U30" i="1"/>
  <c r="V30" i="1"/>
  <c r="W30" i="1"/>
  <c r="X30" i="1"/>
  <c r="Y30" i="1"/>
  <c r="Z30" i="1"/>
  <c r="AA30" i="1"/>
  <c r="AB30" i="1"/>
  <c r="L31" i="1"/>
  <c r="M31" i="1"/>
  <c r="N31" i="1"/>
  <c r="O31" i="1"/>
  <c r="P31" i="1"/>
  <c r="Q31" i="1"/>
  <c r="R31" i="1"/>
  <c r="S31" i="1"/>
  <c r="T31" i="1"/>
  <c r="U31" i="1"/>
  <c r="V31" i="1"/>
  <c r="W31" i="1"/>
  <c r="X31" i="1"/>
  <c r="Y31" i="1"/>
  <c r="Z31" i="1"/>
  <c r="AA31" i="1"/>
  <c r="AB31" i="1"/>
  <c r="L32" i="1"/>
  <c r="M32" i="1"/>
  <c r="N32" i="1"/>
  <c r="O32" i="1"/>
  <c r="P32" i="1"/>
  <c r="Q32" i="1"/>
  <c r="R32" i="1"/>
  <c r="S32" i="1"/>
  <c r="T32" i="1"/>
  <c r="U32" i="1"/>
  <c r="V32" i="1"/>
  <c r="W32" i="1"/>
  <c r="X32" i="1"/>
  <c r="Y32" i="1"/>
  <c r="Z32" i="1"/>
  <c r="AA32" i="1"/>
  <c r="AB32" i="1"/>
  <c r="L33" i="1"/>
  <c r="M33" i="1"/>
  <c r="N33" i="1"/>
  <c r="O33" i="1"/>
  <c r="P33" i="1"/>
  <c r="Q33" i="1"/>
  <c r="R33" i="1"/>
  <c r="S33" i="1"/>
  <c r="T33" i="1"/>
  <c r="U33" i="1"/>
  <c r="V33" i="1"/>
  <c r="W33" i="1"/>
  <c r="X33" i="1"/>
  <c r="Y33" i="1"/>
  <c r="Z33" i="1"/>
  <c r="AA33" i="1"/>
  <c r="AB33" i="1"/>
  <c r="L34" i="1"/>
  <c r="M34" i="1"/>
  <c r="N34" i="1"/>
  <c r="O34" i="1"/>
  <c r="P34" i="1"/>
  <c r="Q34" i="1"/>
  <c r="R34" i="1"/>
  <c r="S34" i="1"/>
  <c r="T34" i="1"/>
  <c r="U34" i="1"/>
  <c r="V34" i="1"/>
  <c r="W34" i="1"/>
  <c r="X34" i="1"/>
  <c r="Y34" i="1"/>
  <c r="Z34" i="1"/>
  <c r="AA34" i="1"/>
  <c r="AB34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L36" i="1"/>
  <c r="M36" i="1"/>
  <c r="N36" i="1"/>
  <c r="O36" i="1"/>
  <c r="P36" i="1"/>
  <c r="Q36" i="1"/>
  <c r="R36" i="1"/>
  <c r="S36" i="1"/>
  <c r="T36" i="1"/>
  <c r="U36" i="1"/>
  <c r="V36" i="1"/>
  <c r="W36" i="1"/>
  <c r="X36" i="1"/>
  <c r="Y36" i="1"/>
  <c r="Z36" i="1"/>
  <c r="AA36" i="1"/>
  <c r="AB36" i="1"/>
  <c r="L37" i="1"/>
  <c r="M37" i="1"/>
  <c r="N37" i="1"/>
  <c r="O37" i="1"/>
  <c r="P37" i="1"/>
  <c r="Q37" i="1"/>
  <c r="R37" i="1"/>
  <c r="S37" i="1"/>
  <c r="T37" i="1"/>
  <c r="U37" i="1"/>
  <c r="V37" i="1"/>
  <c r="W37" i="1"/>
  <c r="X37" i="1"/>
  <c r="Y37" i="1"/>
  <c r="Z37" i="1"/>
  <c r="AA37" i="1"/>
  <c r="AB37" i="1"/>
  <c r="L38" i="1"/>
  <c r="M38" i="1"/>
  <c r="N38" i="1"/>
  <c r="O38" i="1"/>
  <c r="P38" i="1"/>
  <c r="Q38" i="1"/>
  <c r="R38" i="1"/>
  <c r="S38" i="1"/>
  <c r="T38" i="1"/>
  <c r="U38" i="1"/>
  <c r="V38" i="1"/>
  <c r="W38" i="1"/>
  <c r="X38" i="1"/>
  <c r="Y38" i="1"/>
  <c r="Z38" i="1"/>
  <c r="AA38" i="1"/>
  <c r="AB38" i="1"/>
  <c r="L39" i="1"/>
  <c r="M39" i="1"/>
  <c r="N39" i="1"/>
  <c r="O39" i="1"/>
  <c r="P39" i="1"/>
  <c r="Q39" i="1"/>
  <c r="R39" i="1"/>
  <c r="S39" i="1"/>
  <c r="T39" i="1"/>
  <c r="U39" i="1"/>
  <c r="V39" i="1"/>
  <c r="W39" i="1"/>
  <c r="X39" i="1"/>
  <c r="Y39" i="1"/>
  <c r="Z39" i="1"/>
  <c r="AA39" i="1"/>
  <c r="AB39" i="1"/>
  <c r="L40" i="1"/>
  <c r="M40" i="1"/>
  <c r="N40" i="1"/>
  <c r="O40" i="1"/>
  <c r="P40" i="1"/>
  <c r="Q40" i="1"/>
  <c r="R40" i="1"/>
  <c r="S40" i="1"/>
  <c r="T40" i="1"/>
  <c r="U40" i="1"/>
  <c r="V40" i="1"/>
  <c r="W40" i="1"/>
  <c r="X40" i="1"/>
  <c r="Y40" i="1"/>
  <c r="Z40" i="1"/>
  <c r="AA40" i="1"/>
  <c r="AB40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L52" i="1"/>
  <c r="M52" i="1"/>
  <c r="N52" i="1"/>
  <c r="O52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L56" i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L62" i="1"/>
  <c r="M62" i="1"/>
  <c r="N62" i="1"/>
  <c r="O62" i="1"/>
  <c r="P62" i="1"/>
  <c r="Q62" i="1"/>
  <c r="R62" i="1"/>
  <c r="S62" i="1"/>
  <c r="T62" i="1"/>
  <c r="U62" i="1"/>
  <c r="V62" i="1"/>
  <c r="W62" i="1"/>
  <c r="X62" i="1"/>
  <c r="Y62" i="1"/>
  <c r="Z62" i="1"/>
  <c r="AA62" i="1"/>
  <c r="AB62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  <c r="Y63" i="1"/>
  <c r="Z63" i="1"/>
  <c r="AA63" i="1"/>
  <c r="AB63" i="1"/>
  <c r="L64" i="1"/>
  <c r="M64" i="1"/>
  <c r="N64" i="1"/>
  <c r="O64" i="1"/>
  <c r="P64" i="1"/>
  <c r="Q64" i="1"/>
  <c r="R64" i="1"/>
  <c r="S64" i="1"/>
  <c r="T64" i="1"/>
  <c r="U64" i="1"/>
  <c r="V64" i="1"/>
  <c r="W64" i="1"/>
  <c r="X64" i="1"/>
  <c r="Y64" i="1"/>
  <c r="Z64" i="1"/>
  <c r="AA64" i="1"/>
  <c r="AB64" i="1"/>
  <c r="L65" i="1"/>
  <c r="M65" i="1"/>
  <c r="N65" i="1"/>
  <c r="O65" i="1"/>
  <c r="P65" i="1"/>
  <c r="Q65" i="1"/>
  <c r="R65" i="1"/>
  <c r="S65" i="1"/>
  <c r="T65" i="1"/>
  <c r="U65" i="1"/>
  <c r="V65" i="1"/>
  <c r="W65" i="1"/>
  <c r="X65" i="1"/>
  <c r="Y65" i="1"/>
  <c r="Z65" i="1"/>
  <c r="AA65" i="1"/>
  <c r="AB65" i="1"/>
  <c r="L66" i="1"/>
  <c r="M66" i="1"/>
  <c r="N66" i="1"/>
  <c r="O66" i="1"/>
  <c r="P66" i="1"/>
  <c r="Q66" i="1"/>
  <c r="R66" i="1"/>
  <c r="S66" i="1"/>
  <c r="T66" i="1"/>
  <c r="U66" i="1"/>
  <c r="V66" i="1"/>
  <c r="W66" i="1"/>
  <c r="X66" i="1"/>
  <c r="Y66" i="1"/>
  <c r="Z66" i="1"/>
  <c r="AA66" i="1"/>
  <c r="AB66" i="1"/>
  <c r="L67" i="1"/>
  <c r="M67" i="1"/>
  <c r="N67" i="1"/>
  <c r="O67" i="1"/>
  <c r="P67" i="1"/>
  <c r="Q67" i="1"/>
  <c r="R67" i="1"/>
  <c r="S67" i="1"/>
  <c r="T67" i="1"/>
  <c r="U67" i="1"/>
  <c r="V67" i="1"/>
  <c r="W67" i="1"/>
  <c r="X67" i="1"/>
  <c r="Y67" i="1"/>
  <c r="Z67" i="1"/>
  <c r="AA67" i="1"/>
  <c r="AB67" i="1"/>
  <c r="L68" i="1"/>
  <c r="M68" i="1"/>
  <c r="N68" i="1"/>
  <c r="O68" i="1"/>
  <c r="P68" i="1"/>
  <c r="Q68" i="1"/>
  <c r="R68" i="1"/>
  <c r="S68" i="1"/>
  <c r="T68" i="1"/>
  <c r="U68" i="1"/>
  <c r="V68" i="1"/>
  <c r="W68" i="1"/>
  <c r="X68" i="1"/>
  <c r="Y68" i="1"/>
  <c r="Z68" i="1"/>
  <c r="AA68" i="1"/>
  <c r="AB68" i="1"/>
  <c r="L69" i="1"/>
  <c r="M69" i="1"/>
  <c r="N69" i="1"/>
  <c r="O69" i="1"/>
  <c r="P69" i="1"/>
  <c r="Q69" i="1"/>
  <c r="R69" i="1"/>
  <c r="S69" i="1"/>
  <c r="T69" i="1"/>
  <c r="U69" i="1"/>
  <c r="V69" i="1"/>
  <c r="W69" i="1"/>
  <c r="X69" i="1"/>
  <c r="Y69" i="1"/>
  <c r="Z69" i="1"/>
  <c r="AA69" i="1"/>
  <c r="AB69" i="1"/>
  <c r="L70" i="1"/>
  <c r="M70" i="1"/>
  <c r="N70" i="1"/>
  <c r="O70" i="1"/>
  <c r="P70" i="1"/>
  <c r="Q70" i="1"/>
  <c r="R70" i="1"/>
  <c r="S70" i="1"/>
  <c r="T70" i="1"/>
  <c r="U70" i="1"/>
  <c r="V70" i="1"/>
  <c r="W70" i="1"/>
  <c r="X70" i="1"/>
  <c r="Y70" i="1"/>
  <c r="Z70" i="1"/>
  <c r="AA70" i="1"/>
  <c r="AB70" i="1"/>
  <c r="L71" i="1"/>
  <c r="M71" i="1"/>
  <c r="N71" i="1"/>
  <c r="O71" i="1"/>
  <c r="P71" i="1"/>
  <c r="Q71" i="1"/>
  <c r="R71" i="1"/>
  <c r="S71" i="1"/>
  <c r="T71" i="1"/>
  <c r="U71" i="1"/>
  <c r="V71" i="1"/>
  <c r="W71" i="1"/>
  <c r="X71" i="1"/>
  <c r="Y71" i="1"/>
  <c r="Z71" i="1"/>
  <c r="AA71" i="1"/>
  <c r="AB71" i="1"/>
  <c r="L72" i="1"/>
  <c r="M72" i="1"/>
  <c r="N72" i="1"/>
  <c r="O72" i="1"/>
  <c r="P72" i="1"/>
  <c r="Q72" i="1"/>
  <c r="R72" i="1"/>
  <c r="S72" i="1"/>
  <c r="T72" i="1"/>
  <c r="U72" i="1"/>
  <c r="V72" i="1"/>
  <c r="W72" i="1"/>
  <c r="X72" i="1"/>
  <c r="Y72" i="1"/>
  <c r="Z72" i="1"/>
  <c r="AA72" i="1"/>
  <c r="AB72" i="1"/>
  <c r="L73" i="1"/>
  <c r="M73" i="1"/>
  <c r="N73" i="1"/>
  <c r="O73" i="1"/>
  <c r="P73" i="1"/>
  <c r="Q73" i="1"/>
  <c r="R73" i="1"/>
  <c r="S73" i="1"/>
  <c r="T73" i="1"/>
  <c r="U73" i="1"/>
  <c r="V73" i="1"/>
  <c r="W73" i="1"/>
  <c r="X73" i="1"/>
  <c r="Y73" i="1"/>
  <c r="Z73" i="1"/>
  <c r="AA73" i="1"/>
  <c r="AB73" i="1"/>
  <c r="L74" i="1"/>
  <c r="M74" i="1"/>
  <c r="N74" i="1"/>
  <c r="O74" i="1"/>
  <c r="P74" i="1"/>
  <c r="Q74" i="1"/>
  <c r="R74" i="1"/>
  <c r="S74" i="1"/>
  <c r="T74" i="1"/>
  <c r="U74" i="1"/>
  <c r="V74" i="1"/>
  <c r="W74" i="1"/>
  <c r="X74" i="1"/>
  <c r="Y74" i="1"/>
  <c r="Z74" i="1"/>
  <c r="AA74" i="1"/>
  <c r="AB74" i="1"/>
  <c r="L75" i="1"/>
  <c r="M75" i="1"/>
  <c r="N75" i="1"/>
  <c r="O75" i="1"/>
  <c r="P75" i="1"/>
  <c r="Q75" i="1"/>
  <c r="R75" i="1"/>
  <c r="S75" i="1"/>
  <c r="T75" i="1"/>
  <c r="U75" i="1"/>
  <c r="V75" i="1"/>
  <c r="W75" i="1"/>
  <c r="X75" i="1"/>
  <c r="Y75" i="1"/>
  <c r="Z75" i="1"/>
  <c r="AA75" i="1"/>
  <c r="AB75" i="1"/>
  <c r="L76" i="1"/>
  <c r="M76" i="1"/>
  <c r="N76" i="1"/>
  <c r="O76" i="1"/>
  <c r="P76" i="1"/>
  <c r="Q76" i="1"/>
  <c r="R76" i="1"/>
  <c r="S76" i="1"/>
  <c r="T76" i="1"/>
  <c r="U76" i="1"/>
  <c r="V76" i="1"/>
  <c r="W76" i="1"/>
  <c r="X76" i="1"/>
  <c r="Y76" i="1"/>
  <c r="Z76" i="1"/>
  <c r="AA76" i="1"/>
  <c r="AB76" i="1"/>
  <c r="L77" i="1"/>
  <c r="M77" i="1"/>
  <c r="N77" i="1"/>
  <c r="O77" i="1"/>
  <c r="P77" i="1"/>
  <c r="Q77" i="1"/>
  <c r="R77" i="1"/>
  <c r="S77" i="1"/>
  <c r="T77" i="1"/>
  <c r="U77" i="1"/>
  <c r="V77" i="1"/>
  <c r="W77" i="1"/>
  <c r="X77" i="1"/>
  <c r="Y77" i="1"/>
  <c r="Z77" i="1"/>
  <c r="AA77" i="1"/>
  <c r="AB77" i="1"/>
  <c r="L78" i="1"/>
  <c r="M78" i="1"/>
  <c r="N78" i="1"/>
  <c r="O78" i="1"/>
  <c r="P78" i="1"/>
  <c r="Q78" i="1"/>
  <c r="R78" i="1"/>
  <c r="S78" i="1"/>
  <c r="T78" i="1"/>
  <c r="U78" i="1"/>
  <c r="V78" i="1"/>
  <c r="W78" i="1"/>
  <c r="X78" i="1"/>
  <c r="Y78" i="1"/>
  <c r="Z78" i="1"/>
  <c r="AA78" i="1"/>
  <c r="AB78" i="1"/>
  <c r="L79" i="1"/>
  <c r="M79" i="1"/>
  <c r="N79" i="1"/>
  <c r="O79" i="1"/>
  <c r="P79" i="1"/>
  <c r="Q79" i="1"/>
  <c r="R79" i="1"/>
  <c r="S79" i="1"/>
  <c r="T79" i="1"/>
  <c r="U79" i="1"/>
  <c r="V79" i="1"/>
  <c r="W79" i="1"/>
  <c r="X79" i="1"/>
  <c r="Y79" i="1"/>
  <c r="Z79" i="1"/>
  <c r="AA79" i="1"/>
  <c r="AB79" i="1"/>
  <c r="L80" i="1"/>
  <c r="M80" i="1"/>
  <c r="N80" i="1"/>
  <c r="O80" i="1"/>
  <c r="P80" i="1"/>
  <c r="Q80" i="1"/>
  <c r="R80" i="1"/>
  <c r="S80" i="1"/>
  <c r="T80" i="1"/>
  <c r="U80" i="1"/>
  <c r="V80" i="1"/>
  <c r="W80" i="1"/>
  <c r="X80" i="1"/>
  <c r="Y80" i="1"/>
  <c r="Z80" i="1"/>
  <c r="AA80" i="1"/>
  <c r="AB80" i="1"/>
  <c r="L81" i="1"/>
  <c r="M81" i="1"/>
  <c r="N81" i="1"/>
  <c r="O81" i="1"/>
  <c r="P81" i="1"/>
  <c r="Q81" i="1"/>
  <c r="R81" i="1"/>
  <c r="S81" i="1"/>
  <c r="T81" i="1"/>
  <c r="U81" i="1"/>
  <c r="V81" i="1"/>
  <c r="W81" i="1"/>
  <c r="X81" i="1"/>
  <c r="Y81" i="1"/>
  <c r="Z81" i="1"/>
  <c r="AA81" i="1"/>
  <c r="AB81" i="1"/>
  <c r="L82" i="1"/>
  <c r="M82" i="1"/>
  <c r="N82" i="1"/>
  <c r="O82" i="1"/>
  <c r="P82" i="1"/>
  <c r="Q82" i="1"/>
  <c r="R82" i="1"/>
  <c r="S82" i="1"/>
  <c r="T82" i="1"/>
  <c r="U82" i="1"/>
  <c r="V82" i="1"/>
  <c r="W82" i="1"/>
  <c r="X82" i="1"/>
  <c r="Y82" i="1"/>
  <c r="Z82" i="1"/>
  <c r="AA82" i="1"/>
  <c r="AB82" i="1"/>
  <c r="L83" i="1"/>
  <c r="M83" i="1"/>
  <c r="N83" i="1"/>
  <c r="O83" i="1"/>
  <c r="P83" i="1"/>
  <c r="Q83" i="1"/>
  <c r="R83" i="1"/>
  <c r="S83" i="1"/>
  <c r="T83" i="1"/>
  <c r="U83" i="1"/>
  <c r="V83" i="1"/>
  <c r="W83" i="1"/>
  <c r="X83" i="1"/>
  <c r="Y83" i="1"/>
  <c r="Z83" i="1"/>
  <c r="AA83" i="1"/>
  <c r="AB83" i="1"/>
  <c r="L84" i="1"/>
  <c r="M84" i="1"/>
  <c r="N84" i="1"/>
  <c r="O84" i="1"/>
  <c r="P84" i="1"/>
  <c r="Q84" i="1"/>
  <c r="R84" i="1"/>
  <c r="S84" i="1"/>
  <c r="T84" i="1"/>
  <c r="U84" i="1"/>
  <c r="V84" i="1"/>
  <c r="W84" i="1"/>
  <c r="X84" i="1"/>
  <c r="Y84" i="1"/>
  <c r="Z84" i="1"/>
  <c r="AA84" i="1"/>
  <c r="AB84" i="1"/>
  <c r="L85" i="1"/>
  <c r="M85" i="1"/>
  <c r="N85" i="1"/>
  <c r="O85" i="1"/>
  <c r="P85" i="1"/>
  <c r="Q85" i="1"/>
  <c r="R85" i="1"/>
  <c r="S85" i="1"/>
  <c r="T85" i="1"/>
  <c r="U85" i="1"/>
  <c r="V85" i="1"/>
  <c r="W85" i="1"/>
  <c r="X85" i="1"/>
  <c r="Y85" i="1"/>
  <c r="Z85" i="1"/>
  <c r="AA85" i="1"/>
  <c r="AB85" i="1"/>
  <c r="L86" i="1"/>
  <c r="M86" i="1"/>
  <c r="N86" i="1"/>
  <c r="O86" i="1"/>
  <c r="P86" i="1"/>
  <c r="Q86" i="1"/>
  <c r="R86" i="1"/>
  <c r="S86" i="1"/>
  <c r="T86" i="1"/>
  <c r="U86" i="1"/>
  <c r="V86" i="1"/>
  <c r="W86" i="1"/>
  <c r="X86" i="1"/>
  <c r="Y86" i="1"/>
  <c r="Z86" i="1"/>
  <c r="AA86" i="1"/>
  <c r="AB86" i="1"/>
  <c r="L87" i="1"/>
  <c r="M87" i="1"/>
  <c r="N87" i="1"/>
  <c r="O87" i="1"/>
  <c r="P87" i="1"/>
  <c r="Q87" i="1"/>
  <c r="R87" i="1"/>
  <c r="S87" i="1"/>
  <c r="T87" i="1"/>
  <c r="U87" i="1"/>
  <c r="V87" i="1"/>
  <c r="W87" i="1"/>
  <c r="X87" i="1"/>
  <c r="Y87" i="1"/>
  <c r="Z87" i="1"/>
  <c r="AA87" i="1"/>
  <c r="AB87" i="1"/>
  <c r="L88" i="1"/>
  <c r="M88" i="1"/>
  <c r="N88" i="1"/>
  <c r="O88" i="1"/>
  <c r="P88" i="1"/>
  <c r="Q88" i="1"/>
  <c r="R88" i="1"/>
  <c r="S88" i="1"/>
  <c r="T88" i="1"/>
  <c r="U88" i="1"/>
  <c r="V88" i="1"/>
  <c r="W88" i="1"/>
  <c r="X88" i="1"/>
  <c r="Y88" i="1"/>
  <c r="Z88" i="1"/>
  <c r="AA88" i="1"/>
  <c r="AB88" i="1"/>
  <c r="L89" i="1"/>
  <c r="M89" i="1"/>
  <c r="N89" i="1"/>
  <c r="O89" i="1"/>
  <c r="P89" i="1"/>
  <c r="Q89" i="1"/>
  <c r="R89" i="1"/>
  <c r="S89" i="1"/>
  <c r="T89" i="1"/>
  <c r="U89" i="1"/>
  <c r="V89" i="1"/>
  <c r="W89" i="1"/>
  <c r="X89" i="1"/>
  <c r="Y89" i="1"/>
  <c r="Z89" i="1"/>
  <c r="AA89" i="1"/>
  <c r="AB89" i="1"/>
  <c r="L90" i="1"/>
  <c r="M90" i="1"/>
  <c r="N90" i="1"/>
  <c r="O90" i="1"/>
  <c r="P90" i="1"/>
  <c r="Q90" i="1"/>
  <c r="R90" i="1"/>
  <c r="S90" i="1"/>
  <c r="T90" i="1"/>
  <c r="U90" i="1"/>
  <c r="V90" i="1"/>
  <c r="W90" i="1"/>
  <c r="X90" i="1"/>
  <c r="Y90" i="1"/>
  <c r="Z90" i="1"/>
  <c r="AA90" i="1"/>
  <c r="AB90" i="1"/>
  <c r="L91" i="1"/>
  <c r="M91" i="1"/>
  <c r="N91" i="1"/>
  <c r="O91" i="1"/>
  <c r="P91" i="1"/>
  <c r="Q91" i="1"/>
  <c r="R91" i="1"/>
  <c r="S91" i="1"/>
  <c r="T91" i="1"/>
  <c r="U91" i="1"/>
  <c r="V91" i="1"/>
  <c r="W91" i="1"/>
  <c r="X91" i="1"/>
  <c r="Y91" i="1"/>
  <c r="Z91" i="1"/>
  <c r="AA91" i="1"/>
  <c r="AB91" i="1"/>
  <c r="L92" i="1"/>
  <c r="M92" i="1"/>
  <c r="N92" i="1"/>
  <c r="O92" i="1"/>
  <c r="P92" i="1"/>
  <c r="Q92" i="1"/>
  <c r="R92" i="1"/>
  <c r="S92" i="1"/>
  <c r="T92" i="1"/>
  <c r="U92" i="1"/>
  <c r="V92" i="1"/>
  <c r="W92" i="1"/>
  <c r="X92" i="1"/>
  <c r="Y92" i="1"/>
  <c r="Z92" i="1"/>
  <c r="AA92" i="1"/>
  <c r="AB92" i="1"/>
  <c r="L93" i="1"/>
  <c r="M93" i="1"/>
  <c r="N93" i="1"/>
  <c r="O93" i="1"/>
  <c r="P93" i="1"/>
  <c r="Q93" i="1"/>
  <c r="R93" i="1"/>
  <c r="S93" i="1"/>
  <c r="T93" i="1"/>
  <c r="U93" i="1"/>
  <c r="V93" i="1"/>
  <c r="W93" i="1"/>
  <c r="X93" i="1"/>
  <c r="Y93" i="1"/>
  <c r="Z93" i="1"/>
  <c r="AA93" i="1"/>
  <c r="AB93" i="1"/>
  <c r="L94" i="1"/>
  <c r="M94" i="1"/>
  <c r="N94" i="1"/>
  <c r="O94" i="1"/>
  <c r="P94" i="1"/>
  <c r="Q94" i="1"/>
  <c r="R94" i="1"/>
  <c r="S94" i="1"/>
  <c r="T94" i="1"/>
  <c r="U94" i="1"/>
  <c r="V94" i="1"/>
  <c r="W94" i="1"/>
  <c r="X94" i="1"/>
  <c r="Y94" i="1"/>
  <c r="Z94" i="1"/>
  <c r="AA94" i="1"/>
  <c r="AB94" i="1"/>
  <c r="L95" i="1"/>
  <c r="M95" i="1"/>
  <c r="N95" i="1"/>
  <c r="O95" i="1"/>
  <c r="P95" i="1"/>
  <c r="Q95" i="1"/>
  <c r="R95" i="1"/>
  <c r="S95" i="1"/>
  <c r="T95" i="1"/>
  <c r="U95" i="1"/>
  <c r="V95" i="1"/>
  <c r="W95" i="1"/>
  <c r="X95" i="1"/>
  <c r="Y95" i="1"/>
  <c r="Z95" i="1"/>
  <c r="AA95" i="1"/>
  <c r="AB95" i="1"/>
  <c r="L96" i="1"/>
  <c r="M96" i="1"/>
  <c r="N96" i="1"/>
  <c r="O96" i="1"/>
  <c r="P96" i="1"/>
  <c r="Q96" i="1"/>
  <c r="R96" i="1"/>
  <c r="S96" i="1"/>
  <c r="T96" i="1"/>
  <c r="U96" i="1"/>
  <c r="V96" i="1"/>
  <c r="W96" i="1"/>
  <c r="X96" i="1"/>
  <c r="Y96" i="1"/>
  <c r="Z96" i="1"/>
  <c r="AA96" i="1"/>
  <c r="AB96" i="1"/>
  <c r="L97" i="1"/>
  <c r="M97" i="1"/>
  <c r="N97" i="1"/>
  <c r="O97" i="1"/>
  <c r="P97" i="1"/>
  <c r="Q97" i="1"/>
  <c r="R97" i="1"/>
  <c r="S97" i="1"/>
  <c r="T97" i="1"/>
  <c r="U97" i="1"/>
  <c r="V97" i="1"/>
  <c r="W97" i="1"/>
  <c r="X97" i="1"/>
  <c r="Y97" i="1"/>
  <c r="Z97" i="1"/>
  <c r="AA97" i="1"/>
  <c r="AB97" i="1"/>
  <c r="L98" i="1"/>
  <c r="M98" i="1"/>
  <c r="N98" i="1"/>
  <c r="O98" i="1"/>
  <c r="P98" i="1"/>
  <c r="Q98" i="1"/>
  <c r="R98" i="1"/>
  <c r="S98" i="1"/>
  <c r="T98" i="1"/>
  <c r="U98" i="1"/>
  <c r="V98" i="1"/>
  <c r="W98" i="1"/>
  <c r="X98" i="1"/>
  <c r="Y98" i="1"/>
  <c r="Z98" i="1"/>
  <c r="AA98" i="1"/>
  <c r="AB98" i="1"/>
  <c r="L99" i="1"/>
  <c r="M99" i="1"/>
  <c r="N99" i="1"/>
  <c r="O99" i="1"/>
  <c r="P99" i="1"/>
  <c r="Q99" i="1"/>
  <c r="R99" i="1"/>
  <c r="S99" i="1"/>
  <c r="T99" i="1"/>
  <c r="U99" i="1"/>
  <c r="V99" i="1"/>
  <c r="W99" i="1"/>
  <c r="X99" i="1"/>
  <c r="Y99" i="1"/>
  <c r="Z99" i="1"/>
  <c r="AA99" i="1"/>
  <c r="AB99" i="1"/>
  <c r="L100" i="1"/>
  <c r="M100" i="1"/>
  <c r="N100" i="1"/>
  <c r="O100" i="1"/>
  <c r="P100" i="1"/>
  <c r="Q100" i="1"/>
  <c r="R100" i="1"/>
  <c r="S100" i="1"/>
  <c r="T100" i="1"/>
  <c r="U100" i="1"/>
  <c r="V100" i="1"/>
  <c r="W100" i="1"/>
  <c r="X100" i="1"/>
  <c r="Y100" i="1"/>
  <c r="Z100" i="1"/>
  <c r="AA100" i="1"/>
  <c r="AB100" i="1"/>
  <c r="L101" i="1"/>
  <c r="M101" i="1"/>
  <c r="N101" i="1"/>
  <c r="O101" i="1"/>
  <c r="P101" i="1"/>
  <c r="Q101" i="1"/>
  <c r="R101" i="1"/>
  <c r="S101" i="1"/>
  <c r="T101" i="1"/>
  <c r="U101" i="1"/>
  <c r="V101" i="1"/>
  <c r="W101" i="1"/>
  <c r="X101" i="1"/>
  <c r="Y101" i="1"/>
  <c r="Z101" i="1"/>
  <c r="AA101" i="1"/>
  <c r="AB101" i="1"/>
  <c r="L102" i="1"/>
  <c r="M102" i="1"/>
  <c r="N102" i="1"/>
  <c r="O102" i="1"/>
  <c r="P102" i="1"/>
  <c r="Q102" i="1"/>
  <c r="R102" i="1"/>
  <c r="S102" i="1"/>
  <c r="T102" i="1"/>
  <c r="U102" i="1"/>
  <c r="V102" i="1"/>
  <c r="W102" i="1"/>
  <c r="X102" i="1"/>
  <c r="Y102" i="1"/>
  <c r="Z102" i="1"/>
  <c r="AA102" i="1"/>
  <c r="AB102" i="1"/>
  <c r="L103" i="1"/>
  <c r="M103" i="1"/>
  <c r="N103" i="1"/>
  <c r="O103" i="1"/>
  <c r="P103" i="1"/>
  <c r="Q103" i="1"/>
  <c r="R103" i="1"/>
  <c r="S103" i="1"/>
  <c r="T103" i="1"/>
  <c r="U103" i="1"/>
  <c r="V103" i="1"/>
  <c r="W103" i="1"/>
  <c r="X103" i="1"/>
  <c r="Y103" i="1"/>
  <c r="Z103" i="1"/>
  <c r="AA103" i="1"/>
  <c r="AB103" i="1"/>
  <c r="L104" i="1"/>
  <c r="M104" i="1"/>
  <c r="N104" i="1"/>
  <c r="O104" i="1"/>
  <c r="P104" i="1"/>
  <c r="Q104" i="1"/>
  <c r="R104" i="1"/>
  <c r="S104" i="1"/>
  <c r="T104" i="1"/>
  <c r="U104" i="1"/>
  <c r="V104" i="1"/>
  <c r="W104" i="1"/>
  <c r="X104" i="1"/>
  <c r="Y104" i="1"/>
  <c r="Z104" i="1"/>
  <c r="AA104" i="1"/>
  <c r="AB104" i="1"/>
  <c r="L105" i="1"/>
  <c r="M105" i="1"/>
  <c r="N105" i="1"/>
  <c r="O105" i="1"/>
  <c r="P105" i="1"/>
  <c r="Q105" i="1"/>
  <c r="R105" i="1"/>
  <c r="S105" i="1"/>
  <c r="T105" i="1"/>
  <c r="U105" i="1"/>
  <c r="V105" i="1"/>
  <c r="W105" i="1"/>
  <c r="X105" i="1"/>
  <c r="Y105" i="1"/>
  <c r="Z105" i="1"/>
  <c r="AA105" i="1"/>
  <c r="AB105" i="1"/>
  <c r="L106" i="1"/>
  <c r="M106" i="1"/>
  <c r="N106" i="1"/>
  <c r="O106" i="1"/>
  <c r="P106" i="1"/>
  <c r="Q106" i="1"/>
  <c r="R106" i="1"/>
  <c r="S106" i="1"/>
  <c r="T106" i="1"/>
  <c r="U106" i="1"/>
  <c r="V106" i="1"/>
  <c r="W106" i="1"/>
  <c r="X106" i="1"/>
  <c r="Y106" i="1"/>
  <c r="Z106" i="1"/>
  <c r="AA106" i="1"/>
  <c r="AB106" i="1"/>
  <c r="L107" i="1"/>
  <c r="M107" i="1"/>
  <c r="N107" i="1"/>
  <c r="O107" i="1"/>
  <c r="P107" i="1"/>
  <c r="Q107" i="1"/>
  <c r="R107" i="1"/>
  <c r="S107" i="1"/>
  <c r="T107" i="1"/>
  <c r="U107" i="1"/>
  <c r="V107" i="1"/>
  <c r="W107" i="1"/>
  <c r="X107" i="1"/>
  <c r="Y107" i="1"/>
  <c r="Z107" i="1"/>
  <c r="AA107" i="1"/>
  <c r="AB107" i="1"/>
  <c r="L108" i="1"/>
  <c r="M108" i="1"/>
  <c r="N108" i="1"/>
  <c r="O108" i="1"/>
  <c r="P108" i="1"/>
  <c r="Q108" i="1"/>
  <c r="R108" i="1"/>
  <c r="S108" i="1"/>
  <c r="T108" i="1"/>
  <c r="U108" i="1"/>
  <c r="V108" i="1"/>
  <c r="W108" i="1"/>
  <c r="X108" i="1"/>
  <c r="Y108" i="1"/>
  <c r="Z108" i="1"/>
  <c r="AA108" i="1"/>
  <c r="AB108" i="1"/>
  <c r="L109" i="1"/>
  <c r="M109" i="1"/>
  <c r="N109" i="1"/>
  <c r="O109" i="1"/>
  <c r="P109" i="1"/>
  <c r="Q109" i="1"/>
  <c r="R109" i="1"/>
  <c r="S109" i="1"/>
  <c r="T109" i="1"/>
  <c r="U109" i="1"/>
  <c r="V109" i="1"/>
  <c r="W109" i="1"/>
  <c r="X109" i="1"/>
  <c r="Y109" i="1"/>
  <c r="Z109" i="1"/>
  <c r="AA109" i="1"/>
  <c r="AB109" i="1"/>
  <c r="L110" i="1"/>
  <c r="M110" i="1"/>
  <c r="N110" i="1"/>
  <c r="O110" i="1"/>
  <c r="P110" i="1"/>
  <c r="Q110" i="1"/>
  <c r="R110" i="1"/>
  <c r="S110" i="1"/>
  <c r="T110" i="1"/>
  <c r="U110" i="1"/>
  <c r="V110" i="1"/>
  <c r="W110" i="1"/>
  <c r="X110" i="1"/>
  <c r="Y110" i="1"/>
  <c r="Z110" i="1"/>
  <c r="AA110" i="1"/>
  <c r="AB110" i="1"/>
  <c r="L111" i="1"/>
  <c r="M111" i="1"/>
  <c r="N111" i="1"/>
  <c r="O111" i="1"/>
  <c r="P111" i="1"/>
  <c r="Q111" i="1"/>
  <c r="R111" i="1"/>
  <c r="S111" i="1"/>
  <c r="T111" i="1"/>
  <c r="U111" i="1"/>
  <c r="V111" i="1"/>
  <c r="W111" i="1"/>
  <c r="X111" i="1"/>
  <c r="Y111" i="1"/>
  <c r="Z111" i="1"/>
  <c r="AA111" i="1"/>
  <c r="AB111" i="1"/>
  <c r="L112" i="1"/>
  <c r="M112" i="1"/>
  <c r="N112" i="1"/>
  <c r="O112" i="1"/>
  <c r="P112" i="1"/>
  <c r="Q112" i="1"/>
  <c r="R112" i="1"/>
  <c r="S112" i="1"/>
  <c r="T112" i="1"/>
  <c r="U112" i="1"/>
  <c r="V112" i="1"/>
  <c r="W112" i="1"/>
  <c r="X112" i="1"/>
  <c r="Y112" i="1"/>
  <c r="Z112" i="1"/>
  <c r="AA112" i="1"/>
  <c r="AB112" i="1"/>
  <c r="L113" i="1"/>
  <c r="M113" i="1"/>
  <c r="N113" i="1"/>
  <c r="O113" i="1"/>
  <c r="P113" i="1"/>
  <c r="Q113" i="1"/>
  <c r="R113" i="1"/>
  <c r="S113" i="1"/>
  <c r="T113" i="1"/>
  <c r="U113" i="1"/>
  <c r="V113" i="1"/>
  <c r="W113" i="1"/>
  <c r="X113" i="1"/>
  <c r="Y113" i="1"/>
  <c r="Z113" i="1"/>
  <c r="AA113" i="1"/>
  <c r="AB113" i="1"/>
  <c r="L114" i="1"/>
  <c r="M114" i="1"/>
  <c r="N114" i="1"/>
  <c r="O114" i="1"/>
  <c r="P114" i="1"/>
  <c r="Q114" i="1"/>
  <c r="R114" i="1"/>
  <c r="S114" i="1"/>
  <c r="T114" i="1"/>
  <c r="U114" i="1"/>
  <c r="V114" i="1"/>
  <c r="W114" i="1"/>
  <c r="X114" i="1"/>
  <c r="Y114" i="1"/>
  <c r="Z114" i="1"/>
  <c r="AA114" i="1"/>
  <c r="AB114" i="1"/>
  <c r="L115" i="1"/>
  <c r="M115" i="1"/>
  <c r="N115" i="1"/>
  <c r="O115" i="1"/>
  <c r="P115" i="1"/>
  <c r="Q115" i="1"/>
  <c r="R115" i="1"/>
  <c r="S115" i="1"/>
  <c r="T115" i="1"/>
  <c r="U115" i="1"/>
  <c r="V115" i="1"/>
  <c r="W115" i="1"/>
  <c r="X115" i="1"/>
  <c r="Y115" i="1"/>
  <c r="Z115" i="1"/>
  <c r="AA115" i="1"/>
  <c r="AB115" i="1"/>
  <c r="L116" i="1"/>
  <c r="M116" i="1"/>
  <c r="N116" i="1"/>
  <c r="O116" i="1"/>
  <c r="P116" i="1"/>
  <c r="Q116" i="1"/>
  <c r="R116" i="1"/>
  <c r="S116" i="1"/>
  <c r="T116" i="1"/>
  <c r="U116" i="1"/>
  <c r="V116" i="1"/>
  <c r="W116" i="1"/>
  <c r="X116" i="1"/>
  <c r="Y116" i="1"/>
  <c r="Z116" i="1"/>
  <c r="AA116" i="1"/>
  <c r="AB116" i="1"/>
  <c r="L117" i="1"/>
  <c r="M117" i="1"/>
  <c r="N117" i="1"/>
  <c r="O117" i="1"/>
  <c r="P117" i="1"/>
  <c r="Q117" i="1"/>
  <c r="R117" i="1"/>
  <c r="S117" i="1"/>
  <c r="T117" i="1"/>
  <c r="U117" i="1"/>
  <c r="V117" i="1"/>
  <c r="W117" i="1"/>
  <c r="X117" i="1"/>
  <c r="Y117" i="1"/>
  <c r="Z117" i="1"/>
  <c r="AA117" i="1"/>
  <c r="AB117" i="1"/>
  <c r="L118" i="1"/>
  <c r="M118" i="1"/>
  <c r="N118" i="1"/>
  <c r="O118" i="1"/>
  <c r="P118" i="1"/>
  <c r="Q118" i="1"/>
  <c r="R118" i="1"/>
  <c r="S118" i="1"/>
  <c r="T118" i="1"/>
  <c r="U118" i="1"/>
  <c r="V118" i="1"/>
  <c r="W118" i="1"/>
  <c r="X118" i="1"/>
  <c r="Y118" i="1"/>
  <c r="Z118" i="1"/>
  <c r="AA118" i="1"/>
  <c r="AB118" i="1"/>
  <c r="L119" i="1"/>
  <c r="M119" i="1"/>
  <c r="N119" i="1"/>
  <c r="O119" i="1"/>
  <c r="P119" i="1"/>
  <c r="Q119" i="1"/>
  <c r="R119" i="1"/>
  <c r="S119" i="1"/>
  <c r="T119" i="1"/>
  <c r="U119" i="1"/>
  <c r="V119" i="1"/>
  <c r="W119" i="1"/>
  <c r="X119" i="1"/>
  <c r="Y119" i="1"/>
  <c r="Z119" i="1"/>
  <c r="AA119" i="1"/>
  <c r="AB119" i="1"/>
  <c r="L120" i="1"/>
  <c r="M120" i="1"/>
  <c r="N120" i="1"/>
  <c r="O120" i="1"/>
  <c r="P120" i="1"/>
  <c r="Q120" i="1"/>
  <c r="R120" i="1"/>
  <c r="S120" i="1"/>
  <c r="T120" i="1"/>
  <c r="U120" i="1"/>
  <c r="V120" i="1"/>
  <c r="W120" i="1"/>
  <c r="X120" i="1"/>
  <c r="Y120" i="1"/>
  <c r="Z120" i="1"/>
  <c r="AA120" i="1"/>
  <c r="AB120" i="1"/>
  <c r="L121" i="1"/>
  <c r="M121" i="1"/>
  <c r="N121" i="1"/>
  <c r="O121" i="1"/>
  <c r="P121" i="1"/>
  <c r="Q121" i="1"/>
  <c r="R121" i="1"/>
  <c r="S121" i="1"/>
  <c r="T121" i="1"/>
  <c r="U121" i="1"/>
  <c r="V121" i="1"/>
  <c r="W121" i="1"/>
  <c r="X121" i="1"/>
  <c r="Y121" i="1"/>
  <c r="Z121" i="1"/>
  <c r="AA121" i="1"/>
  <c r="AB121" i="1"/>
  <c r="L122" i="1"/>
  <c r="M122" i="1"/>
  <c r="N122" i="1"/>
  <c r="O122" i="1"/>
  <c r="P122" i="1"/>
  <c r="Q122" i="1"/>
  <c r="R122" i="1"/>
  <c r="S122" i="1"/>
  <c r="T122" i="1"/>
  <c r="U122" i="1"/>
  <c r="V122" i="1"/>
  <c r="W122" i="1"/>
  <c r="X122" i="1"/>
  <c r="Y122" i="1"/>
  <c r="Z122" i="1"/>
  <c r="AA122" i="1"/>
  <c r="AB122" i="1"/>
  <c r="L123" i="1"/>
  <c r="M123" i="1"/>
  <c r="N123" i="1"/>
  <c r="O123" i="1"/>
  <c r="P123" i="1"/>
  <c r="Q123" i="1"/>
  <c r="R123" i="1"/>
  <c r="S123" i="1"/>
  <c r="T123" i="1"/>
  <c r="U123" i="1"/>
  <c r="V123" i="1"/>
  <c r="W123" i="1"/>
  <c r="X123" i="1"/>
  <c r="Y123" i="1"/>
  <c r="Z123" i="1"/>
  <c r="AA123" i="1"/>
  <c r="AB123" i="1"/>
  <c r="L124" i="1"/>
  <c r="M124" i="1"/>
  <c r="N124" i="1"/>
  <c r="O124" i="1"/>
  <c r="P124" i="1"/>
  <c r="Q124" i="1"/>
  <c r="R124" i="1"/>
  <c r="S124" i="1"/>
  <c r="T124" i="1"/>
  <c r="U124" i="1"/>
  <c r="V124" i="1"/>
  <c r="W124" i="1"/>
  <c r="X124" i="1"/>
  <c r="Y124" i="1"/>
  <c r="Z124" i="1"/>
  <c r="AA124" i="1"/>
  <c r="AB124" i="1"/>
  <c r="L125" i="1"/>
  <c r="M125" i="1"/>
  <c r="N125" i="1"/>
  <c r="O125" i="1"/>
  <c r="P125" i="1"/>
  <c r="Q125" i="1"/>
  <c r="R125" i="1"/>
  <c r="S125" i="1"/>
  <c r="T125" i="1"/>
  <c r="U125" i="1"/>
  <c r="V125" i="1"/>
  <c r="W125" i="1"/>
  <c r="X125" i="1"/>
  <c r="Y125" i="1"/>
  <c r="Z125" i="1"/>
  <c r="AA125" i="1"/>
  <c r="AB125" i="1"/>
  <c r="L126" i="1"/>
  <c r="M126" i="1"/>
  <c r="N126" i="1"/>
  <c r="O126" i="1"/>
  <c r="P126" i="1"/>
  <c r="Q126" i="1"/>
  <c r="R126" i="1"/>
  <c r="S126" i="1"/>
  <c r="T126" i="1"/>
  <c r="U126" i="1"/>
  <c r="V126" i="1"/>
  <c r="W126" i="1"/>
  <c r="X126" i="1"/>
  <c r="Y126" i="1"/>
  <c r="Z126" i="1"/>
  <c r="AA126" i="1"/>
  <c r="AB126" i="1"/>
  <c r="L127" i="1"/>
  <c r="M127" i="1"/>
  <c r="N127" i="1"/>
  <c r="O127" i="1"/>
  <c r="P127" i="1"/>
  <c r="Q127" i="1"/>
  <c r="R127" i="1"/>
  <c r="S127" i="1"/>
  <c r="T127" i="1"/>
  <c r="U127" i="1"/>
  <c r="V127" i="1"/>
  <c r="W127" i="1"/>
  <c r="X127" i="1"/>
  <c r="Y127" i="1"/>
  <c r="Z127" i="1"/>
  <c r="AA127" i="1"/>
  <c r="AB127" i="1"/>
  <c r="L128" i="1"/>
  <c r="M128" i="1"/>
  <c r="N128" i="1"/>
  <c r="O128" i="1"/>
  <c r="P128" i="1"/>
  <c r="Q128" i="1"/>
  <c r="R128" i="1"/>
  <c r="S128" i="1"/>
  <c r="T128" i="1"/>
  <c r="U128" i="1"/>
  <c r="V128" i="1"/>
  <c r="W128" i="1"/>
  <c r="X128" i="1"/>
  <c r="Y128" i="1"/>
  <c r="Z128" i="1"/>
  <c r="AA128" i="1"/>
  <c r="AB128" i="1"/>
  <c r="L129" i="1"/>
  <c r="M129" i="1"/>
  <c r="N129" i="1"/>
  <c r="O129" i="1"/>
  <c r="P129" i="1"/>
  <c r="Q129" i="1"/>
  <c r="R129" i="1"/>
  <c r="S129" i="1"/>
  <c r="T129" i="1"/>
  <c r="U129" i="1"/>
  <c r="V129" i="1"/>
  <c r="W129" i="1"/>
  <c r="X129" i="1"/>
  <c r="Y129" i="1"/>
  <c r="Z129" i="1"/>
  <c r="AA129" i="1"/>
  <c r="AB129" i="1"/>
  <c r="L130" i="1"/>
  <c r="M130" i="1"/>
  <c r="N130" i="1"/>
  <c r="O130" i="1"/>
  <c r="P130" i="1"/>
  <c r="Q130" i="1"/>
  <c r="R130" i="1"/>
  <c r="S130" i="1"/>
  <c r="T130" i="1"/>
  <c r="U130" i="1"/>
  <c r="V130" i="1"/>
  <c r="W130" i="1"/>
  <c r="X130" i="1"/>
  <c r="Y130" i="1"/>
  <c r="Z130" i="1"/>
  <c r="AA130" i="1"/>
  <c r="AB130" i="1"/>
  <c r="L131" i="1"/>
  <c r="M131" i="1"/>
  <c r="N131" i="1"/>
  <c r="O131" i="1"/>
  <c r="P131" i="1"/>
  <c r="Q131" i="1"/>
  <c r="R131" i="1"/>
  <c r="S131" i="1"/>
  <c r="T131" i="1"/>
  <c r="U131" i="1"/>
  <c r="V131" i="1"/>
  <c r="W131" i="1"/>
  <c r="X131" i="1"/>
  <c r="Y131" i="1"/>
  <c r="Z131" i="1"/>
  <c r="AA131" i="1"/>
  <c r="AB131" i="1"/>
  <c r="L132" i="1"/>
  <c r="M132" i="1"/>
  <c r="N132" i="1"/>
  <c r="O132" i="1"/>
  <c r="P132" i="1"/>
  <c r="Q132" i="1"/>
  <c r="R132" i="1"/>
  <c r="S132" i="1"/>
  <c r="T132" i="1"/>
  <c r="U132" i="1"/>
  <c r="V132" i="1"/>
  <c r="W132" i="1"/>
  <c r="X132" i="1"/>
  <c r="Y132" i="1"/>
  <c r="Z132" i="1"/>
  <c r="AA132" i="1"/>
  <c r="AB132" i="1"/>
  <c r="L133" i="1"/>
  <c r="M133" i="1"/>
  <c r="N133" i="1"/>
  <c r="O133" i="1"/>
  <c r="P133" i="1"/>
  <c r="Q133" i="1"/>
  <c r="R133" i="1"/>
  <c r="S133" i="1"/>
  <c r="T133" i="1"/>
  <c r="U133" i="1"/>
  <c r="V133" i="1"/>
  <c r="W133" i="1"/>
  <c r="X133" i="1"/>
  <c r="Y133" i="1"/>
  <c r="Z133" i="1"/>
  <c r="AA133" i="1"/>
  <c r="AB133" i="1"/>
  <c r="L134" i="1"/>
  <c r="M134" i="1"/>
  <c r="N134" i="1"/>
  <c r="O134" i="1"/>
  <c r="P134" i="1"/>
  <c r="Q134" i="1"/>
  <c r="R134" i="1"/>
  <c r="S134" i="1"/>
  <c r="T134" i="1"/>
  <c r="U134" i="1"/>
  <c r="V134" i="1"/>
  <c r="W134" i="1"/>
  <c r="X134" i="1"/>
  <c r="Y134" i="1"/>
  <c r="Z134" i="1"/>
  <c r="AA134" i="1"/>
  <c r="AB134" i="1"/>
  <c r="L135" i="1"/>
  <c r="M135" i="1"/>
  <c r="N135" i="1"/>
  <c r="O135" i="1"/>
  <c r="P135" i="1"/>
  <c r="Q135" i="1"/>
  <c r="R135" i="1"/>
  <c r="S135" i="1"/>
  <c r="T135" i="1"/>
  <c r="U135" i="1"/>
  <c r="V135" i="1"/>
  <c r="W135" i="1"/>
  <c r="X135" i="1"/>
  <c r="Y135" i="1"/>
  <c r="Z135" i="1"/>
  <c r="AA135" i="1"/>
  <c r="AB135" i="1"/>
  <c r="L136" i="1"/>
  <c r="M136" i="1"/>
  <c r="N136" i="1"/>
  <c r="O136" i="1"/>
  <c r="P136" i="1"/>
  <c r="Q136" i="1"/>
  <c r="R136" i="1"/>
  <c r="S136" i="1"/>
  <c r="T136" i="1"/>
  <c r="U136" i="1"/>
  <c r="V136" i="1"/>
  <c r="W136" i="1"/>
  <c r="X136" i="1"/>
  <c r="Y136" i="1"/>
  <c r="Z136" i="1"/>
  <c r="AA136" i="1"/>
  <c r="AB136" i="1"/>
  <c r="L137" i="1"/>
  <c r="M137" i="1"/>
  <c r="N137" i="1"/>
  <c r="O137" i="1"/>
  <c r="P137" i="1"/>
  <c r="Q137" i="1"/>
  <c r="R137" i="1"/>
  <c r="S137" i="1"/>
  <c r="T137" i="1"/>
  <c r="U137" i="1"/>
  <c r="V137" i="1"/>
  <c r="W137" i="1"/>
  <c r="X137" i="1"/>
  <c r="Y137" i="1"/>
  <c r="Z137" i="1"/>
  <c r="AA137" i="1"/>
  <c r="AB137" i="1"/>
  <c r="L138" i="1"/>
  <c r="M138" i="1"/>
  <c r="N138" i="1"/>
  <c r="O138" i="1"/>
  <c r="P138" i="1"/>
  <c r="Q138" i="1"/>
  <c r="R138" i="1"/>
  <c r="S138" i="1"/>
  <c r="T138" i="1"/>
  <c r="U138" i="1"/>
  <c r="V138" i="1"/>
  <c r="W138" i="1"/>
  <c r="X138" i="1"/>
  <c r="Y138" i="1"/>
  <c r="Z138" i="1"/>
  <c r="AA138" i="1"/>
  <c r="AB138" i="1"/>
  <c r="L139" i="1"/>
  <c r="M139" i="1"/>
  <c r="N139" i="1"/>
  <c r="O139" i="1"/>
  <c r="P139" i="1"/>
  <c r="Q139" i="1"/>
  <c r="R139" i="1"/>
  <c r="S139" i="1"/>
  <c r="T139" i="1"/>
  <c r="U139" i="1"/>
  <c r="V139" i="1"/>
  <c r="W139" i="1"/>
  <c r="X139" i="1"/>
  <c r="Y139" i="1"/>
  <c r="Z139" i="1"/>
  <c r="AA139" i="1"/>
  <c r="AB139" i="1"/>
  <c r="L140" i="1"/>
  <c r="M140" i="1"/>
  <c r="N140" i="1"/>
  <c r="O140" i="1"/>
  <c r="P140" i="1"/>
  <c r="Q140" i="1"/>
  <c r="R140" i="1"/>
  <c r="S140" i="1"/>
  <c r="T140" i="1"/>
  <c r="U140" i="1"/>
  <c r="V140" i="1"/>
  <c r="W140" i="1"/>
  <c r="X140" i="1"/>
  <c r="Y140" i="1"/>
  <c r="Z140" i="1"/>
  <c r="AA140" i="1"/>
  <c r="AB140" i="1"/>
  <c r="L141" i="1"/>
  <c r="M141" i="1"/>
  <c r="N141" i="1"/>
  <c r="O141" i="1"/>
  <c r="P141" i="1"/>
  <c r="Q141" i="1"/>
  <c r="R141" i="1"/>
  <c r="S141" i="1"/>
  <c r="T141" i="1"/>
  <c r="U141" i="1"/>
  <c r="V141" i="1"/>
  <c r="W141" i="1"/>
  <c r="X141" i="1"/>
  <c r="Y141" i="1"/>
  <c r="Z141" i="1"/>
  <c r="AA141" i="1"/>
  <c r="AB141" i="1"/>
  <c r="L142" i="1"/>
  <c r="M142" i="1"/>
  <c r="N142" i="1"/>
  <c r="O142" i="1"/>
  <c r="P142" i="1"/>
  <c r="Q142" i="1"/>
  <c r="R142" i="1"/>
  <c r="S142" i="1"/>
  <c r="T142" i="1"/>
  <c r="U142" i="1"/>
  <c r="V142" i="1"/>
  <c r="W142" i="1"/>
  <c r="X142" i="1"/>
  <c r="Y142" i="1"/>
  <c r="Z142" i="1"/>
  <c r="AA142" i="1"/>
  <c r="AB142" i="1"/>
  <c r="L143" i="1"/>
  <c r="M143" i="1"/>
  <c r="N143" i="1"/>
  <c r="O143" i="1"/>
  <c r="P143" i="1"/>
  <c r="Q143" i="1"/>
  <c r="R143" i="1"/>
  <c r="S143" i="1"/>
  <c r="T143" i="1"/>
  <c r="U143" i="1"/>
  <c r="V143" i="1"/>
  <c r="W143" i="1"/>
  <c r="X143" i="1"/>
  <c r="Y143" i="1"/>
  <c r="Z143" i="1"/>
  <c r="AA143" i="1"/>
  <c r="AB143" i="1"/>
  <c r="L144" i="1"/>
  <c r="M144" i="1"/>
  <c r="N144" i="1"/>
  <c r="O144" i="1"/>
  <c r="P144" i="1"/>
  <c r="Q144" i="1"/>
  <c r="R144" i="1"/>
  <c r="S144" i="1"/>
  <c r="T144" i="1"/>
  <c r="U144" i="1"/>
  <c r="V144" i="1"/>
  <c r="W144" i="1"/>
  <c r="X144" i="1"/>
  <c r="Y144" i="1"/>
  <c r="Z144" i="1"/>
  <c r="AA144" i="1"/>
  <c r="AB144" i="1"/>
  <c r="L145" i="1"/>
  <c r="M145" i="1"/>
  <c r="N145" i="1"/>
  <c r="O145" i="1"/>
  <c r="P145" i="1"/>
  <c r="Q145" i="1"/>
  <c r="R145" i="1"/>
  <c r="S145" i="1"/>
  <c r="T145" i="1"/>
  <c r="U145" i="1"/>
  <c r="V145" i="1"/>
  <c r="W145" i="1"/>
  <c r="X145" i="1"/>
  <c r="Y145" i="1"/>
  <c r="Z145" i="1"/>
  <c r="AA145" i="1"/>
  <c r="AB145" i="1"/>
  <c r="L146" i="1"/>
  <c r="M146" i="1"/>
  <c r="N146" i="1"/>
  <c r="O146" i="1"/>
  <c r="P146" i="1"/>
  <c r="Q146" i="1"/>
  <c r="R146" i="1"/>
  <c r="S146" i="1"/>
  <c r="T146" i="1"/>
  <c r="U146" i="1"/>
  <c r="V146" i="1"/>
  <c r="W146" i="1"/>
  <c r="X146" i="1"/>
  <c r="Y146" i="1"/>
  <c r="Z146" i="1"/>
  <c r="AA146" i="1"/>
  <c r="AB146" i="1"/>
  <c r="L147" i="1"/>
  <c r="M147" i="1"/>
  <c r="N147" i="1"/>
  <c r="O147" i="1"/>
  <c r="P147" i="1"/>
  <c r="Q147" i="1"/>
  <c r="R147" i="1"/>
  <c r="S147" i="1"/>
  <c r="T147" i="1"/>
  <c r="U147" i="1"/>
  <c r="V147" i="1"/>
  <c r="W147" i="1"/>
  <c r="X147" i="1"/>
  <c r="Y147" i="1"/>
  <c r="Z147" i="1"/>
  <c r="AA147" i="1"/>
  <c r="AB147" i="1"/>
  <c r="L148" i="1"/>
  <c r="M148" i="1"/>
  <c r="N148" i="1"/>
  <c r="O148" i="1"/>
  <c r="P148" i="1"/>
  <c r="Q148" i="1"/>
  <c r="R148" i="1"/>
  <c r="S148" i="1"/>
  <c r="T148" i="1"/>
  <c r="U148" i="1"/>
  <c r="V148" i="1"/>
  <c r="W148" i="1"/>
  <c r="X148" i="1"/>
  <c r="Y148" i="1"/>
  <c r="Z148" i="1"/>
  <c r="AA148" i="1"/>
  <c r="AB148" i="1"/>
  <c r="L149" i="1"/>
  <c r="M149" i="1"/>
  <c r="N149" i="1"/>
  <c r="O149" i="1"/>
  <c r="P149" i="1"/>
  <c r="Q149" i="1"/>
  <c r="R149" i="1"/>
  <c r="S149" i="1"/>
  <c r="T149" i="1"/>
  <c r="U149" i="1"/>
  <c r="V149" i="1"/>
  <c r="W149" i="1"/>
  <c r="X149" i="1"/>
  <c r="Y149" i="1"/>
  <c r="Z149" i="1"/>
  <c r="AA149" i="1"/>
  <c r="AB149" i="1"/>
  <c r="L150" i="1"/>
  <c r="M150" i="1"/>
  <c r="N150" i="1"/>
  <c r="O150" i="1"/>
  <c r="P150" i="1"/>
  <c r="Q150" i="1"/>
  <c r="R150" i="1"/>
  <c r="S150" i="1"/>
  <c r="T150" i="1"/>
  <c r="U150" i="1"/>
  <c r="V150" i="1"/>
  <c r="W150" i="1"/>
  <c r="X150" i="1"/>
  <c r="Y150" i="1"/>
  <c r="Z150" i="1"/>
  <c r="AA150" i="1"/>
  <c r="AB150" i="1"/>
  <c r="L151" i="1"/>
  <c r="M151" i="1"/>
  <c r="N151" i="1"/>
  <c r="O151" i="1"/>
  <c r="P151" i="1"/>
  <c r="Q151" i="1"/>
  <c r="R151" i="1"/>
  <c r="S151" i="1"/>
  <c r="T151" i="1"/>
  <c r="U151" i="1"/>
  <c r="V151" i="1"/>
  <c r="W151" i="1"/>
  <c r="X151" i="1"/>
  <c r="Y151" i="1"/>
  <c r="Z151" i="1"/>
  <c r="AA151" i="1"/>
  <c r="AB151" i="1"/>
  <c r="L152" i="1"/>
  <c r="M152" i="1"/>
  <c r="N152" i="1"/>
  <c r="O152" i="1"/>
  <c r="P152" i="1"/>
  <c r="Q152" i="1"/>
  <c r="R152" i="1"/>
  <c r="S152" i="1"/>
  <c r="T152" i="1"/>
  <c r="U152" i="1"/>
  <c r="V152" i="1"/>
  <c r="W152" i="1"/>
  <c r="X152" i="1"/>
  <c r="Y152" i="1"/>
  <c r="Z152" i="1"/>
  <c r="AA152" i="1"/>
  <c r="AB152" i="1"/>
  <c r="L153" i="1"/>
  <c r="M153" i="1"/>
  <c r="N153" i="1"/>
  <c r="O153" i="1"/>
  <c r="P153" i="1"/>
  <c r="Q153" i="1"/>
  <c r="R153" i="1"/>
  <c r="S153" i="1"/>
  <c r="T153" i="1"/>
  <c r="U153" i="1"/>
  <c r="V153" i="1"/>
  <c r="W153" i="1"/>
  <c r="X153" i="1"/>
  <c r="Y153" i="1"/>
  <c r="Z153" i="1"/>
  <c r="AA153" i="1"/>
  <c r="AB153" i="1"/>
  <c r="L154" i="1"/>
  <c r="M154" i="1"/>
  <c r="N154" i="1"/>
  <c r="O154" i="1"/>
  <c r="P154" i="1"/>
  <c r="Q154" i="1"/>
  <c r="R154" i="1"/>
  <c r="S154" i="1"/>
  <c r="T154" i="1"/>
  <c r="U154" i="1"/>
  <c r="V154" i="1"/>
  <c r="W154" i="1"/>
  <c r="X154" i="1"/>
  <c r="Y154" i="1"/>
  <c r="Z154" i="1"/>
  <c r="AA154" i="1"/>
  <c r="AB154" i="1"/>
  <c r="L155" i="1"/>
  <c r="M155" i="1"/>
  <c r="N155" i="1"/>
  <c r="O155" i="1"/>
  <c r="P155" i="1"/>
  <c r="Q155" i="1"/>
  <c r="R155" i="1"/>
  <c r="S155" i="1"/>
  <c r="T155" i="1"/>
  <c r="U155" i="1"/>
  <c r="V155" i="1"/>
  <c r="W155" i="1"/>
  <c r="X155" i="1"/>
  <c r="Y155" i="1"/>
  <c r="Z155" i="1"/>
  <c r="AA155" i="1"/>
  <c r="AB155" i="1"/>
  <c r="L156" i="1"/>
  <c r="M156" i="1"/>
  <c r="N156" i="1"/>
  <c r="O156" i="1"/>
  <c r="P156" i="1"/>
  <c r="Q156" i="1"/>
  <c r="R156" i="1"/>
  <c r="S156" i="1"/>
  <c r="T156" i="1"/>
  <c r="U156" i="1"/>
  <c r="V156" i="1"/>
  <c r="W156" i="1"/>
  <c r="X156" i="1"/>
  <c r="Y156" i="1"/>
  <c r="Z156" i="1"/>
  <c r="AA156" i="1"/>
  <c r="AB156" i="1"/>
  <c r="L157" i="1"/>
  <c r="M157" i="1"/>
  <c r="N157" i="1"/>
  <c r="O157" i="1"/>
  <c r="P157" i="1"/>
  <c r="Q157" i="1"/>
  <c r="R157" i="1"/>
  <c r="S157" i="1"/>
  <c r="T157" i="1"/>
  <c r="U157" i="1"/>
  <c r="V157" i="1"/>
  <c r="W157" i="1"/>
  <c r="X157" i="1"/>
  <c r="Y157" i="1"/>
  <c r="Z157" i="1"/>
  <c r="AA157" i="1"/>
  <c r="AB157" i="1"/>
  <c r="L158" i="1"/>
  <c r="M158" i="1"/>
  <c r="N158" i="1"/>
  <c r="O158" i="1"/>
  <c r="P158" i="1"/>
  <c r="Q158" i="1"/>
  <c r="R158" i="1"/>
  <c r="S158" i="1"/>
  <c r="T158" i="1"/>
  <c r="U158" i="1"/>
  <c r="V158" i="1"/>
  <c r="W158" i="1"/>
  <c r="X158" i="1"/>
  <c r="Y158" i="1"/>
  <c r="Z158" i="1"/>
  <c r="AA158" i="1"/>
  <c r="AB158" i="1"/>
  <c r="L159" i="1"/>
  <c r="M159" i="1"/>
  <c r="N159" i="1"/>
  <c r="O159" i="1"/>
  <c r="P159" i="1"/>
  <c r="Q159" i="1"/>
  <c r="R159" i="1"/>
  <c r="S159" i="1"/>
  <c r="T159" i="1"/>
  <c r="U159" i="1"/>
  <c r="V159" i="1"/>
  <c r="W159" i="1"/>
  <c r="X159" i="1"/>
  <c r="Y159" i="1"/>
  <c r="Z159" i="1"/>
  <c r="AA159" i="1"/>
  <c r="AB159" i="1"/>
  <c r="L160" i="1"/>
  <c r="M160" i="1"/>
  <c r="N160" i="1"/>
  <c r="O160" i="1"/>
  <c r="P160" i="1"/>
  <c r="Q160" i="1"/>
  <c r="R160" i="1"/>
  <c r="S160" i="1"/>
  <c r="T160" i="1"/>
  <c r="U160" i="1"/>
  <c r="V160" i="1"/>
  <c r="W160" i="1"/>
  <c r="X160" i="1"/>
  <c r="Y160" i="1"/>
  <c r="Z160" i="1"/>
  <c r="AA160" i="1"/>
  <c r="AB160" i="1"/>
  <c r="L161" i="1"/>
  <c r="M161" i="1"/>
  <c r="N161" i="1"/>
  <c r="O161" i="1"/>
  <c r="P161" i="1"/>
  <c r="Q161" i="1"/>
  <c r="R161" i="1"/>
  <c r="S161" i="1"/>
  <c r="T161" i="1"/>
  <c r="U161" i="1"/>
  <c r="V161" i="1"/>
  <c r="W161" i="1"/>
  <c r="X161" i="1"/>
  <c r="Y161" i="1"/>
  <c r="Z161" i="1"/>
  <c r="AA161" i="1"/>
  <c r="AB161" i="1"/>
  <c r="L162" i="1"/>
  <c r="M162" i="1"/>
  <c r="N162" i="1"/>
  <c r="O162" i="1"/>
  <c r="P162" i="1"/>
  <c r="Q162" i="1"/>
  <c r="R162" i="1"/>
  <c r="S162" i="1"/>
  <c r="T162" i="1"/>
  <c r="U162" i="1"/>
  <c r="V162" i="1"/>
  <c r="W162" i="1"/>
  <c r="X162" i="1"/>
  <c r="Y162" i="1"/>
  <c r="Z162" i="1"/>
  <c r="AA162" i="1"/>
  <c r="AB162" i="1"/>
  <c r="L163" i="1"/>
  <c r="M163" i="1"/>
  <c r="N163" i="1"/>
  <c r="O163" i="1"/>
  <c r="P163" i="1"/>
  <c r="Q163" i="1"/>
  <c r="R163" i="1"/>
  <c r="S163" i="1"/>
  <c r="T163" i="1"/>
  <c r="U163" i="1"/>
  <c r="V163" i="1"/>
  <c r="W163" i="1"/>
  <c r="X163" i="1"/>
  <c r="Y163" i="1"/>
  <c r="Z163" i="1"/>
  <c r="AA163" i="1"/>
  <c r="AB163" i="1"/>
  <c r="L164" i="1"/>
  <c r="M164" i="1"/>
  <c r="N164" i="1"/>
  <c r="O164" i="1"/>
  <c r="P164" i="1"/>
  <c r="Q164" i="1"/>
  <c r="R164" i="1"/>
  <c r="S164" i="1"/>
  <c r="T164" i="1"/>
  <c r="U164" i="1"/>
  <c r="V164" i="1"/>
  <c r="W164" i="1"/>
  <c r="X164" i="1"/>
  <c r="Y164" i="1"/>
  <c r="Z164" i="1"/>
  <c r="AA164" i="1"/>
  <c r="AB164" i="1"/>
  <c r="L165" i="1"/>
  <c r="M165" i="1"/>
  <c r="N165" i="1"/>
  <c r="O165" i="1"/>
  <c r="P165" i="1"/>
  <c r="Q165" i="1"/>
  <c r="R165" i="1"/>
  <c r="S165" i="1"/>
  <c r="T165" i="1"/>
  <c r="U165" i="1"/>
  <c r="V165" i="1"/>
  <c r="W165" i="1"/>
  <c r="X165" i="1"/>
  <c r="Y165" i="1"/>
  <c r="Z165" i="1"/>
  <c r="AA165" i="1"/>
  <c r="AB165" i="1"/>
  <c r="L166" i="1"/>
  <c r="M166" i="1"/>
  <c r="N166" i="1"/>
  <c r="O166" i="1"/>
  <c r="P166" i="1"/>
  <c r="Q166" i="1"/>
  <c r="R166" i="1"/>
  <c r="S166" i="1"/>
  <c r="T166" i="1"/>
  <c r="U166" i="1"/>
  <c r="V166" i="1"/>
  <c r="W166" i="1"/>
  <c r="X166" i="1"/>
  <c r="Y166" i="1"/>
  <c r="Z166" i="1"/>
  <c r="AA166" i="1"/>
  <c r="AB166" i="1"/>
  <c r="L167" i="1"/>
  <c r="M167" i="1"/>
  <c r="N167" i="1"/>
  <c r="O167" i="1"/>
  <c r="P167" i="1"/>
  <c r="Q167" i="1"/>
  <c r="R167" i="1"/>
  <c r="S167" i="1"/>
  <c r="T167" i="1"/>
  <c r="U167" i="1"/>
  <c r="V167" i="1"/>
  <c r="W167" i="1"/>
  <c r="X167" i="1"/>
  <c r="Y167" i="1"/>
  <c r="Z167" i="1"/>
  <c r="AA167" i="1"/>
  <c r="AB167" i="1"/>
  <c r="L168" i="1"/>
  <c r="M168" i="1"/>
  <c r="N168" i="1"/>
  <c r="O168" i="1"/>
  <c r="P168" i="1"/>
  <c r="Q168" i="1"/>
  <c r="R168" i="1"/>
  <c r="S168" i="1"/>
  <c r="T168" i="1"/>
  <c r="U168" i="1"/>
  <c r="V168" i="1"/>
  <c r="W168" i="1"/>
  <c r="X168" i="1"/>
  <c r="Y168" i="1"/>
  <c r="Z168" i="1"/>
  <c r="AA168" i="1"/>
  <c r="AB168" i="1"/>
  <c r="L169" i="1"/>
  <c r="M169" i="1"/>
  <c r="N169" i="1"/>
  <c r="O169" i="1"/>
  <c r="P169" i="1"/>
  <c r="Q169" i="1"/>
  <c r="R169" i="1"/>
  <c r="S169" i="1"/>
  <c r="T169" i="1"/>
  <c r="U169" i="1"/>
  <c r="V169" i="1"/>
  <c r="W169" i="1"/>
  <c r="X169" i="1"/>
  <c r="Y169" i="1"/>
  <c r="Z169" i="1"/>
  <c r="AA169" i="1"/>
  <c r="AB169" i="1"/>
  <c r="L170" i="1"/>
  <c r="M170" i="1"/>
  <c r="N170" i="1"/>
  <c r="O170" i="1"/>
  <c r="P170" i="1"/>
  <c r="Q170" i="1"/>
  <c r="R170" i="1"/>
  <c r="S170" i="1"/>
  <c r="T170" i="1"/>
  <c r="U170" i="1"/>
  <c r="V170" i="1"/>
  <c r="W170" i="1"/>
  <c r="X170" i="1"/>
  <c r="Y170" i="1"/>
  <c r="Z170" i="1"/>
  <c r="AA170" i="1"/>
  <c r="AB170" i="1"/>
  <c r="L171" i="1"/>
  <c r="M171" i="1"/>
  <c r="N171" i="1"/>
  <c r="O171" i="1"/>
  <c r="P171" i="1"/>
  <c r="Q171" i="1"/>
  <c r="R171" i="1"/>
  <c r="S171" i="1"/>
  <c r="T171" i="1"/>
  <c r="U171" i="1"/>
  <c r="V171" i="1"/>
  <c r="W171" i="1"/>
  <c r="X171" i="1"/>
  <c r="Y171" i="1"/>
  <c r="Z171" i="1"/>
  <c r="AA171" i="1"/>
  <c r="AB171" i="1"/>
  <c r="L172" i="1"/>
  <c r="M172" i="1"/>
  <c r="N172" i="1"/>
  <c r="O172" i="1"/>
  <c r="P172" i="1"/>
  <c r="Q172" i="1"/>
  <c r="R172" i="1"/>
  <c r="S172" i="1"/>
  <c r="T172" i="1"/>
  <c r="U172" i="1"/>
  <c r="V172" i="1"/>
  <c r="W172" i="1"/>
  <c r="X172" i="1"/>
  <c r="Y172" i="1"/>
  <c r="Z172" i="1"/>
  <c r="AA172" i="1"/>
  <c r="AB172" i="1"/>
  <c r="L173" i="1"/>
  <c r="M173" i="1"/>
  <c r="N173" i="1"/>
  <c r="O173" i="1"/>
  <c r="P173" i="1"/>
  <c r="Q173" i="1"/>
  <c r="R173" i="1"/>
  <c r="S173" i="1"/>
  <c r="T173" i="1"/>
  <c r="U173" i="1"/>
  <c r="V173" i="1"/>
  <c r="W173" i="1"/>
  <c r="X173" i="1"/>
  <c r="Y173" i="1"/>
  <c r="Z173" i="1"/>
  <c r="AA173" i="1"/>
  <c r="AB173" i="1"/>
  <c r="L174" i="1"/>
  <c r="M174" i="1"/>
  <c r="N174" i="1"/>
  <c r="O174" i="1"/>
  <c r="P174" i="1"/>
  <c r="Q174" i="1"/>
  <c r="R174" i="1"/>
  <c r="S174" i="1"/>
  <c r="T174" i="1"/>
  <c r="U174" i="1"/>
  <c r="V174" i="1"/>
  <c r="W174" i="1"/>
  <c r="X174" i="1"/>
  <c r="Y174" i="1"/>
  <c r="Z174" i="1"/>
  <c r="AA174" i="1"/>
  <c r="AB174" i="1"/>
  <c r="L175" i="1"/>
  <c r="M175" i="1"/>
  <c r="N175" i="1"/>
  <c r="O175" i="1"/>
  <c r="P175" i="1"/>
  <c r="Q175" i="1"/>
  <c r="R175" i="1"/>
  <c r="S175" i="1"/>
  <c r="T175" i="1"/>
  <c r="U175" i="1"/>
  <c r="V175" i="1"/>
  <c r="W175" i="1"/>
  <c r="X175" i="1"/>
  <c r="Y175" i="1"/>
  <c r="Z175" i="1"/>
  <c r="AA175" i="1"/>
  <c r="AB175" i="1"/>
  <c r="L176" i="1"/>
  <c r="M176" i="1"/>
  <c r="N176" i="1"/>
  <c r="O176" i="1"/>
  <c r="P176" i="1"/>
  <c r="Q176" i="1"/>
  <c r="R176" i="1"/>
  <c r="S176" i="1"/>
  <c r="T176" i="1"/>
  <c r="U176" i="1"/>
  <c r="V176" i="1"/>
  <c r="W176" i="1"/>
  <c r="X176" i="1"/>
  <c r="Y176" i="1"/>
  <c r="Z176" i="1"/>
  <c r="AA176" i="1"/>
  <c r="AB176" i="1"/>
  <c r="L177" i="1"/>
  <c r="M177" i="1"/>
  <c r="N177" i="1"/>
  <c r="O177" i="1"/>
  <c r="P177" i="1"/>
  <c r="Q177" i="1"/>
  <c r="R177" i="1"/>
  <c r="S177" i="1"/>
  <c r="T177" i="1"/>
  <c r="U177" i="1"/>
  <c r="V177" i="1"/>
  <c r="W177" i="1"/>
  <c r="X177" i="1"/>
  <c r="Y177" i="1"/>
  <c r="Z177" i="1"/>
  <c r="AA177" i="1"/>
  <c r="AB177" i="1"/>
  <c r="L178" i="1"/>
  <c r="M178" i="1"/>
  <c r="N178" i="1"/>
  <c r="O178" i="1"/>
  <c r="P178" i="1"/>
  <c r="Q178" i="1"/>
  <c r="R178" i="1"/>
  <c r="S178" i="1"/>
  <c r="T178" i="1"/>
  <c r="U178" i="1"/>
  <c r="V178" i="1"/>
  <c r="W178" i="1"/>
  <c r="X178" i="1"/>
  <c r="Y178" i="1"/>
  <c r="Z178" i="1"/>
  <c r="AA178" i="1"/>
  <c r="AB178" i="1"/>
  <c r="L179" i="1"/>
  <c r="M179" i="1"/>
  <c r="N179" i="1"/>
  <c r="O179" i="1"/>
  <c r="P179" i="1"/>
  <c r="Q179" i="1"/>
  <c r="R179" i="1"/>
  <c r="S179" i="1"/>
  <c r="T179" i="1"/>
  <c r="U179" i="1"/>
  <c r="V179" i="1"/>
  <c r="W179" i="1"/>
  <c r="X179" i="1"/>
  <c r="Y179" i="1"/>
  <c r="Z179" i="1"/>
  <c r="AA179" i="1"/>
  <c r="AB179" i="1"/>
  <c r="L180" i="1"/>
  <c r="M180" i="1"/>
  <c r="N180" i="1"/>
  <c r="O180" i="1"/>
  <c r="P180" i="1"/>
  <c r="Q180" i="1"/>
  <c r="R180" i="1"/>
  <c r="S180" i="1"/>
  <c r="T180" i="1"/>
  <c r="U180" i="1"/>
  <c r="V180" i="1"/>
  <c r="W180" i="1"/>
  <c r="X180" i="1"/>
  <c r="Y180" i="1"/>
  <c r="Z180" i="1"/>
  <c r="AA180" i="1"/>
  <c r="AB180" i="1"/>
  <c r="L181" i="1"/>
  <c r="M181" i="1"/>
  <c r="N181" i="1"/>
  <c r="O181" i="1"/>
  <c r="P181" i="1"/>
  <c r="Q181" i="1"/>
  <c r="R181" i="1"/>
  <c r="S181" i="1"/>
  <c r="T181" i="1"/>
  <c r="U181" i="1"/>
  <c r="V181" i="1"/>
  <c r="W181" i="1"/>
  <c r="X181" i="1"/>
  <c r="Y181" i="1"/>
  <c r="Z181" i="1"/>
  <c r="AA181" i="1"/>
  <c r="AB181" i="1"/>
  <c r="L182" i="1"/>
  <c r="M182" i="1"/>
  <c r="N182" i="1"/>
  <c r="O182" i="1"/>
  <c r="P182" i="1"/>
  <c r="Q182" i="1"/>
  <c r="R182" i="1"/>
  <c r="S182" i="1"/>
  <c r="T182" i="1"/>
  <c r="U182" i="1"/>
  <c r="V182" i="1"/>
  <c r="W182" i="1"/>
  <c r="X182" i="1"/>
  <c r="Y182" i="1"/>
  <c r="Z182" i="1"/>
  <c r="AA182" i="1"/>
  <c r="AB182" i="1"/>
  <c r="L183" i="1"/>
  <c r="M183" i="1"/>
  <c r="N183" i="1"/>
  <c r="O183" i="1"/>
  <c r="P183" i="1"/>
  <c r="Q183" i="1"/>
  <c r="R183" i="1"/>
  <c r="S183" i="1"/>
  <c r="T183" i="1"/>
  <c r="U183" i="1"/>
  <c r="V183" i="1"/>
  <c r="W183" i="1"/>
  <c r="X183" i="1"/>
  <c r="Y183" i="1"/>
  <c r="Z183" i="1"/>
  <c r="AA183" i="1"/>
  <c r="AB183" i="1"/>
  <c r="L184" i="1"/>
  <c r="M184" i="1"/>
  <c r="N184" i="1"/>
  <c r="O184" i="1"/>
  <c r="P184" i="1"/>
  <c r="Q184" i="1"/>
  <c r="R184" i="1"/>
  <c r="S184" i="1"/>
  <c r="T184" i="1"/>
  <c r="U184" i="1"/>
  <c r="V184" i="1"/>
  <c r="W184" i="1"/>
  <c r="X184" i="1"/>
  <c r="Y184" i="1"/>
  <c r="Z184" i="1"/>
  <c r="AA184" i="1"/>
  <c r="AB184" i="1"/>
  <c r="L185" i="1"/>
  <c r="M185" i="1"/>
  <c r="N185" i="1"/>
  <c r="O185" i="1"/>
  <c r="P185" i="1"/>
  <c r="Q185" i="1"/>
  <c r="R185" i="1"/>
  <c r="S185" i="1"/>
  <c r="T185" i="1"/>
  <c r="U185" i="1"/>
  <c r="V185" i="1"/>
  <c r="W185" i="1"/>
  <c r="X185" i="1"/>
  <c r="Y185" i="1"/>
  <c r="Z185" i="1"/>
  <c r="AA185" i="1"/>
  <c r="AB185" i="1"/>
  <c r="L186" i="1"/>
  <c r="M186" i="1"/>
  <c r="N186" i="1"/>
  <c r="O186" i="1"/>
  <c r="P186" i="1"/>
  <c r="Q186" i="1"/>
  <c r="R186" i="1"/>
  <c r="S186" i="1"/>
  <c r="T186" i="1"/>
  <c r="U186" i="1"/>
  <c r="V186" i="1"/>
  <c r="W186" i="1"/>
  <c r="X186" i="1"/>
  <c r="Y186" i="1"/>
  <c r="Z186" i="1"/>
  <c r="AA186" i="1"/>
  <c r="AB186" i="1"/>
  <c r="L187" i="1"/>
  <c r="M187" i="1"/>
  <c r="N187" i="1"/>
  <c r="O187" i="1"/>
  <c r="P187" i="1"/>
  <c r="Q187" i="1"/>
  <c r="R187" i="1"/>
  <c r="S187" i="1"/>
  <c r="T187" i="1"/>
  <c r="U187" i="1"/>
  <c r="V187" i="1"/>
  <c r="W187" i="1"/>
  <c r="X187" i="1"/>
  <c r="Y187" i="1"/>
  <c r="Z187" i="1"/>
  <c r="AA187" i="1"/>
  <c r="AB187" i="1"/>
  <c r="L188" i="1"/>
  <c r="M188" i="1"/>
  <c r="N188" i="1"/>
  <c r="O188" i="1"/>
  <c r="P188" i="1"/>
  <c r="Q188" i="1"/>
  <c r="R188" i="1"/>
  <c r="S188" i="1"/>
  <c r="T188" i="1"/>
  <c r="U188" i="1"/>
  <c r="V188" i="1"/>
  <c r="W188" i="1"/>
  <c r="X188" i="1"/>
  <c r="Y188" i="1"/>
  <c r="Z188" i="1"/>
  <c r="AA188" i="1"/>
  <c r="AB188" i="1"/>
  <c r="L189" i="1"/>
  <c r="M189" i="1"/>
  <c r="N189" i="1"/>
  <c r="O189" i="1"/>
  <c r="P189" i="1"/>
  <c r="Q189" i="1"/>
  <c r="R189" i="1"/>
  <c r="S189" i="1"/>
  <c r="T189" i="1"/>
  <c r="U189" i="1"/>
  <c r="V189" i="1"/>
  <c r="W189" i="1"/>
  <c r="X189" i="1"/>
  <c r="Y189" i="1"/>
  <c r="Z189" i="1"/>
  <c r="AA189" i="1"/>
  <c r="AB189" i="1"/>
  <c r="L190" i="1"/>
  <c r="M190" i="1"/>
  <c r="N190" i="1"/>
  <c r="O190" i="1"/>
  <c r="P190" i="1"/>
  <c r="Q190" i="1"/>
  <c r="R190" i="1"/>
  <c r="S190" i="1"/>
  <c r="T190" i="1"/>
  <c r="U190" i="1"/>
  <c r="V190" i="1"/>
  <c r="W190" i="1"/>
  <c r="X190" i="1"/>
  <c r="Y190" i="1"/>
  <c r="Z190" i="1"/>
  <c r="AA190" i="1"/>
  <c r="AB190" i="1"/>
  <c r="L191" i="1"/>
  <c r="M191" i="1"/>
  <c r="N191" i="1"/>
  <c r="O191" i="1"/>
  <c r="P191" i="1"/>
  <c r="Q191" i="1"/>
  <c r="R191" i="1"/>
  <c r="S191" i="1"/>
  <c r="T191" i="1"/>
  <c r="U191" i="1"/>
  <c r="V191" i="1"/>
  <c r="W191" i="1"/>
  <c r="X191" i="1"/>
  <c r="Y191" i="1"/>
  <c r="Z191" i="1"/>
  <c r="AA191" i="1"/>
  <c r="AB191" i="1"/>
  <c r="L192" i="1"/>
  <c r="M192" i="1"/>
  <c r="N192" i="1"/>
  <c r="O192" i="1"/>
  <c r="P192" i="1"/>
  <c r="Q192" i="1"/>
  <c r="R192" i="1"/>
  <c r="S192" i="1"/>
  <c r="T192" i="1"/>
  <c r="U192" i="1"/>
  <c r="V192" i="1"/>
  <c r="W192" i="1"/>
  <c r="X192" i="1"/>
  <c r="Y192" i="1"/>
  <c r="Z192" i="1"/>
  <c r="AA192" i="1"/>
  <c r="AB192" i="1"/>
  <c r="L193" i="1"/>
  <c r="M193" i="1"/>
  <c r="N193" i="1"/>
  <c r="O193" i="1"/>
  <c r="P193" i="1"/>
  <c r="Q193" i="1"/>
  <c r="R193" i="1"/>
  <c r="S193" i="1"/>
  <c r="T193" i="1"/>
  <c r="U193" i="1"/>
  <c r="V193" i="1"/>
  <c r="W193" i="1"/>
  <c r="X193" i="1"/>
  <c r="Y193" i="1"/>
  <c r="Z193" i="1"/>
  <c r="AA193" i="1"/>
  <c r="AB193" i="1"/>
  <c r="L194" i="1"/>
  <c r="M194" i="1"/>
  <c r="N194" i="1"/>
  <c r="O194" i="1"/>
  <c r="P194" i="1"/>
  <c r="Q194" i="1"/>
  <c r="R194" i="1"/>
  <c r="S194" i="1"/>
  <c r="T194" i="1"/>
  <c r="U194" i="1"/>
  <c r="V194" i="1"/>
  <c r="W194" i="1"/>
  <c r="X194" i="1"/>
  <c r="Y194" i="1"/>
  <c r="Z194" i="1"/>
  <c r="AA194" i="1"/>
  <c r="AB194" i="1"/>
  <c r="L195" i="1"/>
  <c r="M195" i="1"/>
  <c r="N195" i="1"/>
  <c r="O195" i="1"/>
  <c r="P195" i="1"/>
  <c r="Q195" i="1"/>
  <c r="R195" i="1"/>
  <c r="S195" i="1"/>
  <c r="T195" i="1"/>
  <c r="U195" i="1"/>
  <c r="V195" i="1"/>
  <c r="W195" i="1"/>
  <c r="X195" i="1"/>
  <c r="Y195" i="1"/>
  <c r="Z195" i="1"/>
  <c r="AA195" i="1"/>
  <c r="AB195" i="1"/>
  <c r="L196" i="1"/>
  <c r="M196" i="1"/>
  <c r="N196" i="1"/>
  <c r="O196" i="1"/>
  <c r="P196" i="1"/>
  <c r="Q196" i="1"/>
  <c r="R196" i="1"/>
  <c r="S196" i="1"/>
  <c r="T196" i="1"/>
  <c r="U196" i="1"/>
  <c r="V196" i="1"/>
  <c r="W196" i="1"/>
  <c r="X196" i="1"/>
  <c r="Y196" i="1"/>
  <c r="Z196" i="1"/>
  <c r="AA196" i="1"/>
  <c r="AB196" i="1"/>
  <c r="L197" i="1"/>
  <c r="M197" i="1"/>
  <c r="N197" i="1"/>
  <c r="O197" i="1"/>
  <c r="P197" i="1"/>
  <c r="Q197" i="1"/>
  <c r="R197" i="1"/>
  <c r="S197" i="1"/>
  <c r="T197" i="1"/>
  <c r="U197" i="1"/>
  <c r="V197" i="1"/>
  <c r="W197" i="1"/>
  <c r="X197" i="1"/>
  <c r="Y197" i="1"/>
  <c r="Z197" i="1"/>
  <c r="AA197" i="1"/>
  <c r="AB197" i="1"/>
  <c r="L198" i="1"/>
  <c r="M198" i="1"/>
  <c r="N198" i="1"/>
  <c r="O198" i="1"/>
  <c r="P198" i="1"/>
  <c r="Q198" i="1"/>
  <c r="R198" i="1"/>
  <c r="S198" i="1"/>
  <c r="T198" i="1"/>
  <c r="U198" i="1"/>
  <c r="V198" i="1"/>
  <c r="W198" i="1"/>
  <c r="X198" i="1"/>
  <c r="Y198" i="1"/>
  <c r="Z198" i="1"/>
  <c r="AA198" i="1"/>
  <c r="AB198" i="1"/>
  <c r="L199" i="1"/>
  <c r="M199" i="1"/>
  <c r="N199" i="1"/>
  <c r="O199" i="1"/>
  <c r="P199" i="1"/>
  <c r="Q199" i="1"/>
  <c r="R199" i="1"/>
  <c r="S199" i="1"/>
  <c r="T199" i="1"/>
  <c r="U199" i="1"/>
  <c r="V199" i="1"/>
  <c r="W199" i="1"/>
  <c r="X199" i="1"/>
  <c r="Y199" i="1"/>
  <c r="Z199" i="1"/>
  <c r="AA199" i="1"/>
  <c r="AB199" i="1"/>
  <c r="L200" i="1"/>
  <c r="M200" i="1"/>
  <c r="N200" i="1"/>
  <c r="O200" i="1"/>
  <c r="P200" i="1"/>
  <c r="Q200" i="1"/>
  <c r="R200" i="1"/>
  <c r="S200" i="1"/>
  <c r="T200" i="1"/>
  <c r="U200" i="1"/>
  <c r="V200" i="1"/>
  <c r="W200" i="1"/>
  <c r="X200" i="1"/>
  <c r="Y200" i="1"/>
  <c r="Z200" i="1"/>
  <c r="AA200" i="1"/>
  <c r="AB200" i="1"/>
  <c r="L201" i="1"/>
  <c r="M201" i="1"/>
  <c r="N201" i="1"/>
  <c r="O201" i="1"/>
  <c r="P201" i="1"/>
  <c r="Q201" i="1"/>
  <c r="R201" i="1"/>
  <c r="S201" i="1"/>
  <c r="T201" i="1"/>
  <c r="U201" i="1"/>
  <c r="V201" i="1"/>
  <c r="W201" i="1"/>
  <c r="X201" i="1"/>
  <c r="Y201" i="1"/>
  <c r="Z201" i="1"/>
  <c r="AA201" i="1"/>
  <c r="AB201" i="1"/>
  <c r="L202" i="1"/>
  <c r="M202" i="1"/>
  <c r="N202" i="1"/>
  <c r="O202" i="1"/>
  <c r="P202" i="1"/>
  <c r="Q202" i="1"/>
  <c r="R202" i="1"/>
  <c r="S202" i="1"/>
  <c r="T202" i="1"/>
  <c r="U202" i="1"/>
  <c r="V202" i="1"/>
  <c r="W202" i="1"/>
  <c r="X202" i="1"/>
  <c r="Y202" i="1"/>
  <c r="Z202" i="1"/>
  <c r="AA202" i="1"/>
  <c r="AB202" i="1"/>
  <c r="L203" i="1"/>
  <c r="M203" i="1"/>
  <c r="N203" i="1"/>
  <c r="O203" i="1"/>
  <c r="P203" i="1"/>
  <c r="Q203" i="1"/>
  <c r="R203" i="1"/>
  <c r="S203" i="1"/>
  <c r="T203" i="1"/>
  <c r="U203" i="1"/>
  <c r="V203" i="1"/>
  <c r="W203" i="1"/>
  <c r="X203" i="1"/>
  <c r="Y203" i="1"/>
  <c r="Z203" i="1"/>
  <c r="AA203" i="1"/>
  <c r="AB203" i="1"/>
  <c r="L204" i="1"/>
  <c r="M204" i="1"/>
  <c r="N204" i="1"/>
  <c r="O204" i="1"/>
  <c r="P204" i="1"/>
  <c r="Q204" i="1"/>
  <c r="R204" i="1"/>
  <c r="S204" i="1"/>
  <c r="T204" i="1"/>
  <c r="U204" i="1"/>
  <c r="V204" i="1"/>
  <c r="W204" i="1"/>
  <c r="X204" i="1"/>
  <c r="Y204" i="1"/>
  <c r="Z204" i="1"/>
  <c r="AA204" i="1"/>
  <c r="AB204" i="1"/>
  <c r="L205" i="1"/>
  <c r="M205" i="1"/>
  <c r="N205" i="1"/>
  <c r="O205" i="1"/>
  <c r="P205" i="1"/>
  <c r="Q205" i="1"/>
  <c r="R205" i="1"/>
  <c r="S205" i="1"/>
  <c r="T205" i="1"/>
  <c r="U205" i="1"/>
  <c r="V205" i="1"/>
  <c r="W205" i="1"/>
  <c r="X205" i="1"/>
  <c r="Y205" i="1"/>
  <c r="Z205" i="1"/>
  <c r="AA205" i="1"/>
  <c r="AB205" i="1"/>
  <c r="L206" i="1"/>
  <c r="M206" i="1"/>
  <c r="N206" i="1"/>
  <c r="O206" i="1"/>
  <c r="P206" i="1"/>
  <c r="Q206" i="1"/>
  <c r="R206" i="1"/>
  <c r="S206" i="1"/>
  <c r="T206" i="1"/>
  <c r="U206" i="1"/>
  <c r="V206" i="1"/>
  <c r="W206" i="1"/>
  <c r="X206" i="1"/>
  <c r="Y206" i="1"/>
  <c r="Z206" i="1"/>
  <c r="AA206" i="1"/>
  <c r="AB206" i="1"/>
  <c r="L207" i="1"/>
  <c r="M207" i="1"/>
  <c r="N207" i="1"/>
  <c r="O207" i="1"/>
  <c r="P207" i="1"/>
  <c r="Q207" i="1"/>
  <c r="R207" i="1"/>
  <c r="S207" i="1"/>
  <c r="T207" i="1"/>
  <c r="U207" i="1"/>
  <c r="V207" i="1"/>
  <c r="W207" i="1"/>
  <c r="X207" i="1"/>
  <c r="Y207" i="1"/>
  <c r="Z207" i="1"/>
  <c r="AA207" i="1"/>
  <c r="AB207" i="1"/>
  <c r="L208" i="1"/>
  <c r="M208" i="1"/>
  <c r="N208" i="1"/>
  <c r="O208" i="1"/>
  <c r="P208" i="1"/>
  <c r="Q208" i="1"/>
  <c r="R208" i="1"/>
  <c r="S208" i="1"/>
  <c r="T208" i="1"/>
  <c r="U208" i="1"/>
  <c r="V208" i="1"/>
  <c r="W208" i="1"/>
  <c r="X208" i="1"/>
  <c r="Y208" i="1"/>
  <c r="Z208" i="1"/>
  <c r="AA208" i="1"/>
  <c r="AB208" i="1"/>
  <c r="L209" i="1"/>
  <c r="M209" i="1"/>
  <c r="N209" i="1"/>
  <c r="O209" i="1"/>
  <c r="P209" i="1"/>
  <c r="Q209" i="1"/>
  <c r="R209" i="1"/>
  <c r="S209" i="1"/>
  <c r="T209" i="1"/>
  <c r="U209" i="1"/>
  <c r="V209" i="1"/>
  <c r="W209" i="1"/>
  <c r="X209" i="1"/>
  <c r="Y209" i="1"/>
  <c r="Z209" i="1"/>
  <c r="AA209" i="1"/>
  <c r="AB209" i="1"/>
  <c r="L210" i="1"/>
  <c r="M210" i="1"/>
  <c r="N210" i="1"/>
  <c r="O210" i="1"/>
  <c r="P210" i="1"/>
  <c r="Q210" i="1"/>
  <c r="R210" i="1"/>
  <c r="S210" i="1"/>
  <c r="T210" i="1"/>
  <c r="U210" i="1"/>
  <c r="V210" i="1"/>
  <c r="W210" i="1"/>
  <c r="X210" i="1"/>
  <c r="Y210" i="1"/>
  <c r="Z210" i="1"/>
  <c r="AA210" i="1"/>
  <c r="AB210" i="1"/>
  <c r="L211" i="1"/>
  <c r="M211" i="1"/>
  <c r="N211" i="1"/>
  <c r="O211" i="1"/>
  <c r="P211" i="1"/>
  <c r="Q211" i="1"/>
  <c r="R211" i="1"/>
  <c r="S211" i="1"/>
  <c r="T211" i="1"/>
  <c r="U211" i="1"/>
  <c r="V211" i="1"/>
  <c r="W211" i="1"/>
  <c r="X211" i="1"/>
  <c r="Y211" i="1"/>
  <c r="Z211" i="1"/>
  <c r="AA211" i="1"/>
  <c r="AB211" i="1"/>
  <c r="L212" i="1"/>
  <c r="M212" i="1"/>
  <c r="N212" i="1"/>
  <c r="O212" i="1"/>
  <c r="P212" i="1"/>
  <c r="Q212" i="1"/>
  <c r="R212" i="1"/>
  <c r="S212" i="1"/>
  <c r="T212" i="1"/>
  <c r="U212" i="1"/>
  <c r="V212" i="1"/>
  <c r="W212" i="1"/>
  <c r="X212" i="1"/>
  <c r="Y212" i="1"/>
  <c r="Z212" i="1"/>
  <c r="AA212" i="1"/>
  <c r="AB212" i="1"/>
  <c r="L213" i="1"/>
  <c r="M213" i="1"/>
  <c r="N213" i="1"/>
  <c r="O213" i="1"/>
  <c r="P213" i="1"/>
  <c r="Q213" i="1"/>
  <c r="R213" i="1"/>
  <c r="S213" i="1"/>
  <c r="T213" i="1"/>
  <c r="U213" i="1"/>
  <c r="V213" i="1"/>
  <c r="W213" i="1"/>
  <c r="X213" i="1"/>
  <c r="Y213" i="1"/>
  <c r="Z213" i="1"/>
  <c r="AA213" i="1"/>
  <c r="AB213" i="1"/>
  <c r="L214" i="1"/>
  <c r="M214" i="1"/>
  <c r="N214" i="1"/>
  <c r="O214" i="1"/>
  <c r="P214" i="1"/>
  <c r="Q214" i="1"/>
  <c r="R214" i="1"/>
  <c r="S214" i="1"/>
  <c r="T214" i="1"/>
  <c r="U214" i="1"/>
  <c r="V214" i="1"/>
  <c r="W214" i="1"/>
  <c r="X214" i="1"/>
  <c r="Y214" i="1"/>
  <c r="Z214" i="1"/>
  <c r="AA214" i="1"/>
  <c r="AB214" i="1"/>
  <c r="L215" i="1"/>
  <c r="M215" i="1"/>
  <c r="N215" i="1"/>
  <c r="O215" i="1"/>
  <c r="P215" i="1"/>
  <c r="Q215" i="1"/>
  <c r="R215" i="1"/>
  <c r="S215" i="1"/>
  <c r="T215" i="1"/>
  <c r="U215" i="1"/>
  <c r="V215" i="1"/>
  <c r="W215" i="1"/>
  <c r="X215" i="1"/>
  <c r="Y215" i="1"/>
  <c r="Z215" i="1"/>
  <c r="AA215" i="1"/>
  <c r="AB215" i="1"/>
  <c r="L216" i="1"/>
  <c r="M216" i="1"/>
  <c r="N216" i="1"/>
  <c r="O216" i="1"/>
  <c r="P216" i="1"/>
  <c r="Q216" i="1"/>
  <c r="R216" i="1"/>
  <c r="S216" i="1"/>
  <c r="T216" i="1"/>
  <c r="U216" i="1"/>
  <c r="V216" i="1"/>
  <c r="W216" i="1"/>
  <c r="X216" i="1"/>
  <c r="Y216" i="1"/>
  <c r="Z216" i="1"/>
  <c r="AA216" i="1"/>
  <c r="AB216" i="1"/>
  <c r="L217" i="1"/>
  <c r="M217" i="1"/>
  <c r="N217" i="1"/>
  <c r="O217" i="1"/>
  <c r="P217" i="1"/>
  <c r="Q217" i="1"/>
  <c r="R217" i="1"/>
  <c r="S217" i="1"/>
  <c r="T217" i="1"/>
  <c r="U217" i="1"/>
  <c r="V217" i="1"/>
  <c r="W217" i="1"/>
  <c r="X217" i="1"/>
  <c r="Y217" i="1"/>
  <c r="Z217" i="1"/>
  <c r="AA217" i="1"/>
  <c r="AB217" i="1"/>
  <c r="L218" i="1"/>
  <c r="M218" i="1"/>
  <c r="N218" i="1"/>
  <c r="O218" i="1"/>
  <c r="P218" i="1"/>
  <c r="Q218" i="1"/>
  <c r="R218" i="1"/>
  <c r="S218" i="1"/>
  <c r="T218" i="1"/>
  <c r="U218" i="1"/>
  <c r="V218" i="1"/>
  <c r="W218" i="1"/>
  <c r="X218" i="1"/>
  <c r="Y218" i="1"/>
  <c r="Z218" i="1"/>
  <c r="AA218" i="1"/>
  <c r="AB218" i="1"/>
  <c r="L219" i="1"/>
  <c r="M219" i="1"/>
  <c r="N219" i="1"/>
  <c r="O219" i="1"/>
  <c r="P219" i="1"/>
  <c r="Q219" i="1"/>
  <c r="R219" i="1"/>
  <c r="S219" i="1"/>
  <c r="T219" i="1"/>
  <c r="U219" i="1"/>
  <c r="V219" i="1"/>
  <c r="W219" i="1"/>
  <c r="X219" i="1"/>
  <c r="Y219" i="1"/>
  <c r="Z219" i="1"/>
  <c r="AA219" i="1"/>
  <c r="AB219" i="1"/>
  <c r="L220" i="1"/>
  <c r="M220" i="1"/>
  <c r="N220" i="1"/>
  <c r="O220" i="1"/>
  <c r="P220" i="1"/>
  <c r="Q220" i="1"/>
  <c r="R220" i="1"/>
  <c r="S220" i="1"/>
  <c r="T220" i="1"/>
  <c r="U220" i="1"/>
  <c r="V220" i="1"/>
  <c r="W220" i="1"/>
  <c r="X220" i="1"/>
  <c r="Y220" i="1"/>
  <c r="Z220" i="1"/>
  <c r="AA220" i="1"/>
  <c r="AB220" i="1"/>
  <c r="L221" i="1"/>
  <c r="M221" i="1"/>
  <c r="N221" i="1"/>
  <c r="O221" i="1"/>
  <c r="P221" i="1"/>
  <c r="Q221" i="1"/>
  <c r="R221" i="1"/>
  <c r="S221" i="1"/>
  <c r="T221" i="1"/>
  <c r="U221" i="1"/>
  <c r="V221" i="1"/>
  <c r="W221" i="1"/>
  <c r="X221" i="1"/>
  <c r="Y221" i="1"/>
  <c r="Z221" i="1"/>
  <c r="AA221" i="1"/>
  <c r="AB221" i="1"/>
  <c r="L222" i="1"/>
  <c r="M222" i="1"/>
  <c r="N222" i="1"/>
  <c r="O222" i="1"/>
  <c r="P222" i="1"/>
  <c r="Q222" i="1"/>
  <c r="R222" i="1"/>
  <c r="S222" i="1"/>
  <c r="T222" i="1"/>
  <c r="U222" i="1"/>
  <c r="V222" i="1"/>
  <c r="W222" i="1"/>
  <c r="X222" i="1"/>
  <c r="Y222" i="1"/>
  <c r="Z222" i="1"/>
  <c r="AA222" i="1"/>
  <c r="AB222" i="1"/>
  <c r="L223" i="1"/>
  <c r="M223" i="1"/>
  <c r="N223" i="1"/>
  <c r="O223" i="1"/>
  <c r="P223" i="1"/>
  <c r="Q223" i="1"/>
  <c r="R223" i="1"/>
  <c r="S223" i="1"/>
  <c r="T223" i="1"/>
  <c r="U223" i="1"/>
  <c r="V223" i="1"/>
  <c r="W223" i="1"/>
  <c r="X223" i="1"/>
  <c r="Y223" i="1"/>
  <c r="Z223" i="1"/>
  <c r="AA223" i="1"/>
  <c r="AB223" i="1"/>
  <c r="L224" i="1"/>
  <c r="M224" i="1"/>
  <c r="N224" i="1"/>
  <c r="O224" i="1"/>
  <c r="P224" i="1"/>
  <c r="Q224" i="1"/>
  <c r="R224" i="1"/>
  <c r="S224" i="1"/>
  <c r="T224" i="1"/>
  <c r="U224" i="1"/>
  <c r="V224" i="1"/>
  <c r="W224" i="1"/>
  <c r="X224" i="1"/>
  <c r="Y224" i="1"/>
  <c r="Z224" i="1"/>
  <c r="AA224" i="1"/>
  <c r="AB224" i="1"/>
  <c r="L225" i="1"/>
  <c r="M225" i="1"/>
  <c r="N225" i="1"/>
  <c r="O225" i="1"/>
  <c r="P225" i="1"/>
  <c r="Q225" i="1"/>
  <c r="R225" i="1"/>
  <c r="S225" i="1"/>
  <c r="T225" i="1"/>
  <c r="U225" i="1"/>
  <c r="V225" i="1"/>
  <c r="W225" i="1"/>
  <c r="X225" i="1"/>
  <c r="Y225" i="1"/>
  <c r="Z225" i="1"/>
  <c r="AA225" i="1"/>
  <c r="AB225" i="1"/>
  <c r="L226" i="1"/>
  <c r="M226" i="1"/>
  <c r="N226" i="1"/>
  <c r="O226" i="1"/>
  <c r="P226" i="1"/>
  <c r="Q226" i="1"/>
  <c r="R226" i="1"/>
  <c r="S226" i="1"/>
  <c r="T226" i="1"/>
  <c r="U226" i="1"/>
  <c r="V226" i="1"/>
  <c r="W226" i="1"/>
  <c r="X226" i="1"/>
  <c r="Y226" i="1"/>
  <c r="Z226" i="1"/>
  <c r="AA226" i="1"/>
  <c r="AB226" i="1"/>
  <c r="L227" i="1"/>
  <c r="M227" i="1"/>
  <c r="N227" i="1"/>
  <c r="O227" i="1"/>
  <c r="P227" i="1"/>
  <c r="Q227" i="1"/>
  <c r="R227" i="1"/>
  <c r="S227" i="1"/>
  <c r="T227" i="1"/>
  <c r="U227" i="1"/>
  <c r="V227" i="1"/>
  <c r="W227" i="1"/>
  <c r="X227" i="1"/>
  <c r="Y227" i="1"/>
  <c r="Z227" i="1"/>
  <c r="AA227" i="1"/>
  <c r="AB227" i="1"/>
  <c r="L228" i="1"/>
  <c r="M228" i="1"/>
  <c r="N228" i="1"/>
  <c r="O228" i="1"/>
  <c r="P228" i="1"/>
  <c r="Q228" i="1"/>
  <c r="R228" i="1"/>
  <c r="S228" i="1"/>
  <c r="T228" i="1"/>
  <c r="U228" i="1"/>
  <c r="V228" i="1"/>
  <c r="W228" i="1"/>
  <c r="X228" i="1"/>
  <c r="Y228" i="1"/>
  <c r="Z228" i="1"/>
  <c r="AA228" i="1"/>
  <c r="AB228" i="1"/>
  <c r="L229" i="1"/>
  <c r="M229" i="1"/>
  <c r="N229" i="1"/>
  <c r="O229" i="1"/>
  <c r="P229" i="1"/>
  <c r="Q229" i="1"/>
  <c r="R229" i="1"/>
  <c r="S229" i="1"/>
  <c r="T229" i="1"/>
  <c r="U229" i="1"/>
  <c r="V229" i="1"/>
  <c r="W229" i="1"/>
  <c r="X229" i="1"/>
  <c r="Y229" i="1"/>
  <c r="Z229" i="1"/>
  <c r="AA229" i="1"/>
  <c r="AB229" i="1"/>
  <c r="L230" i="1"/>
  <c r="M230" i="1"/>
  <c r="N230" i="1"/>
  <c r="O230" i="1"/>
  <c r="P230" i="1"/>
  <c r="Q230" i="1"/>
  <c r="R230" i="1"/>
  <c r="S230" i="1"/>
  <c r="T230" i="1"/>
  <c r="U230" i="1"/>
  <c r="V230" i="1"/>
  <c r="W230" i="1"/>
  <c r="X230" i="1"/>
  <c r="Y230" i="1"/>
  <c r="Z230" i="1"/>
  <c r="AA230" i="1"/>
  <c r="AB230" i="1"/>
  <c r="L231" i="1"/>
  <c r="M231" i="1"/>
  <c r="N231" i="1"/>
  <c r="O231" i="1"/>
  <c r="P231" i="1"/>
  <c r="Q231" i="1"/>
  <c r="R231" i="1"/>
  <c r="S231" i="1"/>
  <c r="T231" i="1"/>
  <c r="U231" i="1"/>
  <c r="V231" i="1"/>
  <c r="W231" i="1"/>
  <c r="X231" i="1"/>
  <c r="Y231" i="1"/>
  <c r="Z231" i="1"/>
  <c r="AA231" i="1"/>
  <c r="AB231" i="1"/>
  <c r="L232" i="1"/>
  <c r="M232" i="1"/>
  <c r="N232" i="1"/>
  <c r="O232" i="1"/>
  <c r="P232" i="1"/>
  <c r="Q232" i="1"/>
  <c r="R232" i="1"/>
  <c r="S232" i="1"/>
  <c r="T232" i="1"/>
  <c r="U232" i="1"/>
  <c r="V232" i="1"/>
  <c r="W232" i="1"/>
  <c r="X232" i="1"/>
  <c r="Y232" i="1"/>
  <c r="Z232" i="1"/>
  <c r="AA232" i="1"/>
  <c r="AB232" i="1"/>
  <c r="L233" i="1"/>
  <c r="M233" i="1"/>
  <c r="N233" i="1"/>
  <c r="O233" i="1"/>
  <c r="P233" i="1"/>
  <c r="Q233" i="1"/>
  <c r="R233" i="1"/>
  <c r="S233" i="1"/>
  <c r="T233" i="1"/>
  <c r="U233" i="1"/>
  <c r="V233" i="1"/>
  <c r="W233" i="1"/>
  <c r="X233" i="1"/>
  <c r="Y233" i="1"/>
  <c r="Z233" i="1"/>
  <c r="AA233" i="1"/>
  <c r="AB233" i="1"/>
  <c r="L234" i="1"/>
  <c r="M234" i="1"/>
  <c r="N234" i="1"/>
  <c r="O234" i="1"/>
  <c r="P234" i="1"/>
  <c r="Q234" i="1"/>
  <c r="R234" i="1"/>
  <c r="S234" i="1"/>
  <c r="T234" i="1"/>
  <c r="U234" i="1"/>
  <c r="V234" i="1"/>
  <c r="W234" i="1"/>
  <c r="X234" i="1"/>
  <c r="Y234" i="1"/>
  <c r="Z234" i="1"/>
  <c r="AA234" i="1"/>
  <c r="AB234" i="1"/>
  <c r="L235" i="1"/>
  <c r="M235" i="1"/>
  <c r="N235" i="1"/>
  <c r="O235" i="1"/>
  <c r="P235" i="1"/>
  <c r="Q235" i="1"/>
  <c r="R235" i="1"/>
  <c r="S235" i="1"/>
  <c r="T235" i="1"/>
  <c r="U235" i="1"/>
  <c r="V235" i="1"/>
  <c r="W235" i="1"/>
  <c r="X235" i="1"/>
  <c r="Y235" i="1"/>
  <c r="Z235" i="1"/>
  <c r="AA235" i="1"/>
  <c r="AB235" i="1"/>
  <c r="L236" i="1"/>
  <c r="M236" i="1"/>
  <c r="N236" i="1"/>
  <c r="O236" i="1"/>
  <c r="P236" i="1"/>
  <c r="Q236" i="1"/>
  <c r="R236" i="1"/>
  <c r="S236" i="1"/>
  <c r="T236" i="1"/>
  <c r="U236" i="1"/>
  <c r="V236" i="1"/>
  <c r="W236" i="1"/>
  <c r="X236" i="1"/>
  <c r="Y236" i="1"/>
  <c r="Z236" i="1"/>
  <c r="AA236" i="1"/>
  <c r="AB236" i="1"/>
  <c r="L237" i="1"/>
  <c r="M237" i="1"/>
  <c r="N237" i="1"/>
  <c r="O237" i="1"/>
  <c r="P237" i="1"/>
  <c r="Q237" i="1"/>
  <c r="R237" i="1"/>
  <c r="S237" i="1"/>
  <c r="T237" i="1"/>
  <c r="U237" i="1"/>
  <c r="V237" i="1"/>
  <c r="W237" i="1"/>
  <c r="X237" i="1"/>
  <c r="Y237" i="1"/>
  <c r="Z237" i="1"/>
  <c r="AA237" i="1"/>
  <c r="AB237" i="1"/>
  <c r="L238" i="1"/>
  <c r="M238" i="1"/>
  <c r="N238" i="1"/>
  <c r="O238" i="1"/>
  <c r="P238" i="1"/>
  <c r="Q238" i="1"/>
  <c r="R238" i="1"/>
  <c r="S238" i="1"/>
  <c r="T238" i="1"/>
  <c r="U238" i="1"/>
  <c r="V238" i="1"/>
  <c r="W238" i="1"/>
  <c r="X238" i="1"/>
  <c r="Y238" i="1"/>
  <c r="Z238" i="1"/>
  <c r="AA238" i="1"/>
  <c r="AB238" i="1"/>
  <c r="L239" i="1"/>
  <c r="M239" i="1"/>
  <c r="N239" i="1"/>
  <c r="O239" i="1"/>
  <c r="P239" i="1"/>
  <c r="Q239" i="1"/>
  <c r="R239" i="1"/>
  <c r="S239" i="1"/>
  <c r="T239" i="1"/>
  <c r="U239" i="1"/>
  <c r="V239" i="1"/>
  <c r="W239" i="1"/>
  <c r="X239" i="1"/>
  <c r="Y239" i="1"/>
  <c r="Z239" i="1"/>
  <c r="AA239" i="1"/>
  <c r="AB239" i="1"/>
  <c r="L240" i="1"/>
  <c r="M240" i="1"/>
  <c r="N240" i="1"/>
  <c r="O240" i="1"/>
  <c r="P240" i="1"/>
  <c r="Q240" i="1"/>
  <c r="R240" i="1"/>
  <c r="S240" i="1"/>
  <c r="T240" i="1"/>
  <c r="U240" i="1"/>
  <c r="V240" i="1"/>
  <c r="W240" i="1"/>
  <c r="X240" i="1"/>
  <c r="Y240" i="1"/>
  <c r="Z240" i="1"/>
  <c r="AA240" i="1"/>
  <c r="AB240" i="1"/>
  <c r="L241" i="1"/>
  <c r="M241" i="1"/>
  <c r="N241" i="1"/>
  <c r="O241" i="1"/>
  <c r="P241" i="1"/>
  <c r="Q241" i="1"/>
  <c r="R241" i="1"/>
  <c r="S241" i="1"/>
  <c r="T241" i="1"/>
  <c r="U241" i="1"/>
  <c r="V241" i="1"/>
  <c r="W241" i="1"/>
  <c r="X241" i="1"/>
  <c r="Y241" i="1"/>
  <c r="Z241" i="1"/>
  <c r="AA241" i="1"/>
  <c r="AB241" i="1"/>
  <c r="L242" i="1"/>
  <c r="M242" i="1"/>
  <c r="N242" i="1"/>
  <c r="O242" i="1"/>
  <c r="P242" i="1"/>
  <c r="Q242" i="1"/>
  <c r="R242" i="1"/>
  <c r="S242" i="1"/>
  <c r="T242" i="1"/>
  <c r="U242" i="1"/>
  <c r="V242" i="1"/>
  <c r="W242" i="1"/>
  <c r="X242" i="1"/>
  <c r="Y242" i="1"/>
  <c r="Z242" i="1"/>
  <c r="AA242" i="1"/>
  <c r="AB242" i="1"/>
  <c r="L243" i="1"/>
  <c r="M243" i="1"/>
  <c r="N243" i="1"/>
  <c r="O243" i="1"/>
  <c r="P243" i="1"/>
  <c r="Q243" i="1"/>
  <c r="R243" i="1"/>
  <c r="S243" i="1"/>
  <c r="T243" i="1"/>
  <c r="U243" i="1"/>
  <c r="V243" i="1"/>
  <c r="W243" i="1"/>
  <c r="X243" i="1"/>
  <c r="Y243" i="1"/>
  <c r="Z243" i="1"/>
  <c r="AA243" i="1"/>
  <c r="AB243" i="1"/>
  <c r="L244" i="1"/>
  <c r="M244" i="1"/>
  <c r="N244" i="1"/>
  <c r="O244" i="1"/>
  <c r="P244" i="1"/>
  <c r="Q244" i="1"/>
  <c r="R244" i="1"/>
  <c r="S244" i="1"/>
  <c r="T244" i="1"/>
  <c r="U244" i="1"/>
  <c r="V244" i="1"/>
  <c r="W244" i="1"/>
  <c r="X244" i="1"/>
  <c r="Y244" i="1"/>
  <c r="Z244" i="1"/>
  <c r="AA244" i="1"/>
  <c r="AB244" i="1"/>
  <c r="L245" i="1"/>
  <c r="M245" i="1"/>
  <c r="N245" i="1"/>
  <c r="O245" i="1"/>
  <c r="P245" i="1"/>
  <c r="Q245" i="1"/>
  <c r="R245" i="1"/>
  <c r="S245" i="1"/>
  <c r="T245" i="1"/>
  <c r="U245" i="1"/>
  <c r="V245" i="1"/>
  <c r="W245" i="1"/>
  <c r="X245" i="1"/>
  <c r="Y245" i="1"/>
  <c r="Z245" i="1"/>
  <c r="AA245" i="1"/>
  <c r="AB245" i="1"/>
  <c r="L246" i="1"/>
  <c r="M246" i="1"/>
  <c r="N246" i="1"/>
  <c r="O246" i="1"/>
  <c r="P246" i="1"/>
  <c r="Q246" i="1"/>
  <c r="R246" i="1"/>
  <c r="S246" i="1"/>
  <c r="T246" i="1"/>
  <c r="U246" i="1"/>
  <c r="V246" i="1"/>
  <c r="W246" i="1"/>
  <c r="X246" i="1"/>
  <c r="Y246" i="1"/>
  <c r="Z246" i="1"/>
  <c r="AA246" i="1"/>
  <c r="AB246" i="1"/>
  <c r="L247" i="1"/>
  <c r="M247" i="1"/>
  <c r="N247" i="1"/>
  <c r="O247" i="1"/>
  <c r="P247" i="1"/>
  <c r="Q247" i="1"/>
  <c r="R247" i="1"/>
  <c r="S247" i="1"/>
  <c r="T247" i="1"/>
  <c r="U247" i="1"/>
  <c r="V247" i="1"/>
  <c r="W247" i="1"/>
  <c r="X247" i="1"/>
  <c r="Y247" i="1"/>
  <c r="Z247" i="1"/>
  <c r="AA247" i="1"/>
  <c r="AB247" i="1"/>
  <c r="L248" i="1"/>
  <c r="M248" i="1"/>
  <c r="N248" i="1"/>
  <c r="O248" i="1"/>
  <c r="P248" i="1"/>
  <c r="Q248" i="1"/>
  <c r="R248" i="1"/>
  <c r="S248" i="1"/>
  <c r="T248" i="1"/>
  <c r="U248" i="1"/>
  <c r="V248" i="1"/>
  <c r="W248" i="1"/>
  <c r="X248" i="1"/>
  <c r="Y248" i="1"/>
  <c r="Z248" i="1"/>
  <c r="AA248" i="1"/>
  <c r="AB248" i="1"/>
  <c r="L249" i="1"/>
  <c r="M249" i="1"/>
  <c r="N249" i="1"/>
  <c r="O249" i="1"/>
  <c r="P249" i="1"/>
  <c r="Q249" i="1"/>
  <c r="R249" i="1"/>
  <c r="S249" i="1"/>
  <c r="T249" i="1"/>
  <c r="U249" i="1"/>
  <c r="V249" i="1"/>
  <c r="W249" i="1"/>
  <c r="X249" i="1"/>
  <c r="Y249" i="1"/>
  <c r="Z249" i="1"/>
  <c r="AA249" i="1"/>
  <c r="AB249" i="1"/>
  <c r="L250" i="1"/>
  <c r="M250" i="1"/>
  <c r="N250" i="1"/>
  <c r="O250" i="1"/>
  <c r="P250" i="1"/>
  <c r="Q250" i="1"/>
  <c r="R250" i="1"/>
  <c r="S250" i="1"/>
  <c r="T250" i="1"/>
  <c r="U250" i="1"/>
  <c r="V250" i="1"/>
  <c r="W250" i="1"/>
  <c r="X250" i="1"/>
  <c r="Y250" i="1"/>
  <c r="Z250" i="1"/>
  <c r="AA250" i="1"/>
  <c r="AB250" i="1"/>
  <c r="L251" i="1"/>
  <c r="M251" i="1"/>
  <c r="N251" i="1"/>
  <c r="O251" i="1"/>
  <c r="P251" i="1"/>
  <c r="Q251" i="1"/>
  <c r="R251" i="1"/>
  <c r="S251" i="1"/>
  <c r="T251" i="1"/>
  <c r="U251" i="1"/>
  <c r="V251" i="1"/>
  <c r="W251" i="1"/>
  <c r="X251" i="1"/>
  <c r="Y251" i="1"/>
  <c r="Z251" i="1"/>
  <c r="AA251" i="1"/>
  <c r="AB251" i="1"/>
  <c r="L252" i="1"/>
  <c r="M252" i="1"/>
  <c r="N252" i="1"/>
  <c r="O252" i="1"/>
  <c r="P252" i="1"/>
  <c r="Q252" i="1"/>
  <c r="R252" i="1"/>
  <c r="S252" i="1"/>
  <c r="T252" i="1"/>
  <c r="U252" i="1"/>
  <c r="V252" i="1"/>
  <c r="W252" i="1"/>
  <c r="X252" i="1"/>
  <c r="Y252" i="1"/>
  <c r="Z252" i="1"/>
  <c r="AA252" i="1"/>
  <c r="AB252" i="1"/>
  <c r="L253" i="1"/>
  <c r="M253" i="1"/>
  <c r="N253" i="1"/>
  <c r="O253" i="1"/>
  <c r="P253" i="1"/>
  <c r="Q253" i="1"/>
  <c r="R253" i="1"/>
  <c r="S253" i="1"/>
  <c r="T253" i="1"/>
  <c r="U253" i="1"/>
  <c r="V253" i="1"/>
  <c r="W253" i="1"/>
  <c r="X253" i="1"/>
  <c r="Y253" i="1"/>
  <c r="Z253" i="1"/>
  <c r="AA253" i="1"/>
  <c r="AB253" i="1"/>
  <c r="L254" i="1"/>
  <c r="M254" i="1"/>
  <c r="N254" i="1"/>
  <c r="O254" i="1"/>
  <c r="P254" i="1"/>
  <c r="Q254" i="1"/>
  <c r="R254" i="1"/>
  <c r="S254" i="1"/>
  <c r="T254" i="1"/>
  <c r="U254" i="1"/>
  <c r="V254" i="1"/>
  <c r="W254" i="1"/>
  <c r="X254" i="1"/>
  <c r="Y254" i="1"/>
  <c r="Z254" i="1"/>
  <c r="AA254" i="1"/>
  <c r="AB254" i="1"/>
  <c r="L255" i="1"/>
  <c r="M255" i="1"/>
  <c r="N255" i="1"/>
  <c r="O255" i="1"/>
  <c r="P255" i="1"/>
  <c r="Q255" i="1"/>
  <c r="R255" i="1"/>
  <c r="S255" i="1"/>
  <c r="T255" i="1"/>
  <c r="U255" i="1"/>
  <c r="V255" i="1"/>
  <c r="W255" i="1"/>
  <c r="X255" i="1"/>
  <c r="Y255" i="1"/>
  <c r="Z255" i="1"/>
  <c r="AA255" i="1"/>
  <c r="AB255" i="1"/>
  <c r="L256" i="1"/>
  <c r="M256" i="1"/>
  <c r="N256" i="1"/>
  <c r="O256" i="1"/>
  <c r="P256" i="1"/>
  <c r="Q256" i="1"/>
  <c r="R256" i="1"/>
  <c r="S256" i="1"/>
  <c r="T256" i="1"/>
  <c r="U256" i="1"/>
  <c r="V256" i="1"/>
  <c r="W256" i="1"/>
  <c r="X256" i="1"/>
  <c r="Y256" i="1"/>
  <c r="Z256" i="1"/>
  <c r="AA256" i="1"/>
  <c r="AB256" i="1"/>
  <c r="L257" i="1"/>
  <c r="M257" i="1"/>
  <c r="N257" i="1"/>
  <c r="O257" i="1"/>
  <c r="P257" i="1"/>
  <c r="Q257" i="1"/>
  <c r="R257" i="1"/>
  <c r="S257" i="1"/>
  <c r="T257" i="1"/>
  <c r="U257" i="1"/>
  <c r="V257" i="1"/>
  <c r="W257" i="1"/>
  <c r="X257" i="1"/>
  <c r="Y257" i="1"/>
  <c r="Z257" i="1"/>
  <c r="AA257" i="1"/>
  <c r="AB257" i="1"/>
  <c r="L258" i="1"/>
  <c r="M258" i="1"/>
  <c r="N258" i="1"/>
  <c r="O258" i="1"/>
  <c r="P258" i="1"/>
  <c r="Q258" i="1"/>
  <c r="R258" i="1"/>
  <c r="S258" i="1"/>
  <c r="T258" i="1"/>
  <c r="U258" i="1"/>
  <c r="V258" i="1"/>
  <c r="W258" i="1"/>
  <c r="X258" i="1"/>
  <c r="Y258" i="1"/>
  <c r="Z258" i="1"/>
  <c r="AA258" i="1"/>
  <c r="AB258" i="1"/>
  <c r="L259" i="1"/>
  <c r="M259" i="1"/>
  <c r="N259" i="1"/>
  <c r="O259" i="1"/>
  <c r="P259" i="1"/>
  <c r="Q259" i="1"/>
  <c r="R259" i="1"/>
  <c r="S259" i="1"/>
  <c r="T259" i="1"/>
  <c r="U259" i="1"/>
  <c r="V259" i="1"/>
  <c r="W259" i="1"/>
  <c r="X259" i="1"/>
  <c r="Y259" i="1"/>
  <c r="Z259" i="1"/>
  <c r="AA259" i="1"/>
  <c r="AB259" i="1"/>
  <c r="L260" i="1"/>
  <c r="M260" i="1"/>
  <c r="N260" i="1"/>
  <c r="O260" i="1"/>
  <c r="P260" i="1"/>
  <c r="Q260" i="1"/>
  <c r="R260" i="1"/>
  <c r="S260" i="1"/>
  <c r="T260" i="1"/>
  <c r="U260" i="1"/>
  <c r="V260" i="1"/>
  <c r="W260" i="1"/>
  <c r="X260" i="1"/>
  <c r="Y260" i="1"/>
  <c r="Z260" i="1"/>
  <c r="AA260" i="1"/>
  <c r="AB260" i="1"/>
  <c r="L261" i="1"/>
  <c r="M261" i="1"/>
  <c r="N261" i="1"/>
  <c r="O261" i="1"/>
  <c r="P261" i="1"/>
  <c r="Q261" i="1"/>
  <c r="R261" i="1"/>
  <c r="S261" i="1"/>
  <c r="T261" i="1"/>
  <c r="U261" i="1"/>
  <c r="V261" i="1"/>
  <c r="W261" i="1"/>
  <c r="X261" i="1"/>
  <c r="Y261" i="1"/>
  <c r="Z261" i="1"/>
  <c r="AA261" i="1"/>
  <c r="AB261" i="1"/>
  <c r="L262" i="1"/>
  <c r="M262" i="1"/>
  <c r="N262" i="1"/>
  <c r="O262" i="1"/>
  <c r="P262" i="1"/>
  <c r="Q262" i="1"/>
  <c r="R262" i="1"/>
  <c r="S262" i="1"/>
  <c r="T262" i="1"/>
  <c r="U262" i="1"/>
  <c r="V262" i="1"/>
  <c r="W262" i="1"/>
  <c r="X262" i="1"/>
  <c r="Y262" i="1"/>
  <c r="Z262" i="1"/>
  <c r="AA262" i="1"/>
  <c r="AB262" i="1"/>
  <c r="L263" i="1"/>
  <c r="M263" i="1"/>
  <c r="N263" i="1"/>
  <c r="O263" i="1"/>
  <c r="P263" i="1"/>
  <c r="Q263" i="1"/>
  <c r="R263" i="1"/>
  <c r="S263" i="1"/>
  <c r="T263" i="1"/>
  <c r="U263" i="1"/>
  <c r="V263" i="1"/>
  <c r="W263" i="1"/>
  <c r="X263" i="1"/>
  <c r="Y263" i="1"/>
  <c r="Z263" i="1"/>
  <c r="AA263" i="1"/>
  <c r="AB263" i="1"/>
  <c r="L264" i="1"/>
  <c r="M264" i="1"/>
  <c r="N264" i="1"/>
  <c r="O264" i="1"/>
  <c r="P264" i="1"/>
  <c r="Q264" i="1"/>
  <c r="R264" i="1"/>
  <c r="S264" i="1"/>
  <c r="T264" i="1"/>
  <c r="U264" i="1"/>
  <c r="V264" i="1"/>
  <c r="W264" i="1"/>
  <c r="X264" i="1"/>
  <c r="Y264" i="1"/>
  <c r="Z264" i="1"/>
  <c r="AA264" i="1"/>
  <c r="AB264" i="1"/>
  <c r="L265" i="1"/>
  <c r="M265" i="1"/>
  <c r="N265" i="1"/>
  <c r="O265" i="1"/>
  <c r="P265" i="1"/>
  <c r="Q265" i="1"/>
  <c r="R265" i="1"/>
  <c r="S265" i="1"/>
  <c r="T265" i="1"/>
  <c r="U265" i="1"/>
  <c r="V265" i="1"/>
  <c r="W265" i="1"/>
  <c r="X265" i="1"/>
  <c r="Y265" i="1"/>
  <c r="Z265" i="1"/>
  <c r="AA265" i="1"/>
  <c r="AB265" i="1"/>
  <c r="L266" i="1"/>
  <c r="M266" i="1"/>
  <c r="N266" i="1"/>
  <c r="O266" i="1"/>
  <c r="P266" i="1"/>
  <c r="Q266" i="1"/>
  <c r="R266" i="1"/>
  <c r="S266" i="1"/>
  <c r="T266" i="1"/>
  <c r="U266" i="1"/>
  <c r="V266" i="1"/>
  <c r="W266" i="1"/>
  <c r="X266" i="1"/>
  <c r="Y266" i="1"/>
  <c r="Z266" i="1"/>
  <c r="AA266" i="1"/>
  <c r="AB266" i="1"/>
  <c r="L267" i="1"/>
  <c r="M267" i="1"/>
  <c r="N267" i="1"/>
  <c r="O267" i="1"/>
  <c r="P267" i="1"/>
  <c r="Q267" i="1"/>
  <c r="R267" i="1"/>
  <c r="S267" i="1"/>
  <c r="T267" i="1"/>
  <c r="U267" i="1"/>
  <c r="V267" i="1"/>
  <c r="W267" i="1"/>
  <c r="X267" i="1"/>
  <c r="Y267" i="1"/>
  <c r="Z267" i="1"/>
  <c r="AA267" i="1"/>
  <c r="AB267" i="1"/>
  <c r="L268" i="1"/>
  <c r="M268" i="1"/>
  <c r="N268" i="1"/>
  <c r="O268" i="1"/>
  <c r="P268" i="1"/>
  <c r="Q268" i="1"/>
  <c r="R268" i="1"/>
  <c r="S268" i="1"/>
  <c r="T268" i="1"/>
  <c r="U268" i="1"/>
  <c r="V268" i="1"/>
  <c r="W268" i="1"/>
  <c r="X268" i="1"/>
  <c r="Y268" i="1"/>
  <c r="Z268" i="1"/>
  <c r="AA268" i="1"/>
  <c r="AB268" i="1"/>
  <c r="L269" i="1"/>
  <c r="M269" i="1"/>
  <c r="N269" i="1"/>
  <c r="O269" i="1"/>
  <c r="P269" i="1"/>
  <c r="Q269" i="1"/>
  <c r="R269" i="1"/>
  <c r="S269" i="1"/>
  <c r="T269" i="1"/>
  <c r="U269" i="1"/>
  <c r="V269" i="1"/>
  <c r="W269" i="1"/>
  <c r="X269" i="1"/>
  <c r="Y269" i="1"/>
  <c r="Z269" i="1"/>
  <c r="AA269" i="1"/>
  <c r="AB269" i="1"/>
  <c r="L270" i="1"/>
  <c r="M270" i="1"/>
  <c r="N270" i="1"/>
  <c r="O270" i="1"/>
  <c r="P270" i="1"/>
  <c r="Q270" i="1"/>
  <c r="R270" i="1"/>
  <c r="S270" i="1"/>
  <c r="T270" i="1"/>
  <c r="U270" i="1"/>
  <c r="V270" i="1"/>
  <c r="W270" i="1"/>
  <c r="X270" i="1"/>
  <c r="Y270" i="1"/>
  <c r="Z270" i="1"/>
  <c r="AA270" i="1"/>
  <c r="AB270" i="1"/>
  <c r="L271" i="1"/>
  <c r="M271" i="1"/>
  <c r="N271" i="1"/>
  <c r="O271" i="1"/>
  <c r="P271" i="1"/>
  <c r="Q271" i="1"/>
  <c r="R271" i="1"/>
  <c r="S271" i="1"/>
  <c r="T271" i="1"/>
  <c r="U271" i="1"/>
  <c r="V271" i="1"/>
  <c r="W271" i="1"/>
  <c r="X271" i="1"/>
  <c r="Y271" i="1"/>
  <c r="Z271" i="1"/>
  <c r="AA271" i="1"/>
  <c r="AB271" i="1"/>
  <c r="L272" i="1"/>
  <c r="M272" i="1"/>
  <c r="N272" i="1"/>
  <c r="O272" i="1"/>
  <c r="P272" i="1"/>
  <c r="Q272" i="1"/>
  <c r="R272" i="1"/>
  <c r="S272" i="1"/>
  <c r="T272" i="1"/>
  <c r="U272" i="1"/>
  <c r="V272" i="1"/>
  <c r="W272" i="1"/>
  <c r="X272" i="1"/>
  <c r="Y272" i="1"/>
  <c r="Z272" i="1"/>
  <c r="AA272" i="1"/>
  <c r="AB272" i="1"/>
  <c r="L273" i="1"/>
  <c r="M273" i="1"/>
  <c r="N273" i="1"/>
  <c r="O273" i="1"/>
  <c r="P273" i="1"/>
  <c r="Q273" i="1"/>
  <c r="R273" i="1"/>
  <c r="S273" i="1"/>
  <c r="T273" i="1"/>
  <c r="U273" i="1"/>
  <c r="V273" i="1"/>
  <c r="W273" i="1"/>
  <c r="X273" i="1"/>
  <c r="Y273" i="1"/>
  <c r="Z273" i="1"/>
  <c r="AA273" i="1"/>
  <c r="AB273" i="1"/>
  <c r="L274" i="1"/>
  <c r="M274" i="1"/>
  <c r="N274" i="1"/>
  <c r="O274" i="1"/>
  <c r="P274" i="1"/>
  <c r="Q274" i="1"/>
  <c r="R274" i="1"/>
  <c r="S274" i="1"/>
  <c r="T274" i="1"/>
  <c r="U274" i="1"/>
  <c r="V274" i="1"/>
  <c r="W274" i="1"/>
  <c r="X274" i="1"/>
  <c r="Y274" i="1"/>
  <c r="Z274" i="1"/>
  <c r="AA274" i="1"/>
  <c r="AB274" i="1"/>
  <c r="L275" i="1"/>
  <c r="M275" i="1"/>
  <c r="N275" i="1"/>
  <c r="O275" i="1"/>
  <c r="P275" i="1"/>
  <c r="Q275" i="1"/>
  <c r="R275" i="1"/>
  <c r="S275" i="1"/>
  <c r="T275" i="1"/>
  <c r="U275" i="1"/>
  <c r="V275" i="1"/>
  <c r="W275" i="1"/>
  <c r="X275" i="1"/>
  <c r="Y275" i="1"/>
  <c r="Z275" i="1"/>
  <c r="AA275" i="1"/>
  <c r="AB275" i="1"/>
  <c r="L276" i="1"/>
  <c r="M276" i="1"/>
  <c r="N276" i="1"/>
  <c r="O276" i="1"/>
  <c r="P276" i="1"/>
  <c r="Q276" i="1"/>
  <c r="R276" i="1"/>
  <c r="S276" i="1"/>
  <c r="T276" i="1"/>
  <c r="U276" i="1"/>
  <c r="V276" i="1"/>
  <c r="W276" i="1"/>
  <c r="X276" i="1"/>
  <c r="Y276" i="1"/>
  <c r="Z276" i="1"/>
  <c r="AA276" i="1"/>
  <c r="AB276" i="1"/>
  <c r="L277" i="1"/>
  <c r="M277" i="1"/>
  <c r="N277" i="1"/>
  <c r="O277" i="1"/>
  <c r="P277" i="1"/>
  <c r="Q277" i="1"/>
  <c r="R277" i="1"/>
  <c r="S277" i="1"/>
  <c r="T277" i="1"/>
  <c r="U277" i="1"/>
  <c r="V277" i="1"/>
  <c r="W277" i="1"/>
  <c r="X277" i="1"/>
  <c r="Y277" i="1"/>
  <c r="Z277" i="1"/>
  <c r="AA277" i="1"/>
  <c r="AB277" i="1"/>
  <c r="L278" i="1"/>
  <c r="M278" i="1"/>
  <c r="N278" i="1"/>
  <c r="O278" i="1"/>
  <c r="P278" i="1"/>
  <c r="Q278" i="1"/>
  <c r="R278" i="1"/>
  <c r="S278" i="1"/>
  <c r="T278" i="1"/>
  <c r="U278" i="1"/>
  <c r="V278" i="1"/>
  <c r="W278" i="1"/>
  <c r="X278" i="1"/>
  <c r="Y278" i="1"/>
  <c r="Z278" i="1"/>
  <c r="AA278" i="1"/>
  <c r="AB278" i="1"/>
  <c r="L279" i="1"/>
  <c r="M279" i="1"/>
  <c r="N279" i="1"/>
  <c r="O279" i="1"/>
  <c r="P279" i="1"/>
  <c r="Q279" i="1"/>
  <c r="R279" i="1"/>
  <c r="S279" i="1"/>
  <c r="T279" i="1"/>
  <c r="U279" i="1"/>
  <c r="V279" i="1"/>
  <c r="W279" i="1"/>
  <c r="X279" i="1"/>
  <c r="Y279" i="1"/>
  <c r="Z279" i="1"/>
  <c r="AA279" i="1"/>
  <c r="AB279" i="1"/>
  <c r="L280" i="1"/>
  <c r="M280" i="1"/>
  <c r="N280" i="1"/>
  <c r="O280" i="1"/>
  <c r="P280" i="1"/>
  <c r="Q280" i="1"/>
  <c r="R280" i="1"/>
  <c r="S280" i="1"/>
  <c r="T280" i="1"/>
  <c r="U280" i="1"/>
  <c r="V280" i="1"/>
  <c r="W280" i="1"/>
  <c r="X280" i="1"/>
  <c r="Y280" i="1"/>
  <c r="Z280" i="1"/>
  <c r="AA280" i="1"/>
  <c r="AB280" i="1"/>
  <c r="L281" i="1"/>
  <c r="M281" i="1"/>
  <c r="N281" i="1"/>
  <c r="O281" i="1"/>
  <c r="P281" i="1"/>
  <c r="Q281" i="1"/>
  <c r="R281" i="1"/>
  <c r="S281" i="1"/>
  <c r="T281" i="1"/>
  <c r="U281" i="1"/>
  <c r="V281" i="1"/>
  <c r="W281" i="1"/>
  <c r="X281" i="1"/>
  <c r="Y281" i="1"/>
  <c r="Z281" i="1"/>
  <c r="AA281" i="1"/>
  <c r="AB281" i="1"/>
  <c r="L282" i="1"/>
  <c r="M282" i="1"/>
  <c r="N282" i="1"/>
  <c r="O282" i="1"/>
  <c r="P282" i="1"/>
  <c r="Q282" i="1"/>
  <c r="R282" i="1"/>
  <c r="S282" i="1"/>
  <c r="T282" i="1"/>
  <c r="U282" i="1"/>
  <c r="V282" i="1"/>
  <c r="W282" i="1"/>
  <c r="X282" i="1"/>
  <c r="Y282" i="1"/>
  <c r="Z282" i="1"/>
  <c r="AA282" i="1"/>
  <c r="AB282" i="1"/>
  <c r="L283" i="1"/>
  <c r="M283" i="1"/>
  <c r="N283" i="1"/>
  <c r="O283" i="1"/>
  <c r="P283" i="1"/>
  <c r="Q283" i="1"/>
  <c r="R283" i="1"/>
  <c r="S283" i="1"/>
  <c r="T283" i="1"/>
  <c r="U283" i="1"/>
  <c r="V283" i="1"/>
  <c r="W283" i="1"/>
  <c r="X283" i="1"/>
  <c r="Y283" i="1"/>
  <c r="Z283" i="1"/>
  <c r="AA283" i="1"/>
  <c r="AB283" i="1"/>
  <c r="L284" i="1"/>
  <c r="M284" i="1"/>
  <c r="N284" i="1"/>
  <c r="O284" i="1"/>
  <c r="P284" i="1"/>
  <c r="Q284" i="1"/>
  <c r="R284" i="1"/>
  <c r="S284" i="1"/>
  <c r="T284" i="1"/>
  <c r="U284" i="1"/>
  <c r="V284" i="1"/>
  <c r="W284" i="1"/>
  <c r="X284" i="1"/>
  <c r="Y284" i="1"/>
  <c r="Z284" i="1"/>
  <c r="AA284" i="1"/>
  <c r="AB284" i="1"/>
  <c r="L285" i="1"/>
  <c r="M285" i="1"/>
  <c r="N285" i="1"/>
  <c r="O285" i="1"/>
  <c r="P285" i="1"/>
  <c r="Q285" i="1"/>
  <c r="R285" i="1"/>
  <c r="S285" i="1"/>
  <c r="T285" i="1"/>
  <c r="U285" i="1"/>
  <c r="V285" i="1"/>
  <c r="W285" i="1"/>
  <c r="X285" i="1"/>
  <c r="Y285" i="1"/>
  <c r="Z285" i="1"/>
  <c r="AA285" i="1"/>
  <c r="AB285" i="1"/>
  <c r="L286" i="1"/>
  <c r="M286" i="1"/>
  <c r="N286" i="1"/>
  <c r="O286" i="1"/>
  <c r="P286" i="1"/>
  <c r="Q286" i="1"/>
  <c r="R286" i="1"/>
  <c r="S286" i="1"/>
  <c r="T286" i="1"/>
  <c r="U286" i="1"/>
  <c r="V286" i="1"/>
  <c r="W286" i="1"/>
  <c r="X286" i="1"/>
  <c r="Y286" i="1"/>
  <c r="Z286" i="1"/>
  <c r="AA286" i="1"/>
  <c r="AB286" i="1"/>
  <c r="L287" i="1"/>
  <c r="M287" i="1"/>
  <c r="N287" i="1"/>
  <c r="O287" i="1"/>
  <c r="P287" i="1"/>
  <c r="Q287" i="1"/>
  <c r="R287" i="1"/>
  <c r="S287" i="1"/>
  <c r="T287" i="1"/>
  <c r="U287" i="1"/>
  <c r="V287" i="1"/>
  <c r="W287" i="1"/>
  <c r="X287" i="1"/>
  <c r="Y287" i="1"/>
  <c r="Z287" i="1"/>
  <c r="AA287" i="1"/>
  <c r="AB287" i="1"/>
  <c r="L288" i="1"/>
  <c r="M288" i="1"/>
  <c r="N288" i="1"/>
  <c r="O288" i="1"/>
  <c r="P288" i="1"/>
  <c r="Q288" i="1"/>
  <c r="R288" i="1"/>
  <c r="S288" i="1"/>
  <c r="T288" i="1"/>
  <c r="U288" i="1"/>
  <c r="V288" i="1"/>
  <c r="W288" i="1"/>
  <c r="X288" i="1"/>
  <c r="Y288" i="1"/>
  <c r="Z288" i="1"/>
  <c r="AA288" i="1"/>
  <c r="AB288" i="1"/>
  <c r="L289" i="1"/>
  <c r="M289" i="1"/>
  <c r="N289" i="1"/>
  <c r="O289" i="1"/>
  <c r="P289" i="1"/>
  <c r="Q289" i="1"/>
  <c r="R289" i="1"/>
  <c r="S289" i="1"/>
  <c r="T289" i="1"/>
  <c r="U289" i="1"/>
  <c r="V289" i="1"/>
  <c r="W289" i="1"/>
  <c r="X289" i="1"/>
  <c r="Y289" i="1"/>
  <c r="Z289" i="1"/>
  <c r="AA289" i="1"/>
  <c r="AB289" i="1"/>
  <c r="L290" i="1"/>
  <c r="M290" i="1"/>
  <c r="N290" i="1"/>
  <c r="O290" i="1"/>
  <c r="P290" i="1"/>
  <c r="Q290" i="1"/>
  <c r="R290" i="1"/>
  <c r="S290" i="1"/>
  <c r="T290" i="1"/>
  <c r="U290" i="1"/>
  <c r="V290" i="1"/>
  <c r="W290" i="1"/>
  <c r="X290" i="1"/>
  <c r="Y290" i="1"/>
  <c r="Z290" i="1"/>
  <c r="AA290" i="1"/>
  <c r="AB290" i="1"/>
  <c r="L291" i="1"/>
  <c r="M291" i="1"/>
  <c r="N291" i="1"/>
  <c r="O291" i="1"/>
  <c r="P291" i="1"/>
  <c r="Q291" i="1"/>
  <c r="R291" i="1"/>
  <c r="S291" i="1"/>
  <c r="T291" i="1"/>
  <c r="U291" i="1"/>
  <c r="V291" i="1"/>
  <c r="W291" i="1"/>
  <c r="X291" i="1"/>
  <c r="Y291" i="1"/>
  <c r="Z291" i="1"/>
  <c r="AA291" i="1"/>
  <c r="AB291" i="1"/>
  <c r="L292" i="1"/>
  <c r="M292" i="1"/>
  <c r="N292" i="1"/>
  <c r="O292" i="1"/>
  <c r="P292" i="1"/>
  <c r="Q292" i="1"/>
  <c r="R292" i="1"/>
  <c r="S292" i="1"/>
  <c r="T292" i="1"/>
  <c r="U292" i="1"/>
  <c r="V292" i="1"/>
  <c r="W292" i="1"/>
  <c r="X292" i="1"/>
  <c r="Y292" i="1"/>
  <c r="Z292" i="1"/>
  <c r="AA292" i="1"/>
  <c r="AB292" i="1"/>
  <c r="L293" i="1"/>
  <c r="M293" i="1"/>
  <c r="N293" i="1"/>
  <c r="O293" i="1"/>
  <c r="P293" i="1"/>
  <c r="Q293" i="1"/>
  <c r="R293" i="1"/>
  <c r="S293" i="1"/>
  <c r="T293" i="1"/>
  <c r="U293" i="1"/>
  <c r="V293" i="1"/>
  <c r="W293" i="1"/>
  <c r="X293" i="1"/>
  <c r="Y293" i="1"/>
  <c r="Z293" i="1"/>
  <c r="AA293" i="1"/>
  <c r="AB293" i="1"/>
  <c r="L294" i="1"/>
  <c r="M294" i="1"/>
  <c r="N294" i="1"/>
  <c r="O294" i="1"/>
  <c r="P294" i="1"/>
  <c r="Q294" i="1"/>
  <c r="R294" i="1"/>
  <c r="S294" i="1"/>
  <c r="T294" i="1"/>
  <c r="U294" i="1"/>
  <c r="V294" i="1"/>
  <c r="W294" i="1"/>
  <c r="X294" i="1"/>
  <c r="Y294" i="1"/>
  <c r="Z294" i="1"/>
  <c r="AA294" i="1"/>
  <c r="AB294" i="1"/>
  <c r="L295" i="1"/>
  <c r="M295" i="1"/>
  <c r="N295" i="1"/>
  <c r="O295" i="1"/>
  <c r="P295" i="1"/>
  <c r="Q295" i="1"/>
  <c r="R295" i="1"/>
  <c r="S295" i="1"/>
  <c r="T295" i="1"/>
  <c r="U295" i="1"/>
  <c r="V295" i="1"/>
  <c r="W295" i="1"/>
  <c r="X295" i="1"/>
  <c r="Y295" i="1"/>
  <c r="Z295" i="1"/>
  <c r="AA295" i="1"/>
  <c r="AB295" i="1"/>
  <c r="L296" i="1"/>
  <c r="M296" i="1"/>
  <c r="N296" i="1"/>
  <c r="O296" i="1"/>
  <c r="P296" i="1"/>
  <c r="Q296" i="1"/>
  <c r="R296" i="1"/>
  <c r="S296" i="1"/>
  <c r="T296" i="1"/>
  <c r="U296" i="1"/>
  <c r="V296" i="1"/>
  <c r="W296" i="1"/>
  <c r="X296" i="1"/>
  <c r="Y296" i="1"/>
  <c r="Z296" i="1"/>
  <c r="AA296" i="1"/>
  <c r="AB296" i="1"/>
  <c r="L297" i="1"/>
  <c r="M297" i="1"/>
  <c r="N297" i="1"/>
  <c r="O297" i="1"/>
  <c r="P297" i="1"/>
  <c r="Q297" i="1"/>
  <c r="R297" i="1"/>
  <c r="S297" i="1"/>
  <c r="T297" i="1"/>
  <c r="U297" i="1"/>
  <c r="V297" i="1"/>
  <c r="W297" i="1"/>
  <c r="X297" i="1"/>
  <c r="Y297" i="1"/>
  <c r="Z297" i="1"/>
  <c r="AA297" i="1"/>
  <c r="AB297" i="1"/>
  <c r="L298" i="1"/>
  <c r="M298" i="1"/>
  <c r="N298" i="1"/>
  <c r="O298" i="1"/>
  <c r="P298" i="1"/>
  <c r="Q298" i="1"/>
  <c r="R298" i="1"/>
  <c r="S298" i="1"/>
  <c r="T298" i="1"/>
  <c r="U298" i="1"/>
  <c r="V298" i="1"/>
  <c r="W298" i="1"/>
  <c r="X298" i="1"/>
  <c r="Y298" i="1"/>
  <c r="Z298" i="1"/>
  <c r="AA298" i="1"/>
  <c r="AB298" i="1"/>
  <c r="L299" i="1"/>
  <c r="M299" i="1"/>
  <c r="N299" i="1"/>
  <c r="O299" i="1"/>
  <c r="P299" i="1"/>
  <c r="Q299" i="1"/>
  <c r="R299" i="1"/>
  <c r="S299" i="1"/>
  <c r="T299" i="1"/>
  <c r="U299" i="1"/>
  <c r="V299" i="1"/>
  <c r="W299" i="1"/>
  <c r="X299" i="1"/>
  <c r="Y299" i="1"/>
  <c r="Z299" i="1"/>
  <c r="AA299" i="1"/>
  <c r="AB299" i="1"/>
  <c r="L300" i="1"/>
  <c r="M300" i="1"/>
  <c r="N300" i="1"/>
  <c r="O300" i="1"/>
  <c r="P300" i="1"/>
  <c r="Q300" i="1"/>
  <c r="R300" i="1"/>
  <c r="S300" i="1"/>
  <c r="T300" i="1"/>
  <c r="U300" i="1"/>
  <c r="V300" i="1"/>
  <c r="W300" i="1"/>
  <c r="X300" i="1"/>
  <c r="Y300" i="1"/>
  <c r="Z300" i="1"/>
  <c r="AA300" i="1"/>
  <c r="AB300" i="1"/>
  <c r="L301" i="1"/>
  <c r="M301" i="1"/>
  <c r="N301" i="1"/>
  <c r="O301" i="1"/>
  <c r="P301" i="1"/>
  <c r="Q301" i="1"/>
  <c r="R301" i="1"/>
  <c r="S301" i="1"/>
  <c r="T301" i="1"/>
  <c r="U301" i="1"/>
  <c r="V301" i="1"/>
  <c r="W301" i="1"/>
  <c r="X301" i="1"/>
  <c r="Y301" i="1"/>
  <c r="Z301" i="1"/>
  <c r="AA301" i="1"/>
  <c r="AB301" i="1"/>
  <c r="L302" i="1"/>
  <c r="M302" i="1"/>
  <c r="N302" i="1"/>
  <c r="O302" i="1"/>
  <c r="P302" i="1"/>
  <c r="Q302" i="1"/>
  <c r="R302" i="1"/>
  <c r="S302" i="1"/>
  <c r="T302" i="1"/>
  <c r="U302" i="1"/>
  <c r="V302" i="1"/>
  <c r="W302" i="1"/>
  <c r="X302" i="1"/>
  <c r="Y302" i="1"/>
  <c r="Z302" i="1"/>
  <c r="AA302" i="1"/>
  <c r="AB302" i="1"/>
  <c r="L303" i="1"/>
  <c r="M303" i="1"/>
  <c r="N303" i="1"/>
  <c r="O303" i="1"/>
  <c r="P303" i="1"/>
  <c r="Q303" i="1"/>
  <c r="R303" i="1"/>
  <c r="S303" i="1"/>
  <c r="T303" i="1"/>
  <c r="U303" i="1"/>
  <c r="V303" i="1"/>
  <c r="W303" i="1"/>
  <c r="X303" i="1"/>
  <c r="Y303" i="1"/>
  <c r="Z303" i="1"/>
  <c r="AA303" i="1"/>
  <c r="AB303" i="1"/>
  <c r="L304" i="1"/>
  <c r="M304" i="1"/>
  <c r="N304" i="1"/>
  <c r="O304" i="1"/>
  <c r="P304" i="1"/>
  <c r="Q304" i="1"/>
  <c r="R304" i="1"/>
  <c r="S304" i="1"/>
  <c r="T304" i="1"/>
  <c r="U304" i="1"/>
  <c r="V304" i="1"/>
  <c r="W304" i="1"/>
  <c r="X304" i="1"/>
  <c r="Y304" i="1"/>
  <c r="Z304" i="1"/>
  <c r="AA304" i="1"/>
  <c r="AB304" i="1"/>
  <c r="L305" i="1"/>
  <c r="M305" i="1"/>
  <c r="N305" i="1"/>
  <c r="O305" i="1"/>
  <c r="P305" i="1"/>
  <c r="Q305" i="1"/>
  <c r="R305" i="1"/>
  <c r="S305" i="1"/>
  <c r="T305" i="1"/>
  <c r="U305" i="1"/>
  <c r="V305" i="1"/>
  <c r="W305" i="1"/>
  <c r="X305" i="1"/>
  <c r="Y305" i="1"/>
  <c r="Z305" i="1"/>
  <c r="AA305" i="1"/>
  <c r="AB305" i="1"/>
  <c r="L306" i="1"/>
  <c r="M306" i="1"/>
  <c r="N306" i="1"/>
  <c r="O306" i="1"/>
  <c r="P306" i="1"/>
  <c r="Q306" i="1"/>
  <c r="R306" i="1"/>
  <c r="S306" i="1"/>
  <c r="T306" i="1"/>
  <c r="U306" i="1"/>
  <c r="V306" i="1"/>
  <c r="W306" i="1"/>
  <c r="X306" i="1"/>
  <c r="Y306" i="1"/>
  <c r="Z306" i="1"/>
  <c r="AA306" i="1"/>
  <c r="AB306" i="1"/>
  <c r="L307" i="1"/>
  <c r="M307" i="1"/>
  <c r="N307" i="1"/>
  <c r="O307" i="1"/>
  <c r="P307" i="1"/>
  <c r="Q307" i="1"/>
  <c r="R307" i="1"/>
  <c r="S307" i="1"/>
  <c r="T307" i="1"/>
  <c r="U307" i="1"/>
  <c r="V307" i="1"/>
  <c r="W307" i="1"/>
  <c r="X307" i="1"/>
  <c r="Y307" i="1"/>
  <c r="Z307" i="1"/>
  <c r="AA307" i="1"/>
  <c r="AB307" i="1"/>
  <c r="L308" i="1"/>
  <c r="M308" i="1"/>
  <c r="N308" i="1"/>
  <c r="O308" i="1"/>
  <c r="P308" i="1"/>
  <c r="Q308" i="1"/>
  <c r="R308" i="1"/>
  <c r="S308" i="1"/>
  <c r="T308" i="1"/>
  <c r="U308" i="1"/>
  <c r="V308" i="1"/>
  <c r="W308" i="1"/>
  <c r="X308" i="1"/>
  <c r="Y308" i="1"/>
  <c r="Z308" i="1"/>
  <c r="AA308" i="1"/>
  <c r="AB308" i="1"/>
  <c r="L309" i="1"/>
  <c r="M309" i="1"/>
  <c r="N309" i="1"/>
  <c r="O309" i="1"/>
  <c r="P309" i="1"/>
  <c r="Q309" i="1"/>
  <c r="R309" i="1"/>
  <c r="S309" i="1"/>
  <c r="T309" i="1"/>
  <c r="U309" i="1"/>
  <c r="V309" i="1"/>
  <c r="W309" i="1"/>
  <c r="X309" i="1"/>
  <c r="Y309" i="1"/>
  <c r="Z309" i="1"/>
  <c r="AA309" i="1"/>
  <c r="AB309" i="1"/>
  <c r="L310" i="1"/>
  <c r="M310" i="1"/>
  <c r="N310" i="1"/>
  <c r="O310" i="1"/>
  <c r="P310" i="1"/>
  <c r="Q310" i="1"/>
  <c r="R310" i="1"/>
  <c r="S310" i="1"/>
  <c r="T310" i="1"/>
  <c r="U310" i="1"/>
  <c r="V310" i="1"/>
  <c r="W310" i="1"/>
  <c r="X310" i="1"/>
  <c r="Y310" i="1"/>
  <c r="Z310" i="1"/>
  <c r="AA310" i="1"/>
  <c r="AB310" i="1"/>
  <c r="L311" i="1"/>
  <c r="M311" i="1"/>
  <c r="N311" i="1"/>
  <c r="O311" i="1"/>
  <c r="P311" i="1"/>
  <c r="Q311" i="1"/>
  <c r="R311" i="1"/>
  <c r="S311" i="1"/>
  <c r="T311" i="1"/>
  <c r="U311" i="1"/>
  <c r="V311" i="1"/>
  <c r="W311" i="1"/>
  <c r="X311" i="1"/>
  <c r="Y311" i="1"/>
  <c r="Z311" i="1"/>
  <c r="AA311" i="1"/>
  <c r="AB311" i="1"/>
  <c r="L312" i="1"/>
  <c r="M312" i="1"/>
  <c r="N312" i="1"/>
  <c r="O312" i="1"/>
  <c r="P312" i="1"/>
  <c r="Q312" i="1"/>
  <c r="R312" i="1"/>
  <c r="S312" i="1"/>
  <c r="T312" i="1"/>
  <c r="U312" i="1"/>
  <c r="V312" i="1"/>
  <c r="W312" i="1"/>
  <c r="X312" i="1"/>
  <c r="Y312" i="1"/>
  <c r="Z312" i="1"/>
  <c r="AA312" i="1"/>
  <c r="AB312" i="1"/>
  <c r="L313" i="1"/>
  <c r="M313" i="1"/>
  <c r="N313" i="1"/>
  <c r="O313" i="1"/>
  <c r="P313" i="1"/>
  <c r="Q313" i="1"/>
  <c r="R313" i="1"/>
  <c r="S313" i="1"/>
  <c r="T313" i="1"/>
  <c r="U313" i="1"/>
  <c r="V313" i="1"/>
  <c r="W313" i="1"/>
  <c r="X313" i="1"/>
  <c r="Y313" i="1"/>
  <c r="Z313" i="1"/>
  <c r="AA313" i="1"/>
  <c r="AB313" i="1"/>
  <c r="L314" i="1"/>
  <c r="M314" i="1"/>
  <c r="N314" i="1"/>
  <c r="O314" i="1"/>
  <c r="P314" i="1"/>
  <c r="Q314" i="1"/>
  <c r="R314" i="1"/>
  <c r="S314" i="1"/>
  <c r="T314" i="1"/>
  <c r="U314" i="1"/>
  <c r="V314" i="1"/>
  <c r="W314" i="1"/>
  <c r="X314" i="1"/>
  <c r="Y314" i="1"/>
  <c r="Z314" i="1"/>
  <c r="AA314" i="1"/>
  <c r="AB314" i="1"/>
  <c r="L315" i="1"/>
  <c r="M315" i="1"/>
  <c r="N315" i="1"/>
  <c r="O315" i="1"/>
  <c r="P315" i="1"/>
  <c r="Q315" i="1"/>
  <c r="R315" i="1"/>
  <c r="S315" i="1"/>
  <c r="T315" i="1"/>
  <c r="U315" i="1"/>
  <c r="V315" i="1"/>
  <c r="W315" i="1"/>
  <c r="X315" i="1"/>
  <c r="Y315" i="1"/>
  <c r="Z315" i="1"/>
  <c r="AA315" i="1"/>
  <c r="AB315" i="1"/>
  <c r="L316" i="1"/>
  <c r="M316" i="1"/>
  <c r="N316" i="1"/>
  <c r="O316" i="1"/>
  <c r="P316" i="1"/>
  <c r="Q316" i="1"/>
  <c r="R316" i="1"/>
  <c r="S316" i="1"/>
  <c r="T316" i="1"/>
  <c r="U316" i="1"/>
  <c r="V316" i="1"/>
  <c r="W316" i="1"/>
  <c r="X316" i="1"/>
  <c r="Y316" i="1"/>
  <c r="Z316" i="1"/>
  <c r="AA316" i="1"/>
  <c r="AB316" i="1"/>
  <c r="L317" i="1"/>
  <c r="M317" i="1"/>
  <c r="N317" i="1"/>
  <c r="O317" i="1"/>
  <c r="P317" i="1"/>
  <c r="Q317" i="1"/>
  <c r="R317" i="1"/>
  <c r="S317" i="1"/>
  <c r="T317" i="1"/>
  <c r="U317" i="1"/>
  <c r="V317" i="1"/>
  <c r="W317" i="1"/>
  <c r="X317" i="1"/>
  <c r="Y317" i="1"/>
  <c r="Z317" i="1"/>
  <c r="AA317" i="1"/>
  <c r="AB317" i="1"/>
  <c r="L318" i="1"/>
  <c r="M318" i="1"/>
  <c r="N318" i="1"/>
  <c r="O318" i="1"/>
  <c r="P318" i="1"/>
  <c r="Q318" i="1"/>
  <c r="R318" i="1"/>
  <c r="S318" i="1"/>
  <c r="T318" i="1"/>
  <c r="U318" i="1"/>
  <c r="V318" i="1"/>
  <c r="W318" i="1"/>
  <c r="X318" i="1"/>
  <c r="Y318" i="1"/>
  <c r="Z318" i="1"/>
  <c r="AA318" i="1"/>
  <c r="AB318" i="1"/>
  <c r="L319" i="1"/>
  <c r="M319" i="1"/>
  <c r="N319" i="1"/>
  <c r="O319" i="1"/>
  <c r="P319" i="1"/>
  <c r="Q319" i="1"/>
  <c r="R319" i="1"/>
  <c r="S319" i="1"/>
  <c r="T319" i="1"/>
  <c r="U319" i="1"/>
  <c r="V319" i="1"/>
  <c r="W319" i="1"/>
  <c r="X319" i="1"/>
  <c r="Y319" i="1"/>
  <c r="Z319" i="1"/>
  <c r="AA319" i="1"/>
  <c r="AB319" i="1"/>
  <c r="L320" i="1"/>
  <c r="M320" i="1"/>
  <c r="N320" i="1"/>
  <c r="O320" i="1"/>
  <c r="P320" i="1"/>
  <c r="Q320" i="1"/>
  <c r="R320" i="1"/>
  <c r="S320" i="1"/>
  <c r="T320" i="1"/>
  <c r="U320" i="1"/>
  <c r="V320" i="1"/>
  <c r="W320" i="1"/>
  <c r="X320" i="1"/>
  <c r="Y320" i="1"/>
  <c r="Z320" i="1"/>
  <c r="AA320" i="1"/>
  <c r="AB320" i="1"/>
  <c r="L321" i="1"/>
  <c r="M321" i="1"/>
  <c r="N321" i="1"/>
  <c r="O321" i="1"/>
  <c r="P321" i="1"/>
  <c r="Q321" i="1"/>
  <c r="R321" i="1"/>
  <c r="S321" i="1"/>
  <c r="T321" i="1"/>
  <c r="U321" i="1"/>
  <c r="V321" i="1"/>
  <c r="W321" i="1"/>
  <c r="X321" i="1"/>
  <c r="Y321" i="1"/>
  <c r="Z321" i="1"/>
  <c r="AA321" i="1"/>
  <c r="AB321" i="1"/>
  <c r="L322" i="1"/>
  <c r="M322" i="1"/>
  <c r="N322" i="1"/>
  <c r="O322" i="1"/>
  <c r="P322" i="1"/>
  <c r="Q322" i="1"/>
  <c r="R322" i="1"/>
  <c r="S322" i="1"/>
  <c r="T322" i="1"/>
  <c r="U322" i="1"/>
  <c r="V322" i="1"/>
  <c r="W322" i="1"/>
  <c r="X322" i="1"/>
  <c r="Y322" i="1"/>
  <c r="Z322" i="1"/>
  <c r="AA322" i="1"/>
  <c r="AB322" i="1"/>
  <c r="L323" i="1"/>
  <c r="M323" i="1"/>
  <c r="N323" i="1"/>
  <c r="O323" i="1"/>
  <c r="P323" i="1"/>
  <c r="Q323" i="1"/>
  <c r="R323" i="1"/>
  <c r="S323" i="1"/>
  <c r="T323" i="1"/>
  <c r="U323" i="1"/>
  <c r="V323" i="1"/>
  <c r="W323" i="1"/>
  <c r="X323" i="1"/>
  <c r="Y323" i="1"/>
  <c r="Z323" i="1"/>
  <c r="AA323" i="1"/>
  <c r="AB323" i="1"/>
  <c r="L324" i="1"/>
  <c r="M324" i="1"/>
  <c r="N324" i="1"/>
  <c r="O324" i="1"/>
  <c r="P324" i="1"/>
  <c r="Q324" i="1"/>
  <c r="R324" i="1"/>
  <c r="S324" i="1"/>
  <c r="T324" i="1"/>
  <c r="U324" i="1"/>
  <c r="V324" i="1"/>
  <c r="W324" i="1"/>
  <c r="X324" i="1"/>
  <c r="Y324" i="1"/>
  <c r="Z324" i="1"/>
  <c r="AA324" i="1"/>
  <c r="AB324" i="1"/>
  <c r="L325" i="1"/>
  <c r="M325" i="1"/>
  <c r="N325" i="1"/>
  <c r="O325" i="1"/>
  <c r="P325" i="1"/>
  <c r="Q325" i="1"/>
  <c r="R325" i="1"/>
  <c r="S325" i="1"/>
  <c r="T325" i="1"/>
  <c r="U325" i="1"/>
  <c r="V325" i="1"/>
  <c r="W325" i="1"/>
  <c r="X325" i="1"/>
  <c r="Y325" i="1"/>
  <c r="Z325" i="1"/>
  <c r="AA325" i="1"/>
  <c r="AB325" i="1"/>
  <c r="L326" i="1"/>
  <c r="M326" i="1"/>
  <c r="N326" i="1"/>
  <c r="O326" i="1"/>
  <c r="P326" i="1"/>
  <c r="Q326" i="1"/>
  <c r="R326" i="1"/>
  <c r="S326" i="1"/>
  <c r="T326" i="1"/>
  <c r="U326" i="1"/>
  <c r="V326" i="1"/>
  <c r="W326" i="1"/>
  <c r="X326" i="1"/>
  <c r="Y326" i="1"/>
  <c r="Z326" i="1"/>
  <c r="AA326" i="1"/>
  <c r="AB326" i="1"/>
  <c r="L327" i="1"/>
  <c r="M327" i="1"/>
  <c r="N327" i="1"/>
  <c r="O327" i="1"/>
  <c r="P327" i="1"/>
  <c r="Q327" i="1"/>
  <c r="R327" i="1"/>
  <c r="S327" i="1"/>
  <c r="T327" i="1"/>
  <c r="U327" i="1"/>
  <c r="V327" i="1"/>
  <c r="W327" i="1"/>
  <c r="X327" i="1"/>
  <c r="Y327" i="1"/>
  <c r="Z327" i="1"/>
  <c r="AA327" i="1"/>
  <c r="AB327" i="1"/>
  <c r="L328" i="1"/>
  <c r="M328" i="1"/>
  <c r="N328" i="1"/>
  <c r="O328" i="1"/>
  <c r="P328" i="1"/>
  <c r="Q328" i="1"/>
  <c r="R328" i="1"/>
  <c r="S328" i="1"/>
  <c r="T328" i="1"/>
  <c r="U328" i="1"/>
  <c r="V328" i="1"/>
  <c r="W328" i="1"/>
  <c r="X328" i="1"/>
  <c r="Y328" i="1"/>
  <c r="Z328" i="1"/>
  <c r="AA328" i="1"/>
  <c r="AB328" i="1"/>
  <c r="L329" i="1"/>
  <c r="M329" i="1"/>
  <c r="N329" i="1"/>
  <c r="O329" i="1"/>
  <c r="P329" i="1"/>
  <c r="Q329" i="1"/>
  <c r="R329" i="1"/>
  <c r="S329" i="1"/>
  <c r="T329" i="1"/>
  <c r="U329" i="1"/>
  <c r="V329" i="1"/>
  <c r="W329" i="1"/>
  <c r="X329" i="1"/>
  <c r="Y329" i="1"/>
  <c r="Z329" i="1"/>
  <c r="AA329" i="1"/>
  <c r="AB329" i="1"/>
  <c r="L330" i="1"/>
  <c r="M330" i="1"/>
  <c r="N330" i="1"/>
  <c r="O330" i="1"/>
  <c r="P330" i="1"/>
  <c r="Q330" i="1"/>
  <c r="R330" i="1"/>
  <c r="S330" i="1"/>
  <c r="T330" i="1"/>
  <c r="U330" i="1"/>
  <c r="V330" i="1"/>
  <c r="W330" i="1"/>
  <c r="X330" i="1"/>
  <c r="Y330" i="1"/>
  <c r="Z330" i="1"/>
  <c r="AA330" i="1"/>
  <c r="AB330" i="1"/>
  <c r="L331" i="1"/>
  <c r="M331" i="1"/>
  <c r="N331" i="1"/>
  <c r="O331" i="1"/>
  <c r="P331" i="1"/>
  <c r="Q331" i="1"/>
  <c r="R331" i="1"/>
  <c r="S331" i="1"/>
  <c r="T331" i="1"/>
  <c r="U331" i="1"/>
  <c r="V331" i="1"/>
  <c r="W331" i="1"/>
  <c r="X331" i="1"/>
  <c r="Y331" i="1"/>
  <c r="Z331" i="1"/>
  <c r="AA331" i="1"/>
  <c r="AB331" i="1"/>
  <c r="L332" i="1"/>
  <c r="M332" i="1"/>
  <c r="N332" i="1"/>
  <c r="O332" i="1"/>
  <c r="P332" i="1"/>
  <c r="Q332" i="1"/>
  <c r="R332" i="1"/>
  <c r="S332" i="1"/>
  <c r="T332" i="1"/>
  <c r="U332" i="1"/>
  <c r="V332" i="1"/>
  <c r="W332" i="1"/>
  <c r="X332" i="1"/>
  <c r="Y332" i="1"/>
  <c r="Z332" i="1"/>
  <c r="AA332" i="1"/>
  <c r="AB332" i="1"/>
  <c r="L333" i="1"/>
  <c r="M333" i="1"/>
  <c r="N333" i="1"/>
  <c r="O333" i="1"/>
  <c r="P333" i="1"/>
  <c r="Q333" i="1"/>
  <c r="R333" i="1"/>
  <c r="S333" i="1"/>
  <c r="T333" i="1"/>
  <c r="U333" i="1"/>
  <c r="V333" i="1"/>
  <c r="W333" i="1"/>
  <c r="X333" i="1"/>
  <c r="Y333" i="1"/>
  <c r="Z333" i="1"/>
  <c r="AA333" i="1"/>
  <c r="AB333" i="1"/>
  <c r="L334" i="1"/>
  <c r="M334" i="1"/>
  <c r="N334" i="1"/>
  <c r="O334" i="1"/>
  <c r="P334" i="1"/>
  <c r="Q334" i="1"/>
  <c r="R334" i="1"/>
  <c r="S334" i="1"/>
  <c r="T334" i="1"/>
  <c r="U334" i="1"/>
  <c r="V334" i="1"/>
  <c r="W334" i="1"/>
  <c r="X334" i="1"/>
  <c r="Y334" i="1"/>
  <c r="Z334" i="1"/>
  <c r="AA334" i="1"/>
  <c r="AB334" i="1"/>
  <c r="L335" i="1"/>
  <c r="M335" i="1"/>
  <c r="N335" i="1"/>
  <c r="O335" i="1"/>
  <c r="P335" i="1"/>
  <c r="Q335" i="1"/>
  <c r="R335" i="1"/>
  <c r="S335" i="1"/>
  <c r="T335" i="1"/>
  <c r="U335" i="1"/>
  <c r="V335" i="1"/>
  <c r="W335" i="1"/>
  <c r="X335" i="1"/>
  <c r="Y335" i="1"/>
  <c r="Z335" i="1"/>
  <c r="AA335" i="1"/>
  <c r="AB335" i="1"/>
  <c r="L336" i="1"/>
  <c r="M336" i="1"/>
  <c r="N336" i="1"/>
  <c r="O336" i="1"/>
  <c r="P336" i="1"/>
  <c r="Q336" i="1"/>
  <c r="R336" i="1"/>
  <c r="S336" i="1"/>
  <c r="T336" i="1"/>
  <c r="U336" i="1"/>
  <c r="V336" i="1"/>
  <c r="W336" i="1"/>
  <c r="X336" i="1"/>
  <c r="Y336" i="1"/>
  <c r="Z336" i="1"/>
  <c r="AA336" i="1"/>
  <c r="AB336" i="1"/>
  <c r="L337" i="1"/>
  <c r="M337" i="1"/>
  <c r="N337" i="1"/>
  <c r="O337" i="1"/>
  <c r="P337" i="1"/>
  <c r="Q337" i="1"/>
  <c r="R337" i="1"/>
  <c r="S337" i="1"/>
  <c r="T337" i="1"/>
  <c r="U337" i="1"/>
  <c r="V337" i="1"/>
  <c r="W337" i="1"/>
  <c r="X337" i="1"/>
  <c r="Y337" i="1"/>
  <c r="Z337" i="1"/>
  <c r="AA337" i="1"/>
  <c r="AB337" i="1"/>
  <c r="L338" i="1"/>
  <c r="M338" i="1"/>
  <c r="N338" i="1"/>
  <c r="O338" i="1"/>
  <c r="P338" i="1"/>
  <c r="Q338" i="1"/>
  <c r="R338" i="1"/>
  <c r="S338" i="1"/>
  <c r="T338" i="1"/>
  <c r="U338" i="1"/>
  <c r="V338" i="1"/>
  <c r="W338" i="1"/>
  <c r="X338" i="1"/>
  <c r="Y338" i="1"/>
  <c r="Z338" i="1"/>
  <c r="AA338" i="1"/>
  <c r="AB338" i="1"/>
  <c r="L339" i="1"/>
  <c r="M339" i="1"/>
  <c r="N339" i="1"/>
  <c r="O339" i="1"/>
  <c r="P339" i="1"/>
  <c r="Q339" i="1"/>
  <c r="R339" i="1"/>
  <c r="S339" i="1"/>
  <c r="T339" i="1"/>
  <c r="U339" i="1"/>
  <c r="V339" i="1"/>
  <c r="W339" i="1"/>
  <c r="X339" i="1"/>
  <c r="Y339" i="1"/>
  <c r="Z339" i="1"/>
  <c r="AA339" i="1"/>
  <c r="AB339" i="1"/>
  <c r="L340" i="1"/>
  <c r="M340" i="1"/>
  <c r="N340" i="1"/>
  <c r="O340" i="1"/>
  <c r="P340" i="1"/>
  <c r="Q340" i="1"/>
  <c r="R340" i="1"/>
  <c r="S340" i="1"/>
  <c r="T340" i="1"/>
  <c r="U340" i="1"/>
  <c r="V340" i="1"/>
  <c r="W340" i="1"/>
  <c r="X340" i="1"/>
  <c r="Y340" i="1"/>
  <c r="Z340" i="1"/>
  <c r="AA340" i="1"/>
  <c r="AB340" i="1"/>
  <c r="L341" i="1"/>
  <c r="M341" i="1"/>
  <c r="N341" i="1"/>
  <c r="O341" i="1"/>
  <c r="P341" i="1"/>
  <c r="Q341" i="1"/>
  <c r="R341" i="1"/>
  <c r="S341" i="1"/>
  <c r="T341" i="1"/>
  <c r="U341" i="1"/>
  <c r="V341" i="1"/>
  <c r="W341" i="1"/>
  <c r="X341" i="1"/>
  <c r="Y341" i="1"/>
  <c r="Z341" i="1"/>
  <c r="AA341" i="1"/>
  <c r="AB341" i="1"/>
  <c r="L342" i="1"/>
  <c r="M342" i="1"/>
  <c r="N342" i="1"/>
  <c r="O342" i="1"/>
  <c r="P342" i="1"/>
  <c r="Q342" i="1"/>
  <c r="R342" i="1"/>
  <c r="S342" i="1"/>
  <c r="T342" i="1"/>
  <c r="U342" i="1"/>
  <c r="V342" i="1"/>
  <c r="W342" i="1"/>
  <c r="X342" i="1"/>
  <c r="Y342" i="1"/>
  <c r="Z342" i="1"/>
  <c r="AA342" i="1"/>
  <c r="AB342" i="1"/>
  <c r="L343" i="1"/>
  <c r="M343" i="1"/>
  <c r="N343" i="1"/>
  <c r="O343" i="1"/>
  <c r="P343" i="1"/>
  <c r="Q343" i="1"/>
  <c r="R343" i="1"/>
  <c r="S343" i="1"/>
  <c r="T343" i="1"/>
  <c r="U343" i="1"/>
  <c r="V343" i="1"/>
  <c r="W343" i="1"/>
  <c r="X343" i="1"/>
  <c r="Y343" i="1"/>
  <c r="Z343" i="1"/>
  <c r="AA343" i="1"/>
  <c r="AB343" i="1"/>
  <c r="L344" i="1"/>
  <c r="M344" i="1"/>
  <c r="N344" i="1"/>
  <c r="O344" i="1"/>
  <c r="P344" i="1"/>
  <c r="Q344" i="1"/>
  <c r="R344" i="1"/>
  <c r="S344" i="1"/>
  <c r="T344" i="1"/>
  <c r="U344" i="1"/>
  <c r="V344" i="1"/>
  <c r="W344" i="1"/>
  <c r="X344" i="1"/>
  <c r="Y344" i="1"/>
  <c r="Z344" i="1"/>
  <c r="AA344" i="1"/>
  <c r="AB344" i="1"/>
  <c r="L345" i="1"/>
  <c r="M345" i="1"/>
  <c r="N345" i="1"/>
  <c r="O345" i="1"/>
  <c r="P345" i="1"/>
  <c r="Q345" i="1"/>
  <c r="R345" i="1"/>
  <c r="S345" i="1"/>
  <c r="T345" i="1"/>
  <c r="U345" i="1"/>
  <c r="V345" i="1"/>
  <c r="W345" i="1"/>
  <c r="X345" i="1"/>
  <c r="Y345" i="1"/>
  <c r="Z345" i="1"/>
  <c r="AA345" i="1"/>
  <c r="AB345" i="1"/>
  <c r="L346" i="1"/>
  <c r="M346" i="1"/>
  <c r="N346" i="1"/>
  <c r="O346" i="1"/>
  <c r="P346" i="1"/>
  <c r="Q346" i="1"/>
  <c r="R346" i="1"/>
  <c r="S346" i="1"/>
  <c r="T346" i="1"/>
  <c r="U346" i="1"/>
  <c r="V346" i="1"/>
  <c r="W346" i="1"/>
  <c r="X346" i="1"/>
  <c r="Y346" i="1"/>
  <c r="Z346" i="1"/>
  <c r="AA346" i="1"/>
  <c r="AB346" i="1"/>
  <c r="L347" i="1"/>
  <c r="M347" i="1"/>
  <c r="N347" i="1"/>
  <c r="O347" i="1"/>
  <c r="P347" i="1"/>
  <c r="Q347" i="1"/>
  <c r="R347" i="1"/>
  <c r="S347" i="1"/>
  <c r="T347" i="1"/>
  <c r="U347" i="1"/>
  <c r="V347" i="1"/>
  <c r="W347" i="1"/>
  <c r="X347" i="1"/>
  <c r="Y347" i="1"/>
  <c r="Z347" i="1"/>
  <c r="AA347" i="1"/>
  <c r="AB347" i="1"/>
  <c r="L348" i="1"/>
  <c r="M348" i="1"/>
  <c r="N348" i="1"/>
  <c r="O348" i="1"/>
  <c r="P348" i="1"/>
  <c r="Q348" i="1"/>
  <c r="R348" i="1"/>
  <c r="S348" i="1"/>
  <c r="T348" i="1"/>
  <c r="U348" i="1"/>
  <c r="V348" i="1"/>
  <c r="W348" i="1"/>
  <c r="X348" i="1"/>
  <c r="Y348" i="1"/>
  <c r="Z348" i="1"/>
  <c r="AA348" i="1"/>
  <c r="AB348" i="1"/>
  <c r="L349" i="1"/>
  <c r="M349" i="1"/>
  <c r="N349" i="1"/>
  <c r="O349" i="1"/>
  <c r="P349" i="1"/>
  <c r="Q349" i="1"/>
  <c r="R349" i="1"/>
  <c r="S349" i="1"/>
  <c r="T349" i="1"/>
  <c r="U349" i="1"/>
  <c r="V349" i="1"/>
  <c r="W349" i="1"/>
  <c r="X349" i="1"/>
  <c r="Y349" i="1"/>
  <c r="Z349" i="1"/>
  <c r="AA349" i="1"/>
  <c r="AB349" i="1"/>
  <c r="L350" i="1"/>
  <c r="M350" i="1"/>
  <c r="N350" i="1"/>
  <c r="O350" i="1"/>
  <c r="P350" i="1"/>
  <c r="Q350" i="1"/>
  <c r="R350" i="1"/>
  <c r="S350" i="1"/>
  <c r="T350" i="1"/>
  <c r="U350" i="1"/>
  <c r="V350" i="1"/>
  <c r="W350" i="1"/>
  <c r="X350" i="1"/>
  <c r="Y350" i="1"/>
  <c r="Z350" i="1"/>
  <c r="AA350" i="1"/>
  <c r="AB350" i="1"/>
  <c r="L351" i="1"/>
  <c r="M351" i="1"/>
  <c r="N351" i="1"/>
  <c r="O351" i="1"/>
  <c r="P351" i="1"/>
  <c r="Q351" i="1"/>
  <c r="R351" i="1"/>
  <c r="S351" i="1"/>
  <c r="T351" i="1"/>
  <c r="U351" i="1"/>
  <c r="V351" i="1"/>
  <c r="W351" i="1"/>
  <c r="X351" i="1"/>
  <c r="Y351" i="1"/>
  <c r="Z351" i="1"/>
  <c r="AA351" i="1"/>
  <c r="AB351" i="1"/>
  <c r="L352" i="1"/>
  <c r="M352" i="1"/>
  <c r="N352" i="1"/>
  <c r="O352" i="1"/>
  <c r="P352" i="1"/>
  <c r="Q352" i="1"/>
  <c r="R352" i="1"/>
  <c r="S352" i="1"/>
  <c r="T352" i="1"/>
  <c r="U352" i="1"/>
  <c r="V352" i="1"/>
  <c r="W352" i="1"/>
  <c r="X352" i="1"/>
  <c r="Y352" i="1"/>
  <c r="Z352" i="1"/>
  <c r="AA352" i="1"/>
  <c r="AB352" i="1"/>
  <c r="L353" i="1"/>
  <c r="M353" i="1"/>
  <c r="N353" i="1"/>
  <c r="O353" i="1"/>
  <c r="P353" i="1"/>
  <c r="Q353" i="1"/>
  <c r="R353" i="1"/>
  <c r="S353" i="1"/>
  <c r="T353" i="1"/>
  <c r="U353" i="1"/>
  <c r="V353" i="1"/>
  <c r="W353" i="1"/>
  <c r="X353" i="1"/>
  <c r="Y353" i="1"/>
  <c r="Z353" i="1"/>
  <c r="AA353" i="1"/>
  <c r="AB353" i="1"/>
  <c r="L354" i="1"/>
  <c r="M354" i="1"/>
  <c r="N354" i="1"/>
  <c r="O354" i="1"/>
  <c r="P354" i="1"/>
  <c r="Q354" i="1"/>
  <c r="R354" i="1"/>
  <c r="S354" i="1"/>
  <c r="T354" i="1"/>
  <c r="U354" i="1"/>
  <c r="V354" i="1"/>
  <c r="W354" i="1"/>
  <c r="X354" i="1"/>
  <c r="Y354" i="1"/>
  <c r="Z354" i="1"/>
  <c r="AA354" i="1"/>
  <c r="AB354" i="1"/>
  <c r="L355" i="1"/>
  <c r="M355" i="1"/>
  <c r="N355" i="1"/>
  <c r="O355" i="1"/>
  <c r="P355" i="1"/>
  <c r="Q355" i="1"/>
  <c r="R355" i="1"/>
  <c r="S355" i="1"/>
  <c r="T355" i="1"/>
  <c r="U355" i="1"/>
  <c r="V355" i="1"/>
  <c r="W355" i="1"/>
  <c r="X355" i="1"/>
  <c r="Y355" i="1"/>
  <c r="Z355" i="1"/>
  <c r="AA355" i="1"/>
  <c r="AB355" i="1"/>
  <c r="L356" i="1"/>
  <c r="M356" i="1"/>
  <c r="N356" i="1"/>
  <c r="O356" i="1"/>
  <c r="P356" i="1"/>
  <c r="Q356" i="1"/>
  <c r="R356" i="1"/>
  <c r="S356" i="1"/>
  <c r="T356" i="1"/>
  <c r="U356" i="1"/>
  <c r="V356" i="1"/>
  <c r="W356" i="1"/>
  <c r="X356" i="1"/>
  <c r="Y356" i="1"/>
  <c r="Z356" i="1"/>
  <c r="AA356" i="1"/>
  <c r="AB356" i="1"/>
  <c r="L357" i="1"/>
  <c r="M357" i="1"/>
  <c r="N357" i="1"/>
  <c r="O357" i="1"/>
  <c r="P357" i="1"/>
  <c r="Q357" i="1"/>
  <c r="R357" i="1"/>
  <c r="S357" i="1"/>
  <c r="T357" i="1"/>
  <c r="U357" i="1"/>
  <c r="V357" i="1"/>
  <c r="W357" i="1"/>
  <c r="X357" i="1"/>
  <c r="Y357" i="1"/>
  <c r="Z357" i="1"/>
  <c r="AA357" i="1"/>
  <c r="AB357" i="1"/>
  <c r="L358" i="1"/>
  <c r="M358" i="1"/>
  <c r="N358" i="1"/>
  <c r="O358" i="1"/>
  <c r="P358" i="1"/>
  <c r="Q358" i="1"/>
  <c r="R358" i="1"/>
  <c r="S358" i="1"/>
  <c r="T358" i="1"/>
  <c r="U358" i="1"/>
  <c r="V358" i="1"/>
  <c r="W358" i="1"/>
  <c r="X358" i="1"/>
  <c r="Y358" i="1"/>
  <c r="Z358" i="1"/>
  <c r="AA358" i="1"/>
  <c r="AB358" i="1"/>
  <c r="L359" i="1"/>
  <c r="M359" i="1"/>
  <c r="N359" i="1"/>
  <c r="O359" i="1"/>
  <c r="P359" i="1"/>
  <c r="Q359" i="1"/>
  <c r="R359" i="1"/>
  <c r="S359" i="1"/>
  <c r="T359" i="1"/>
  <c r="U359" i="1"/>
  <c r="V359" i="1"/>
  <c r="W359" i="1"/>
  <c r="X359" i="1"/>
  <c r="Y359" i="1"/>
  <c r="Z359" i="1"/>
  <c r="AA359" i="1"/>
  <c r="AB359" i="1"/>
  <c r="L360" i="1"/>
  <c r="M360" i="1"/>
  <c r="N360" i="1"/>
  <c r="O360" i="1"/>
  <c r="P360" i="1"/>
  <c r="Q360" i="1"/>
  <c r="R360" i="1"/>
  <c r="S360" i="1"/>
  <c r="T360" i="1"/>
  <c r="U360" i="1"/>
  <c r="V360" i="1"/>
  <c r="W360" i="1"/>
  <c r="X360" i="1"/>
  <c r="Y360" i="1"/>
  <c r="Z360" i="1"/>
  <c r="AA360" i="1"/>
  <c r="AB360" i="1"/>
  <c r="L361" i="1"/>
  <c r="M361" i="1"/>
  <c r="N361" i="1"/>
  <c r="O361" i="1"/>
  <c r="P361" i="1"/>
  <c r="Q361" i="1"/>
  <c r="R361" i="1"/>
  <c r="S361" i="1"/>
  <c r="T361" i="1"/>
  <c r="U361" i="1"/>
  <c r="V361" i="1"/>
  <c r="W361" i="1"/>
  <c r="X361" i="1"/>
  <c r="Y361" i="1"/>
  <c r="Z361" i="1"/>
  <c r="AA361" i="1"/>
  <c r="AB361" i="1"/>
  <c r="L362" i="1"/>
  <c r="M362" i="1"/>
  <c r="N362" i="1"/>
  <c r="O362" i="1"/>
  <c r="P362" i="1"/>
  <c r="Q362" i="1"/>
  <c r="R362" i="1"/>
  <c r="S362" i="1"/>
  <c r="T362" i="1"/>
  <c r="U362" i="1"/>
  <c r="V362" i="1"/>
  <c r="W362" i="1"/>
  <c r="X362" i="1"/>
  <c r="Y362" i="1"/>
  <c r="Z362" i="1"/>
  <c r="AA362" i="1"/>
  <c r="AB362" i="1"/>
  <c r="L363" i="1"/>
  <c r="M363" i="1"/>
  <c r="N363" i="1"/>
  <c r="O363" i="1"/>
  <c r="P363" i="1"/>
  <c r="Q363" i="1"/>
  <c r="R363" i="1"/>
  <c r="S363" i="1"/>
  <c r="T363" i="1"/>
  <c r="U363" i="1"/>
  <c r="V363" i="1"/>
  <c r="W363" i="1"/>
  <c r="X363" i="1"/>
  <c r="Y363" i="1"/>
  <c r="Z363" i="1"/>
  <c r="AA363" i="1"/>
  <c r="AB363" i="1"/>
  <c r="L364" i="1"/>
  <c r="M364" i="1"/>
  <c r="N364" i="1"/>
  <c r="O364" i="1"/>
  <c r="P364" i="1"/>
  <c r="Q364" i="1"/>
  <c r="R364" i="1"/>
  <c r="S364" i="1"/>
  <c r="T364" i="1"/>
  <c r="U364" i="1"/>
  <c r="V364" i="1"/>
  <c r="W364" i="1"/>
  <c r="X364" i="1"/>
  <c r="Y364" i="1"/>
  <c r="Z364" i="1"/>
  <c r="AA364" i="1"/>
  <c r="AB364" i="1"/>
  <c r="L365" i="1"/>
  <c r="M365" i="1"/>
  <c r="N365" i="1"/>
  <c r="O365" i="1"/>
  <c r="P365" i="1"/>
  <c r="Q365" i="1"/>
  <c r="R365" i="1"/>
  <c r="S365" i="1"/>
  <c r="T365" i="1"/>
  <c r="U365" i="1"/>
  <c r="V365" i="1"/>
  <c r="W365" i="1"/>
  <c r="X365" i="1"/>
  <c r="Y365" i="1"/>
  <c r="Z365" i="1"/>
  <c r="AA365" i="1"/>
  <c r="AB365" i="1"/>
  <c r="L366" i="1"/>
  <c r="M366" i="1"/>
  <c r="N366" i="1"/>
  <c r="O366" i="1"/>
  <c r="P366" i="1"/>
  <c r="Q366" i="1"/>
  <c r="R366" i="1"/>
  <c r="S366" i="1"/>
  <c r="T366" i="1"/>
  <c r="U366" i="1"/>
  <c r="V366" i="1"/>
  <c r="W366" i="1"/>
  <c r="X366" i="1"/>
  <c r="Y366" i="1"/>
  <c r="Z366" i="1"/>
  <c r="AA366" i="1"/>
  <c r="AB366" i="1"/>
  <c r="L367" i="1"/>
  <c r="M367" i="1"/>
  <c r="N367" i="1"/>
  <c r="O367" i="1"/>
  <c r="P367" i="1"/>
  <c r="Q367" i="1"/>
  <c r="R367" i="1"/>
  <c r="S367" i="1"/>
  <c r="T367" i="1"/>
  <c r="U367" i="1"/>
  <c r="V367" i="1"/>
  <c r="W367" i="1"/>
  <c r="X367" i="1"/>
  <c r="Y367" i="1"/>
  <c r="Z367" i="1"/>
  <c r="AA367" i="1"/>
  <c r="AB367" i="1"/>
  <c r="L368" i="1"/>
  <c r="M368" i="1"/>
  <c r="N368" i="1"/>
  <c r="O368" i="1"/>
  <c r="P368" i="1"/>
  <c r="Q368" i="1"/>
  <c r="R368" i="1"/>
  <c r="S368" i="1"/>
  <c r="T368" i="1"/>
  <c r="U368" i="1"/>
  <c r="V368" i="1"/>
  <c r="W368" i="1"/>
  <c r="X368" i="1"/>
  <c r="Y368" i="1"/>
  <c r="Z368" i="1"/>
  <c r="AA368" i="1"/>
  <c r="AB368" i="1"/>
  <c r="L369" i="1"/>
  <c r="M369" i="1"/>
  <c r="N369" i="1"/>
  <c r="O369" i="1"/>
  <c r="P369" i="1"/>
  <c r="Q369" i="1"/>
  <c r="R369" i="1"/>
  <c r="S369" i="1"/>
  <c r="T369" i="1"/>
  <c r="U369" i="1"/>
  <c r="V369" i="1"/>
  <c r="W369" i="1"/>
  <c r="X369" i="1"/>
  <c r="Y369" i="1"/>
  <c r="Z369" i="1"/>
  <c r="AA369" i="1"/>
  <c r="AB369" i="1"/>
  <c r="L370" i="1"/>
  <c r="M370" i="1"/>
  <c r="N370" i="1"/>
  <c r="O370" i="1"/>
  <c r="P370" i="1"/>
  <c r="Q370" i="1"/>
  <c r="R370" i="1"/>
  <c r="S370" i="1"/>
  <c r="T370" i="1"/>
  <c r="U370" i="1"/>
  <c r="V370" i="1"/>
  <c r="W370" i="1"/>
  <c r="X370" i="1"/>
  <c r="Y370" i="1"/>
  <c r="Z370" i="1"/>
  <c r="AA370" i="1"/>
  <c r="AB370" i="1"/>
  <c r="L371" i="1"/>
  <c r="M371" i="1"/>
  <c r="N371" i="1"/>
  <c r="O371" i="1"/>
  <c r="P371" i="1"/>
  <c r="Q371" i="1"/>
  <c r="R371" i="1"/>
  <c r="S371" i="1"/>
  <c r="T371" i="1"/>
  <c r="U371" i="1"/>
  <c r="V371" i="1"/>
  <c r="W371" i="1"/>
  <c r="X371" i="1"/>
  <c r="Y371" i="1"/>
  <c r="Z371" i="1"/>
  <c r="AA371" i="1"/>
  <c r="AB371" i="1"/>
  <c r="L372" i="1"/>
  <c r="M372" i="1"/>
  <c r="N372" i="1"/>
  <c r="O372" i="1"/>
  <c r="P372" i="1"/>
  <c r="Q372" i="1"/>
  <c r="R372" i="1"/>
  <c r="S372" i="1"/>
  <c r="T372" i="1"/>
  <c r="U372" i="1"/>
  <c r="V372" i="1"/>
  <c r="W372" i="1"/>
  <c r="X372" i="1"/>
  <c r="Y372" i="1"/>
  <c r="Z372" i="1"/>
  <c r="AA372" i="1"/>
  <c r="AB372" i="1"/>
  <c r="L373" i="1"/>
  <c r="M373" i="1"/>
  <c r="N373" i="1"/>
  <c r="O373" i="1"/>
  <c r="P373" i="1"/>
  <c r="Q373" i="1"/>
  <c r="R373" i="1"/>
  <c r="S373" i="1"/>
  <c r="T373" i="1"/>
  <c r="U373" i="1"/>
  <c r="V373" i="1"/>
  <c r="W373" i="1"/>
  <c r="X373" i="1"/>
  <c r="Y373" i="1"/>
  <c r="Z373" i="1"/>
  <c r="AA373" i="1"/>
  <c r="AB373" i="1"/>
  <c r="L374" i="1"/>
  <c r="M374" i="1"/>
  <c r="N374" i="1"/>
  <c r="O374" i="1"/>
  <c r="P374" i="1"/>
  <c r="Q374" i="1"/>
  <c r="R374" i="1"/>
  <c r="S374" i="1"/>
  <c r="T374" i="1"/>
  <c r="U374" i="1"/>
  <c r="V374" i="1"/>
  <c r="W374" i="1"/>
  <c r="X374" i="1"/>
  <c r="Y374" i="1"/>
  <c r="Z374" i="1"/>
  <c r="AA374" i="1"/>
  <c r="AB374" i="1"/>
  <c r="L375" i="1"/>
  <c r="M375" i="1"/>
  <c r="N375" i="1"/>
  <c r="O375" i="1"/>
  <c r="P375" i="1"/>
  <c r="Q375" i="1"/>
  <c r="R375" i="1"/>
  <c r="S375" i="1"/>
  <c r="T375" i="1"/>
  <c r="U375" i="1"/>
  <c r="V375" i="1"/>
  <c r="W375" i="1"/>
  <c r="X375" i="1"/>
  <c r="Y375" i="1"/>
  <c r="Z375" i="1"/>
  <c r="AA375" i="1"/>
  <c r="AB375" i="1"/>
  <c r="L376" i="1"/>
  <c r="M376" i="1"/>
  <c r="N376" i="1"/>
  <c r="O376" i="1"/>
  <c r="P376" i="1"/>
  <c r="Q376" i="1"/>
  <c r="R376" i="1"/>
  <c r="S376" i="1"/>
  <c r="T376" i="1"/>
  <c r="U376" i="1"/>
  <c r="V376" i="1"/>
  <c r="W376" i="1"/>
  <c r="X376" i="1"/>
  <c r="Y376" i="1"/>
  <c r="Z376" i="1"/>
  <c r="AA376" i="1"/>
  <c r="AB376" i="1"/>
  <c r="L377" i="1"/>
  <c r="M377" i="1"/>
  <c r="N377" i="1"/>
  <c r="O377" i="1"/>
  <c r="P377" i="1"/>
  <c r="Q377" i="1"/>
  <c r="R377" i="1"/>
  <c r="S377" i="1"/>
  <c r="T377" i="1"/>
  <c r="U377" i="1"/>
  <c r="V377" i="1"/>
  <c r="W377" i="1"/>
  <c r="X377" i="1"/>
  <c r="Y377" i="1"/>
  <c r="Z377" i="1"/>
  <c r="AA377" i="1"/>
  <c r="AB377" i="1"/>
  <c r="L378" i="1"/>
  <c r="M378" i="1"/>
  <c r="N378" i="1"/>
  <c r="O378" i="1"/>
  <c r="P378" i="1"/>
  <c r="Q378" i="1"/>
  <c r="R378" i="1"/>
  <c r="S378" i="1"/>
  <c r="T378" i="1"/>
  <c r="U378" i="1"/>
  <c r="V378" i="1"/>
  <c r="W378" i="1"/>
  <c r="X378" i="1"/>
  <c r="Y378" i="1"/>
  <c r="Z378" i="1"/>
  <c r="AA378" i="1"/>
  <c r="AB378" i="1"/>
  <c r="L379" i="1"/>
  <c r="M379" i="1"/>
  <c r="N379" i="1"/>
  <c r="O379" i="1"/>
  <c r="P379" i="1"/>
  <c r="Q379" i="1"/>
  <c r="R379" i="1"/>
  <c r="S379" i="1"/>
  <c r="T379" i="1"/>
  <c r="U379" i="1"/>
  <c r="V379" i="1"/>
  <c r="W379" i="1"/>
  <c r="X379" i="1"/>
  <c r="Y379" i="1"/>
  <c r="Z379" i="1"/>
  <c r="AA379" i="1"/>
  <c r="AB379" i="1"/>
  <c r="L380" i="1"/>
  <c r="M380" i="1"/>
  <c r="N380" i="1"/>
  <c r="O380" i="1"/>
  <c r="P380" i="1"/>
  <c r="Q380" i="1"/>
  <c r="R380" i="1"/>
  <c r="S380" i="1"/>
  <c r="T380" i="1"/>
  <c r="U380" i="1"/>
  <c r="V380" i="1"/>
  <c r="W380" i="1"/>
  <c r="X380" i="1"/>
  <c r="Y380" i="1"/>
  <c r="Z380" i="1"/>
  <c r="AA380" i="1"/>
  <c r="AB380" i="1"/>
  <c r="L381" i="1"/>
  <c r="M381" i="1"/>
  <c r="N381" i="1"/>
  <c r="O381" i="1"/>
  <c r="P381" i="1"/>
  <c r="Q381" i="1"/>
  <c r="R381" i="1"/>
  <c r="S381" i="1"/>
  <c r="T381" i="1"/>
  <c r="U381" i="1"/>
  <c r="V381" i="1"/>
  <c r="W381" i="1"/>
  <c r="X381" i="1"/>
  <c r="Y381" i="1"/>
  <c r="Z381" i="1"/>
  <c r="AA381" i="1"/>
  <c r="AB381" i="1"/>
  <c r="L382" i="1"/>
  <c r="M382" i="1"/>
  <c r="N382" i="1"/>
  <c r="O382" i="1"/>
  <c r="P382" i="1"/>
  <c r="Q382" i="1"/>
  <c r="R382" i="1"/>
  <c r="S382" i="1"/>
  <c r="T382" i="1"/>
  <c r="U382" i="1"/>
  <c r="V382" i="1"/>
  <c r="W382" i="1"/>
  <c r="X382" i="1"/>
  <c r="Y382" i="1"/>
  <c r="Z382" i="1"/>
  <c r="AA382" i="1"/>
  <c r="AB382" i="1"/>
  <c r="L383" i="1"/>
  <c r="M383" i="1"/>
  <c r="N383" i="1"/>
  <c r="O383" i="1"/>
  <c r="P383" i="1"/>
  <c r="Q383" i="1"/>
  <c r="R383" i="1"/>
  <c r="S383" i="1"/>
  <c r="T383" i="1"/>
  <c r="U383" i="1"/>
  <c r="V383" i="1"/>
  <c r="W383" i="1"/>
  <c r="X383" i="1"/>
  <c r="Y383" i="1"/>
  <c r="Z383" i="1"/>
  <c r="AA383" i="1"/>
  <c r="AB383" i="1"/>
  <c r="L384" i="1"/>
  <c r="M384" i="1"/>
  <c r="N384" i="1"/>
  <c r="O384" i="1"/>
  <c r="P384" i="1"/>
  <c r="Q384" i="1"/>
  <c r="R384" i="1"/>
  <c r="S384" i="1"/>
  <c r="T384" i="1"/>
  <c r="U384" i="1"/>
  <c r="V384" i="1"/>
  <c r="W384" i="1"/>
  <c r="X384" i="1"/>
  <c r="Y384" i="1"/>
  <c r="Z384" i="1"/>
  <c r="AA384" i="1"/>
  <c r="AB384" i="1"/>
  <c r="L385" i="1"/>
  <c r="M385" i="1"/>
  <c r="N385" i="1"/>
  <c r="O385" i="1"/>
  <c r="P385" i="1"/>
  <c r="Q385" i="1"/>
  <c r="R385" i="1"/>
  <c r="S385" i="1"/>
  <c r="T385" i="1"/>
  <c r="U385" i="1"/>
  <c r="V385" i="1"/>
  <c r="W385" i="1"/>
  <c r="X385" i="1"/>
  <c r="Y385" i="1"/>
  <c r="Z385" i="1"/>
  <c r="AA385" i="1"/>
  <c r="AB385" i="1"/>
  <c r="L386" i="1"/>
  <c r="M386" i="1"/>
  <c r="N386" i="1"/>
  <c r="O386" i="1"/>
  <c r="P386" i="1"/>
  <c r="Q386" i="1"/>
  <c r="R386" i="1"/>
  <c r="S386" i="1"/>
  <c r="T386" i="1"/>
  <c r="U386" i="1"/>
  <c r="V386" i="1"/>
  <c r="W386" i="1"/>
  <c r="X386" i="1"/>
  <c r="Y386" i="1"/>
  <c r="Z386" i="1"/>
  <c r="AA386" i="1"/>
  <c r="AB386" i="1"/>
  <c r="L387" i="1"/>
  <c r="M387" i="1"/>
  <c r="N387" i="1"/>
  <c r="O387" i="1"/>
  <c r="P387" i="1"/>
  <c r="Q387" i="1"/>
  <c r="R387" i="1"/>
  <c r="S387" i="1"/>
  <c r="T387" i="1"/>
  <c r="U387" i="1"/>
  <c r="V387" i="1"/>
  <c r="W387" i="1"/>
  <c r="X387" i="1"/>
  <c r="Y387" i="1"/>
  <c r="Z387" i="1"/>
  <c r="AA387" i="1"/>
  <c r="AB387" i="1"/>
  <c r="L388" i="1"/>
  <c r="M388" i="1"/>
  <c r="N388" i="1"/>
  <c r="O388" i="1"/>
  <c r="P388" i="1"/>
  <c r="Q388" i="1"/>
  <c r="R388" i="1"/>
  <c r="S388" i="1"/>
  <c r="T388" i="1"/>
  <c r="U388" i="1"/>
  <c r="V388" i="1"/>
  <c r="W388" i="1"/>
  <c r="X388" i="1"/>
  <c r="Y388" i="1"/>
  <c r="Z388" i="1"/>
  <c r="AA388" i="1"/>
  <c r="AB388" i="1"/>
  <c r="L389" i="1"/>
  <c r="M389" i="1"/>
  <c r="N389" i="1"/>
  <c r="O389" i="1"/>
  <c r="P389" i="1"/>
  <c r="Q389" i="1"/>
  <c r="R389" i="1"/>
  <c r="S389" i="1"/>
  <c r="T389" i="1"/>
  <c r="U389" i="1"/>
  <c r="V389" i="1"/>
  <c r="W389" i="1"/>
  <c r="X389" i="1"/>
  <c r="Y389" i="1"/>
  <c r="Z389" i="1"/>
  <c r="AA389" i="1"/>
  <c r="AB389" i="1"/>
  <c r="L390" i="1"/>
  <c r="M390" i="1"/>
  <c r="N390" i="1"/>
  <c r="O390" i="1"/>
  <c r="P390" i="1"/>
  <c r="Q390" i="1"/>
  <c r="R390" i="1"/>
  <c r="S390" i="1"/>
  <c r="T390" i="1"/>
  <c r="U390" i="1"/>
  <c r="V390" i="1"/>
  <c r="W390" i="1"/>
  <c r="X390" i="1"/>
  <c r="Y390" i="1"/>
  <c r="Z390" i="1"/>
  <c r="AA390" i="1"/>
  <c r="AB390" i="1"/>
  <c r="L391" i="1"/>
  <c r="M391" i="1"/>
  <c r="N391" i="1"/>
  <c r="O391" i="1"/>
  <c r="P391" i="1"/>
  <c r="Q391" i="1"/>
  <c r="R391" i="1"/>
  <c r="S391" i="1"/>
  <c r="T391" i="1"/>
  <c r="U391" i="1"/>
  <c r="V391" i="1"/>
  <c r="W391" i="1"/>
  <c r="X391" i="1"/>
  <c r="Y391" i="1"/>
  <c r="Z391" i="1"/>
  <c r="AA391" i="1"/>
  <c r="AB391" i="1"/>
  <c r="L392" i="1"/>
  <c r="M392" i="1"/>
  <c r="N392" i="1"/>
  <c r="O392" i="1"/>
  <c r="P392" i="1"/>
  <c r="Q392" i="1"/>
  <c r="R392" i="1"/>
  <c r="S392" i="1"/>
  <c r="T392" i="1"/>
  <c r="U392" i="1"/>
  <c r="V392" i="1"/>
  <c r="W392" i="1"/>
  <c r="X392" i="1"/>
  <c r="Y392" i="1"/>
  <c r="Z392" i="1"/>
  <c r="AA392" i="1"/>
  <c r="AB392" i="1"/>
  <c r="L393" i="1"/>
  <c r="M393" i="1"/>
  <c r="N393" i="1"/>
  <c r="O393" i="1"/>
  <c r="P393" i="1"/>
  <c r="Q393" i="1"/>
  <c r="R393" i="1"/>
  <c r="S393" i="1"/>
  <c r="T393" i="1"/>
  <c r="U393" i="1"/>
  <c r="V393" i="1"/>
  <c r="W393" i="1"/>
  <c r="X393" i="1"/>
  <c r="Y393" i="1"/>
  <c r="Z393" i="1"/>
  <c r="AA393" i="1"/>
  <c r="AB393" i="1"/>
  <c r="L394" i="1"/>
  <c r="M394" i="1"/>
  <c r="N394" i="1"/>
  <c r="O394" i="1"/>
  <c r="P394" i="1"/>
  <c r="Q394" i="1"/>
  <c r="R394" i="1"/>
  <c r="S394" i="1"/>
  <c r="T394" i="1"/>
  <c r="U394" i="1"/>
  <c r="V394" i="1"/>
  <c r="W394" i="1"/>
  <c r="X394" i="1"/>
  <c r="Y394" i="1"/>
  <c r="Z394" i="1"/>
  <c r="AA394" i="1"/>
  <c r="AB394" i="1"/>
  <c r="L395" i="1"/>
  <c r="M395" i="1"/>
  <c r="N395" i="1"/>
  <c r="O395" i="1"/>
  <c r="P395" i="1"/>
  <c r="Q395" i="1"/>
  <c r="R395" i="1"/>
  <c r="S395" i="1"/>
  <c r="T395" i="1"/>
  <c r="U395" i="1"/>
  <c r="V395" i="1"/>
  <c r="W395" i="1"/>
  <c r="X395" i="1"/>
  <c r="Y395" i="1"/>
  <c r="Z395" i="1"/>
  <c r="AA395" i="1"/>
  <c r="AB395" i="1"/>
  <c r="L396" i="1"/>
  <c r="M396" i="1"/>
  <c r="N396" i="1"/>
  <c r="O396" i="1"/>
  <c r="P396" i="1"/>
  <c r="Q396" i="1"/>
  <c r="R396" i="1"/>
  <c r="S396" i="1"/>
  <c r="T396" i="1"/>
  <c r="U396" i="1"/>
  <c r="V396" i="1"/>
  <c r="W396" i="1"/>
  <c r="X396" i="1"/>
  <c r="Y396" i="1"/>
  <c r="Z396" i="1"/>
  <c r="AA396" i="1"/>
  <c r="AB396" i="1"/>
  <c r="L397" i="1"/>
  <c r="M397" i="1"/>
  <c r="N397" i="1"/>
  <c r="O397" i="1"/>
  <c r="P397" i="1"/>
  <c r="Q397" i="1"/>
  <c r="R397" i="1"/>
  <c r="S397" i="1"/>
  <c r="T397" i="1"/>
  <c r="U397" i="1"/>
  <c r="V397" i="1"/>
  <c r="W397" i="1"/>
  <c r="X397" i="1"/>
  <c r="Y397" i="1"/>
  <c r="Z397" i="1"/>
  <c r="AA397" i="1"/>
  <c r="AB397" i="1"/>
  <c r="L398" i="1"/>
  <c r="M398" i="1"/>
  <c r="N398" i="1"/>
  <c r="O398" i="1"/>
  <c r="P398" i="1"/>
  <c r="Q398" i="1"/>
  <c r="R398" i="1"/>
  <c r="S398" i="1"/>
  <c r="T398" i="1"/>
  <c r="U398" i="1"/>
  <c r="V398" i="1"/>
  <c r="W398" i="1"/>
  <c r="X398" i="1"/>
  <c r="Y398" i="1"/>
  <c r="Z398" i="1"/>
  <c r="AA398" i="1"/>
  <c r="AB398" i="1"/>
  <c r="L399" i="1"/>
  <c r="M399" i="1"/>
  <c r="N399" i="1"/>
  <c r="O399" i="1"/>
  <c r="P399" i="1"/>
  <c r="Q399" i="1"/>
  <c r="R399" i="1"/>
  <c r="S399" i="1"/>
  <c r="T399" i="1"/>
  <c r="U399" i="1"/>
  <c r="V399" i="1"/>
  <c r="W399" i="1"/>
  <c r="X399" i="1"/>
  <c r="Y399" i="1"/>
  <c r="Z399" i="1"/>
  <c r="AA399" i="1"/>
  <c r="AB399" i="1"/>
  <c r="L400" i="1"/>
  <c r="M400" i="1"/>
  <c r="N400" i="1"/>
  <c r="O400" i="1"/>
  <c r="P400" i="1"/>
  <c r="Q400" i="1"/>
  <c r="R400" i="1"/>
  <c r="S400" i="1"/>
  <c r="T400" i="1"/>
  <c r="U400" i="1"/>
  <c r="V400" i="1"/>
  <c r="W400" i="1"/>
  <c r="X400" i="1"/>
  <c r="Y400" i="1"/>
  <c r="Z400" i="1"/>
  <c r="AA400" i="1"/>
  <c r="AB400" i="1"/>
  <c r="L401" i="1"/>
  <c r="M401" i="1"/>
  <c r="N401" i="1"/>
  <c r="O401" i="1"/>
  <c r="P401" i="1"/>
  <c r="Q401" i="1"/>
  <c r="R401" i="1"/>
  <c r="S401" i="1"/>
  <c r="T401" i="1"/>
  <c r="U401" i="1"/>
  <c r="V401" i="1"/>
  <c r="W401" i="1"/>
  <c r="X401" i="1"/>
  <c r="Y401" i="1"/>
  <c r="Z401" i="1"/>
  <c r="AA401" i="1"/>
  <c r="AB401" i="1"/>
  <c r="L402" i="1"/>
  <c r="M402" i="1"/>
  <c r="N402" i="1"/>
  <c r="O402" i="1"/>
  <c r="P402" i="1"/>
  <c r="Q402" i="1"/>
  <c r="R402" i="1"/>
  <c r="S402" i="1"/>
  <c r="T402" i="1"/>
  <c r="U402" i="1"/>
  <c r="V402" i="1"/>
  <c r="W402" i="1"/>
  <c r="X402" i="1"/>
  <c r="Y402" i="1"/>
  <c r="Z402" i="1"/>
  <c r="AA402" i="1"/>
  <c r="AB402" i="1"/>
  <c r="L403" i="1"/>
  <c r="M403" i="1"/>
  <c r="N403" i="1"/>
  <c r="O403" i="1"/>
  <c r="P403" i="1"/>
  <c r="Q403" i="1"/>
  <c r="R403" i="1"/>
  <c r="S403" i="1"/>
  <c r="T403" i="1"/>
  <c r="U403" i="1"/>
  <c r="V403" i="1"/>
  <c r="W403" i="1"/>
  <c r="X403" i="1"/>
  <c r="Y403" i="1"/>
  <c r="Z403" i="1"/>
  <c r="AA403" i="1"/>
  <c r="AB403" i="1"/>
  <c r="L404" i="1"/>
  <c r="M404" i="1"/>
  <c r="N404" i="1"/>
  <c r="O404" i="1"/>
  <c r="P404" i="1"/>
  <c r="Q404" i="1"/>
  <c r="R404" i="1"/>
  <c r="S404" i="1"/>
  <c r="T404" i="1"/>
  <c r="U404" i="1"/>
  <c r="V404" i="1"/>
  <c r="W404" i="1"/>
  <c r="X404" i="1"/>
  <c r="Y404" i="1"/>
  <c r="Z404" i="1"/>
  <c r="AA404" i="1"/>
  <c r="AB404" i="1"/>
  <c r="L405" i="1"/>
  <c r="M405" i="1"/>
  <c r="N405" i="1"/>
  <c r="O405" i="1"/>
  <c r="P405" i="1"/>
  <c r="Q405" i="1"/>
  <c r="R405" i="1"/>
  <c r="S405" i="1"/>
  <c r="T405" i="1"/>
  <c r="U405" i="1"/>
  <c r="V405" i="1"/>
  <c r="W405" i="1"/>
  <c r="X405" i="1"/>
  <c r="Y405" i="1"/>
  <c r="Z405" i="1"/>
  <c r="AA405" i="1"/>
  <c r="AB405" i="1"/>
  <c r="L406" i="1"/>
  <c r="M406" i="1"/>
  <c r="N406" i="1"/>
  <c r="O406" i="1"/>
  <c r="P406" i="1"/>
  <c r="Q406" i="1"/>
  <c r="R406" i="1"/>
  <c r="S406" i="1"/>
  <c r="T406" i="1"/>
  <c r="U406" i="1"/>
  <c r="V406" i="1"/>
  <c r="W406" i="1"/>
  <c r="X406" i="1"/>
  <c r="Y406" i="1"/>
  <c r="Z406" i="1"/>
  <c r="AA406" i="1"/>
  <c r="AB406" i="1"/>
  <c r="L407" i="1"/>
  <c r="M407" i="1"/>
  <c r="N407" i="1"/>
  <c r="O407" i="1"/>
  <c r="P407" i="1"/>
  <c r="Q407" i="1"/>
  <c r="R407" i="1"/>
  <c r="S407" i="1"/>
  <c r="T407" i="1"/>
  <c r="U407" i="1"/>
  <c r="V407" i="1"/>
  <c r="W407" i="1"/>
  <c r="X407" i="1"/>
  <c r="Y407" i="1"/>
  <c r="Z407" i="1"/>
  <c r="AA407" i="1"/>
  <c r="AB407" i="1"/>
  <c r="L408" i="1"/>
  <c r="M408" i="1"/>
  <c r="N408" i="1"/>
  <c r="O408" i="1"/>
  <c r="P408" i="1"/>
  <c r="Q408" i="1"/>
  <c r="R408" i="1"/>
  <c r="S408" i="1"/>
  <c r="T408" i="1"/>
  <c r="U408" i="1"/>
  <c r="V408" i="1"/>
  <c r="W408" i="1"/>
  <c r="X408" i="1"/>
  <c r="Y408" i="1"/>
  <c r="Z408" i="1"/>
  <c r="AA408" i="1"/>
  <c r="AB408" i="1"/>
  <c r="L409" i="1"/>
  <c r="M409" i="1"/>
  <c r="N409" i="1"/>
  <c r="O409" i="1"/>
  <c r="P409" i="1"/>
  <c r="Q409" i="1"/>
  <c r="R409" i="1"/>
  <c r="S409" i="1"/>
  <c r="T409" i="1"/>
  <c r="U409" i="1"/>
  <c r="V409" i="1"/>
  <c r="W409" i="1"/>
  <c r="X409" i="1"/>
  <c r="Y409" i="1"/>
  <c r="Z409" i="1"/>
  <c r="AA409" i="1"/>
  <c r="AB409" i="1"/>
  <c r="L410" i="1"/>
  <c r="M410" i="1"/>
  <c r="N410" i="1"/>
  <c r="O410" i="1"/>
  <c r="P410" i="1"/>
  <c r="Q410" i="1"/>
  <c r="R410" i="1"/>
  <c r="S410" i="1"/>
  <c r="T410" i="1"/>
  <c r="U410" i="1"/>
  <c r="V410" i="1"/>
  <c r="W410" i="1"/>
  <c r="X410" i="1"/>
  <c r="Y410" i="1"/>
  <c r="Z410" i="1"/>
  <c r="AA410" i="1"/>
  <c r="AB410" i="1"/>
  <c r="L411" i="1"/>
  <c r="M411" i="1"/>
  <c r="N411" i="1"/>
  <c r="O411" i="1"/>
  <c r="P411" i="1"/>
  <c r="Q411" i="1"/>
  <c r="R411" i="1"/>
  <c r="S411" i="1"/>
  <c r="T411" i="1"/>
  <c r="U411" i="1"/>
  <c r="V411" i="1"/>
  <c r="W411" i="1"/>
  <c r="X411" i="1"/>
  <c r="Y411" i="1"/>
  <c r="Z411" i="1"/>
  <c r="AA411" i="1"/>
  <c r="AB411" i="1"/>
  <c r="L412" i="1"/>
  <c r="M412" i="1"/>
  <c r="N412" i="1"/>
  <c r="O412" i="1"/>
  <c r="P412" i="1"/>
  <c r="Q412" i="1"/>
  <c r="R412" i="1"/>
  <c r="S412" i="1"/>
  <c r="T412" i="1"/>
  <c r="U412" i="1"/>
  <c r="V412" i="1"/>
  <c r="W412" i="1"/>
  <c r="X412" i="1"/>
  <c r="Y412" i="1"/>
  <c r="Z412" i="1"/>
  <c r="AA412" i="1"/>
  <c r="AB412" i="1"/>
  <c r="L413" i="1"/>
  <c r="M413" i="1"/>
  <c r="N413" i="1"/>
  <c r="O413" i="1"/>
  <c r="P413" i="1"/>
  <c r="Q413" i="1"/>
  <c r="R413" i="1"/>
  <c r="S413" i="1"/>
  <c r="T413" i="1"/>
  <c r="U413" i="1"/>
  <c r="V413" i="1"/>
  <c r="W413" i="1"/>
  <c r="X413" i="1"/>
  <c r="Y413" i="1"/>
  <c r="Z413" i="1"/>
  <c r="AA413" i="1"/>
  <c r="AB413" i="1"/>
  <c r="L414" i="1"/>
  <c r="M414" i="1"/>
  <c r="N414" i="1"/>
  <c r="O414" i="1"/>
  <c r="P414" i="1"/>
  <c r="Q414" i="1"/>
  <c r="R414" i="1"/>
  <c r="S414" i="1"/>
  <c r="T414" i="1"/>
  <c r="U414" i="1"/>
  <c r="V414" i="1"/>
  <c r="W414" i="1"/>
  <c r="X414" i="1"/>
  <c r="Y414" i="1"/>
  <c r="Z414" i="1"/>
  <c r="AA414" i="1"/>
  <c r="AB414" i="1"/>
  <c r="L415" i="1"/>
  <c r="M415" i="1"/>
  <c r="N415" i="1"/>
  <c r="O415" i="1"/>
  <c r="P415" i="1"/>
  <c r="Q415" i="1"/>
  <c r="R415" i="1"/>
  <c r="S415" i="1"/>
  <c r="T415" i="1"/>
  <c r="U415" i="1"/>
  <c r="V415" i="1"/>
  <c r="W415" i="1"/>
  <c r="X415" i="1"/>
  <c r="Y415" i="1"/>
  <c r="Z415" i="1"/>
  <c r="AA415" i="1"/>
  <c r="AB415" i="1"/>
  <c r="L416" i="1"/>
  <c r="M416" i="1"/>
  <c r="N416" i="1"/>
  <c r="O416" i="1"/>
  <c r="P416" i="1"/>
  <c r="Q416" i="1"/>
  <c r="R416" i="1"/>
  <c r="S416" i="1"/>
  <c r="T416" i="1"/>
  <c r="U416" i="1"/>
  <c r="V416" i="1"/>
  <c r="W416" i="1"/>
  <c r="X416" i="1"/>
  <c r="Y416" i="1"/>
  <c r="Z416" i="1"/>
  <c r="AA416" i="1"/>
  <c r="AB416" i="1"/>
  <c r="L417" i="1"/>
  <c r="M417" i="1"/>
  <c r="N417" i="1"/>
  <c r="O417" i="1"/>
  <c r="P417" i="1"/>
  <c r="Q417" i="1"/>
  <c r="R417" i="1"/>
  <c r="S417" i="1"/>
  <c r="T417" i="1"/>
  <c r="U417" i="1"/>
  <c r="V417" i="1"/>
  <c r="W417" i="1"/>
  <c r="X417" i="1"/>
  <c r="Y417" i="1"/>
  <c r="Z417" i="1"/>
  <c r="AA417" i="1"/>
  <c r="AB417" i="1"/>
  <c r="L418" i="1"/>
  <c r="M418" i="1"/>
  <c r="N418" i="1"/>
  <c r="O418" i="1"/>
  <c r="P418" i="1"/>
  <c r="Q418" i="1"/>
  <c r="R418" i="1"/>
  <c r="S418" i="1"/>
  <c r="T418" i="1"/>
  <c r="U418" i="1"/>
  <c r="V418" i="1"/>
  <c r="W418" i="1"/>
  <c r="X418" i="1"/>
  <c r="Y418" i="1"/>
  <c r="Z418" i="1"/>
  <c r="AA418" i="1"/>
  <c r="AB418" i="1"/>
  <c r="L419" i="1"/>
  <c r="M419" i="1"/>
  <c r="N419" i="1"/>
  <c r="O419" i="1"/>
  <c r="P419" i="1"/>
  <c r="Q419" i="1"/>
  <c r="R419" i="1"/>
  <c r="S419" i="1"/>
  <c r="T419" i="1"/>
  <c r="U419" i="1"/>
  <c r="V419" i="1"/>
  <c r="W419" i="1"/>
  <c r="X419" i="1"/>
  <c r="Y419" i="1"/>
  <c r="Z419" i="1"/>
  <c r="AA419" i="1"/>
  <c r="AB419" i="1"/>
  <c r="L420" i="1"/>
  <c r="M420" i="1"/>
  <c r="N420" i="1"/>
  <c r="O420" i="1"/>
  <c r="P420" i="1"/>
  <c r="Q420" i="1"/>
  <c r="R420" i="1"/>
  <c r="S420" i="1"/>
  <c r="T420" i="1"/>
  <c r="U420" i="1"/>
  <c r="V420" i="1"/>
  <c r="W420" i="1"/>
  <c r="X420" i="1"/>
  <c r="Y420" i="1"/>
  <c r="Z420" i="1"/>
  <c r="AA420" i="1"/>
  <c r="AB420" i="1"/>
  <c r="L421" i="1"/>
  <c r="M421" i="1"/>
  <c r="N421" i="1"/>
  <c r="O421" i="1"/>
  <c r="P421" i="1"/>
  <c r="Q421" i="1"/>
  <c r="R421" i="1"/>
  <c r="S421" i="1"/>
  <c r="T421" i="1"/>
  <c r="U421" i="1"/>
  <c r="V421" i="1"/>
  <c r="W421" i="1"/>
  <c r="X421" i="1"/>
  <c r="Y421" i="1"/>
  <c r="Z421" i="1"/>
  <c r="AA421" i="1"/>
  <c r="AB421" i="1"/>
  <c r="L422" i="1"/>
  <c r="M422" i="1"/>
  <c r="N422" i="1"/>
  <c r="O422" i="1"/>
  <c r="P422" i="1"/>
  <c r="Q422" i="1"/>
  <c r="R422" i="1"/>
  <c r="S422" i="1"/>
  <c r="T422" i="1"/>
  <c r="U422" i="1"/>
  <c r="V422" i="1"/>
  <c r="W422" i="1"/>
  <c r="X422" i="1"/>
  <c r="Y422" i="1"/>
  <c r="Z422" i="1"/>
  <c r="AA422" i="1"/>
  <c r="AB422" i="1"/>
  <c r="L423" i="1"/>
  <c r="M423" i="1"/>
  <c r="N423" i="1"/>
  <c r="O423" i="1"/>
  <c r="P423" i="1"/>
  <c r="Q423" i="1"/>
  <c r="R423" i="1"/>
  <c r="S423" i="1"/>
  <c r="T423" i="1"/>
  <c r="U423" i="1"/>
  <c r="V423" i="1"/>
  <c r="W423" i="1"/>
  <c r="X423" i="1"/>
  <c r="Y423" i="1"/>
  <c r="Z423" i="1"/>
  <c r="AA423" i="1"/>
  <c r="AB423" i="1"/>
  <c r="L424" i="1"/>
  <c r="M424" i="1"/>
  <c r="N424" i="1"/>
  <c r="O424" i="1"/>
  <c r="P424" i="1"/>
  <c r="Q424" i="1"/>
  <c r="R424" i="1"/>
  <c r="S424" i="1"/>
  <c r="T424" i="1"/>
  <c r="U424" i="1"/>
  <c r="V424" i="1"/>
  <c r="W424" i="1"/>
  <c r="X424" i="1"/>
  <c r="Y424" i="1"/>
  <c r="Z424" i="1"/>
  <c r="AA424" i="1"/>
  <c r="AB424" i="1"/>
  <c r="L425" i="1"/>
  <c r="M425" i="1"/>
  <c r="N425" i="1"/>
  <c r="O425" i="1"/>
  <c r="P425" i="1"/>
  <c r="Q425" i="1"/>
  <c r="R425" i="1"/>
  <c r="S425" i="1"/>
  <c r="T425" i="1"/>
  <c r="U425" i="1"/>
  <c r="V425" i="1"/>
  <c r="W425" i="1"/>
  <c r="X425" i="1"/>
  <c r="Y425" i="1"/>
  <c r="Z425" i="1"/>
  <c r="AA425" i="1"/>
  <c r="AB425" i="1"/>
  <c r="L426" i="1"/>
  <c r="M426" i="1"/>
  <c r="N426" i="1"/>
  <c r="O426" i="1"/>
  <c r="P426" i="1"/>
  <c r="Q426" i="1"/>
  <c r="R426" i="1"/>
  <c r="S426" i="1"/>
  <c r="T426" i="1"/>
  <c r="U426" i="1"/>
  <c r="V426" i="1"/>
  <c r="W426" i="1"/>
  <c r="X426" i="1"/>
  <c r="Y426" i="1"/>
  <c r="Z426" i="1"/>
  <c r="AA426" i="1"/>
  <c r="AB426" i="1"/>
  <c r="L427" i="1"/>
  <c r="M427" i="1"/>
  <c r="N427" i="1"/>
  <c r="O427" i="1"/>
  <c r="P427" i="1"/>
  <c r="Q427" i="1"/>
  <c r="R427" i="1"/>
  <c r="S427" i="1"/>
  <c r="T427" i="1"/>
  <c r="U427" i="1"/>
  <c r="V427" i="1"/>
  <c r="W427" i="1"/>
  <c r="X427" i="1"/>
  <c r="Y427" i="1"/>
  <c r="Z427" i="1"/>
  <c r="AA427" i="1"/>
  <c r="AB427" i="1"/>
  <c r="L428" i="1"/>
  <c r="M428" i="1"/>
  <c r="N428" i="1"/>
  <c r="O428" i="1"/>
  <c r="P428" i="1"/>
  <c r="Q428" i="1"/>
  <c r="R428" i="1"/>
  <c r="S428" i="1"/>
  <c r="T428" i="1"/>
  <c r="U428" i="1"/>
  <c r="V428" i="1"/>
  <c r="W428" i="1"/>
  <c r="X428" i="1"/>
  <c r="Y428" i="1"/>
  <c r="Z428" i="1"/>
  <c r="AA428" i="1"/>
  <c r="AB428" i="1"/>
  <c r="L429" i="1"/>
  <c r="M429" i="1"/>
  <c r="N429" i="1"/>
  <c r="O429" i="1"/>
  <c r="P429" i="1"/>
  <c r="Q429" i="1"/>
  <c r="R429" i="1"/>
  <c r="S429" i="1"/>
  <c r="T429" i="1"/>
  <c r="U429" i="1"/>
  <c r="V429" i="1"/>
  <c r="W429" i="1"/>
  <c r="X429" i="1"/>
  <c r="Y429" i="1"/>
  <c r="Z429" i="1"/>
  <c r="AA429" i="1"/>
  <c r="AB429" i="1"/>
  <c r="L430" i="1"/>
  <c r="M430" i="1"/>
  <c r="N430" i="1"/>
  <c r="O430" i="1"/>
  <c r="P430" i="1"/>
  <c r="Q430" i="1"/>
  <c r="R430" i="1"/>
  <c r="S430" i="1"/>
  <c r="T430" i="1"/>
  <c r="U430" i="1"/>
  <c r="V430" i="1"/>
  <c r="W430" i="1"/>
  <c r="X430" i="1"/>
  <c r="Y430" i="1"/>
  <c r="Z430" i="1"/>
  <c r="AA430" i="1"/>
  <c r="AB430" i="1"/>
  <c r="L431" i="1"/>
  <c r="M431" i="1"/>
  <c r="N431" i="1"/>
  <c r="O431" i="1"/>
  <c r="P431" i="1"/>
  <c r="Q431" i="1"/>
  <c r="R431" i="1"/>
  <c r="S431" i="1"/>
  <c r="T431" i="1"/>
  <c r="U431" i="1"/>
  <c r="V431" i="1"/>
  <c r="W431" i="1"/>
  <c r="X431" i="1"/>
  <c r="Y431" i="1"/>
  <c r="Z431" i="1"/>
  <c r="AA431" i="1"/>
  <c r="AB431" i="1"/>
  <c r="L432" i="1"/>
  <c r="M432" i="1"/>
  <c r="N432" i="1"/>
  <c r="O432" i="1"/>
  <c r="P432" i="1"/>
  <c r="Q432" i="1"/>
  <c r="R432" i="1"/>
  <c r="S432" i="1"/>
  <c r="T432" i="1"/>
  <c r="U432" i="1"/>
  <c r="V432" i="1"/>
  <c r="W432" i="1"/>
  <c r="X432" i="1"/>
  <c r="Y432" i="1"/>
  <c r="Z432" i="1"/>
  <c r="AA432" i="1"/>
  <c r="AB432" i="1"/>
  <c r="L433" i="1"/>
  <c r="M433" i="1"/>
  <c r="N433" i="1"/>
  <c r="O433" i="1"/>
  <c r="P433" i="1"/>
  <c r="Q433" i="1"/>
  <c r="R433" i="1"/>
  <c r="S433" i="1"/>
  <c r="T433" i="1"/>
  <c r="U433" i="1"/>
  <c r="V433" i="1"/>
  <c r="W433" i="1"/>
  <c r="X433" i="1"/>
  <c r="Y433" i="1"/>
  <c r="Z433" i="1"/>
  <c r="AA433" i="1"/>
  <c r="AB433" i="1"/>
  <c r="L434" i="1"/>
  <c r="M434" i="1"/>
  <c r="N434" i="1"/>
  <c r="O434" i="1"/>
  <c r="P434" i="1"/>
  <c r="Q434" i="1"/>
  <c r="R434" i="1"/>
  <c r="S434" i="1"/>
  <c r="T434" i="1"/>
  <c r="U434" i="1"/>
  <c r="V434" i="1"/>
  <c r="W434" i="1"/>
  <c r="X434" i="1"/>
  <c r="Y434" i="1"/>
  <c r="Z434" i="1"/>
  <c r="AA434" i="1"/>
  <c r="AB434" i="1"/>
  <c r="L435" i="1"/>
  <c r="M435" i="1"/>
  <c r="N435" i="1"/>
  <c r="O435" i="1"/>
  <c r="P435" i="1"/>
  <c r="Q435" i="1"/>
  <c r="R435" i="1"/>
  <c r="S435" i="1"/>
  <c r="T435" i="1"/>
  <c r="U435" i="1"/>
  <c r="V435" i="1"/>
  <c r="W435" i="1"/>
  <c r="X435" i="1"/>
  <c r="Y435" i="1"/>
  <c r="Z435" i="1"/>
  <c r="AA435" i="1"/>
  <c r="AB435" i="1"/>
  <c r="L436" i="1"/>
  <c r="M436" i="1"/>
  <c r="N436" i="1"/>
  <c r="O436" i="1"/>
  <c r="P436" i="1"/>
  <c r="Q436" i="1"/>
  <c r="R436" i="1"/>
  <c r="S436" i="1"/>
  <c r="T436" i="1"/>
  <c r="U436" i="1"/>
  <c r="V436" i="1"/>
  <c r="W436" i="1"/>
  <c r="X436" i="1"/>
  <c r="Y436" i="1"/>
  <c r="Z436" i="1"/>
  <c r="AA436" i="1"/>
  <c r="AB436" i="1"/>
  <c r="L437" i="1"/>
  <c r="M437" i="1"/>
  <c r="N437" i="1"/>
  <c r="O437" i="1"/>
  <c r="P437" i="1"/>
  <c r="Q437" i="1"/>
  <c r="R437" i="1"/>
  <c r="S437" i="1"/>
  <c r="T437" i="1"/>
  <c r="U437" i="1"/>
  <c r="V437" i="1"/>
  <c r="W437" i="1"/>
  <c r="X437" i="1"/>
  <c r="Y437" i="1"/>
  <c r="Z437" i="1"/>
  <c r="AA437" i="1"/>
  <c r="AB437" i="1"/>
  <c r="L438" i="1"/>
  <c r="M438" i="1"/>
  <c r="N438" i="1"/>
  <c r="O438" i="1"/>
  <c r="P438" i="1"/>
  <c r="Q438" i="1"/>
  <c r="R438" i="1"/>
  <c r="S438" i="1"/>
  <c r="T438" i="1"/>
  <c r="U438" i="1"/>
  <c r="V438" i="1"/>
  <c r="W438" i="1"/>
  <c r="X438" i="1"/>
  <c r="Y438" i="1"/>
  <c r="Z438" i="1"/>
  <c r="AA438" i="1"/>
  <c r="AB438" i="1"/>
  <c r="L439" i="1"/>
  <c r="M439" i="1"/>
  <c r="N439" i="1"/>
  <c r="O439" i="1"/>
  <c r="P439" i="1"/>
  <c r="Q439" i="1"/>
  <c r="R439" i="1"/>
  <c r="S439" i="1"/>
  <c r="T439" i="1"/>
  <c r="U439" i="1"/>
  <c r="V439" i="1"/>
  <c r="W439" i="1"/>
  <c r="X439" i="1"/>
  <c r="Y439" i="1"/>
  <c r="Z439" i="1"/>
  <c r="AA439" i="1"/>
  <c r="AB439" i="1"/>
  <c r="L440" i="1"/>
  <c r="M440" i="1"/>
  <c r="N440" i="1"/>
  <c r="O440" i="1"/>
  <c r="P440" i="1"/>
  <c r="Q440" i="1"/>
  <c r="R440" i="1"/>
  <c r="S440" i="1"/>
  <c r="T440" i="1"/>
  <c r="U440" i="1"/>
  <c r="V440" i="1"/>
  <c r="W440" i="1"/>
  <c r="X440" i="1"/>
  <c r="Y440" i="1"/>
  <c r="Z440" i="1"/>
  <c r="AA440" i="1"/>
  <c r="AB440" i="1"/>
  <c r="L441" i="1"/>
  <c r="M441" i="1"/>
  <c r="N441" i="1"/>
  <c r="O441" i="1"/>
  <c r="P441" i="1"/>
  <c r="Q441" i="1"/>
  <c r="R441" i="1"/>
  <c r="S441" i="1"/>
  <c r="T441" i="1"/>
  <c r="U441" i="1"/>
  <c r="V441" i="1"/>
  <c r="W441" i="1"/>
  <c r="X441" i="1"/>
  <c r="Y441" i="1"/>
  <c r="Z441" i="1"/>
  <c r="AA441" i="1"/>
  <c r="AB441" i="1"/>
  <c r="L442" i="1"/>
  <c r="M442" i="1"/>
  <c r="N442" i="1"/>
  <c r="O442" i="1"/>
  <c r="P442" i="1"/>
  <c r="Q442" i="1"/>
  <c r="R442" i="1"/>
  <c r="S442" i="1"/>
  <c r="T442" i="1"/>
  <c r="U442" i="1"/>
  <c r="V442" i="1"/>
  <c r="W442" i="1"/>
  <c r="X442" i="1"/>
  <c r="Y442" i="1"/>
  <c r="Z442" i="1"/>
  <c r="AA442" i="1"/>
  <c r="AB442" i="1"/>
  <c r="L443" i="1"/>
  <c r="M443" i="1"/>
  <c r="N443" i="1"/>
  <c r="O443" i="1"/>
  <c r="P443" i="1"/>
  <c r="Q443" i="1"/>
  <c r="R443" i="1"/>
  <c r="S443" i="1"/>
  <c r="T443" i="1"/>
  <c r="U443" i="1"/>
  <c r="V443" i="1"/>
  <c r="W443" i="1"/>
  <c r="X443" i="1"/>
  <c r="Y443" i="1"/>
  <c r="Z443" i="1"/>
  <c r="AA443" i="1"/>
  <c r="AB443" i="1"/>
  <c r="L444" i="1"/>
  <c r="M444" i="1"/>
  <c r="N444" i="1"/>
  <c r="O444" i="1"/>
  <c r="P444" i="1"/>
  <c r="Q444" i="1"/>
  <c r="R444" i="1"/>
  <c r="S444" i="1"/>
  <c r="T444" i="1"/>
  <c r="U444" i="1"/>
  <c r="V444" i="1"/>
  <c r="W444" i="1"/>
  <c r="X444" i="1"/>
  <c r="Y444" i="1"/>
  <c r="Z444" i="1"/>
  <c r="AA444" i="1"/>
  <c r="AB444" i="1"/>
  <c r="L445" i="1"/>
  <c r="M445" i="1"/>
  <c r="N445" i="1"/>
  <c r="O445" i="1"/>
  <c r="P445" i="1"/>
  <c r="Q445" i="1"/>
  <c r="R445" i="1"/>
  <c r="S445" i="1"/>
  <c r="T445" i="1"/>
  <c r="U445" i="1"/>
  <c r="V445" i="1"/>
  <c r="W445" i="1"/>
  <c r="X445" i="1"/>
  <c r="Y445" i="1"/>
  <c r="Z445" i="1"/>
  <c r="AA445" i="1"/>
  <c r="AB445" i="1"/>
  <c r="L446" i="1"/>
  <c r="M446" i="1"/>
  <c r="N446" i="1"/>
  <c r="O446" i="1"/>
  <c r="P446" i="1"/>
  <c r="Q446" i="1"/>
  <c r="R446" i="1"/>
  <c r="S446" i="1"/>
  <c r="T446" i="1"/>
  <c r="U446" i="1"/>
  <c r="V446" i="1"/>
  <c r="W446" i="1"/>
  <c r="X446" i="1"/>
  <c r="Y446" i="1"/>
  <c r="Z446" i="1"/>
  <c r="AA446" i="1"/>
  <c r="AB446" i="1"/>
  <c r="L447" i="1"/>
  <c r="M447" i="1"/>
  <c r="N447" i="1"/>
  <c r="O447" i="1"/>
  <c r="P447" i="1"/>
  <c r="Q447" i="1"/>
  <c r="R447" i="1"/>
  <c r="S447" i="1"/>
  <c r="T447" i="1"/>
  <c r="U447" i="1"/>
  <c r="V447" i="1"/>
  <c r="W447" i="1"/>
  <c r="X447" i="1"/>
  <c r="Y447" i="1"/>
  <c r="Z447" i="1"/>
  <c r="AA447" i="1"/>
  <c r="AB447" i="1"/>
  <c r="L448" i="1"/>
  <c r="M448" i="1"/>
  <c r="N448" i="1"/>
  <c r="O448" i="1"/>
  <c r="P448" i="1"/>
  <c r="Q448" i="1"/>
  <c r="R448" i="1"/>
  <c r="S448" i="1"/>
  <c r="T448" i="1"/>
  <c r="U448" i="1"/>
  <c r="V448" i="1"/>
  <c r="W448" i="1"/>
  <c r="X448" i="1"/>
  <c r="Y448" i="1"/>
  <c r="Z448" i="1"/>
  <c r="AA448" i="1"/>
  <c r="AB448" i="1"/>
  <c r="L449" i="1"/>
  <c r="M449" i="1"/>
  <c r="N449" i="1"/>
  <c r="O449" i="1"/>
  <c r="P449" i="1"/>
  <c r="Q449" i="1"/>
  <c r="R449" i="1"/>
  <c r="S449" i="1"/>
  <c r="T449" i="1"/>
  <c r="U449" i="1"/>
  <c r="V449" i="1"/>
  <c r="W449" i="1"/>
  <c r="X449" i="1"/>
  <c r="Y449" i="1"/>
  <c r="Z449" i="1"/>
  <c r="AA449" i="1"/>
  <c r="AB449" i="1"/>
  <c r="L450" i="1"/>
  <c r="M450" i="1"/>
  <c r="N450" i="1"/>
  <c r="O450" i="1"/>
  <c r="P450" i="1"/>
  <c r="Q450" i="1"/>
  <c r="R450" i="1"/>
  <c r="S450" i="1"/>
  <c r="T450" i="1"/>
  <c r="U450" i="1"/>
  <c r="V450" i="1"/>
  <c r="W450" i="1"/>
  <c r="X450" i="1"/>
  <c r="Y450" i="1"/>
  <c r="Z450" i="1"/>
  <c r="AA450" i="1"/>
  <c r="AB450" i="1"/>
  <c r="L451" i="1"/>
  <c r="M451" i="1"/>
  <c r="N451" i="1"/>
  <c r="O451" i="1"/>
  <c r="P451" i="1"/>
  <c r="Q451" i="1"/>
  <c r="R451" i="1"/>
  <c r="S451" i="1"/>
  <c r="T451" i="1"/>
  <c r="U451" i="1"/>
  <c r="V451" i="1"/>
  <c r="W451" i="1"/>
  <c r="X451" i="1"/>
  <c r="Y451" i="1"/>
  <c r="Z451" i="1"/>
  <c r="AA451" i="1"/>
  <c r="AB451" i="1"/>
  <c r="L452" i="1"/>
  <c r="M452" i="1"/>
  <c r="N452" i="1"/>
  <c r="O452" i="1"/>
  <c r="P452" i="1"/>
  <c r="Q452" i="1"/>
  <c r="R452" i="1"/>
  <c r="S452" i="1"/>
  <c r="T452" i="1"/>
  <c r="U452" i="1"/>
  <c r="V452" i="1"/>
  <c r="W452" i="1"/>
  <c r="X452" i="1"/>
  <c r="Y452" i="1"/>
  <c r="Z452" i="1"/>
  <c r="AA452" i="1"/>
  <c r="AB452" i="1"/>
  <c r="L453" i="1"/>
  <c r="M453" i="1"/>
  <c r="N453" i="1"/>
  <c r="O453" i="1"/>
  <c r="P453" i="1"/>
  <c r="Q453" i="1"/>
  <c r="R453" i="1"/>
  <c r="S453" i="1"/>
  <c r="T453" i="1"/>
  <c r="U453" i="1"/>
  <c r="V453" i="1"/>
  <c r="W453" i="1"/>
  <c r="X453" i="1"/>
  <c r="Y453" i="1"/>
  <c r="Z453" i="1"/>
  <c r="AA453" i="1"/>
  <c r="AB453" i="1"/>
  <c r="L454" i="1"/>
  <c r="M454" i="1"/>
  <c r="N454" i="1"/>
  <c r="O454" i="1"/>
  <c r="P454" i="1"/>
  <c r="Q454" i="1"/>
  <c r="R454" i="1"/>
  <c r="S454" i="1"/>
  <c r="T454" i="1"/>
  <c r="U454" i="1"/>
  <c r="V454" i="1"/>
  <c r="W454" i="1"/>
  <c r="X454" i="1"/>
  <c r="Y454" i="1"/>
  <c r="Z454" i="1"/>
  <c r="AA454" i="1"/>
  <c r="AB454" i="1"/>
  <c r="L455" i="1"/>
  <c r="M455" i="1"/>
  <c r="N455" i="1"/>
  <c r="O455" i="1"/>
  <c r="P455" i="1"/>
  <c r="Q455" i="1"/>
  <c r="R455" i="1"/>
  <c r="S455" i="1"/>
  <c r="T455" i="1"/>
  <c r="U455" i="1"/>
  <c r="V455" i="1"/>
  <c r="W455" i="1"/>
  <c r="X455" i="1"/>
  <c r="Y455" i="1"/>
  <c r="Z455" i="1"/>
  <c r="AA455" i="1"/>
  <c r="AB455" i="1"/>
  <c r="L456" i="1"/>
  <c r="M456" i="1"/>
  <c r="N456" i="1"/>
  <c r="O456" i="1"/>
  <c r="P456" i="1"/>
  <c r="Q456" i="1"/>
  <c r="R456" i="1"/>
  <c r="S456" i="1"/>
  <c r="T456" i="1"/>
  <c r="U456" i="1"/>
  <c r="V456" i="1"/>
  <c r="W456" i="1"/>
  <c r="X456" i="1"/>
  <c r="Y456" i="1"/>
  <c r="Z456" i="1"/>
  <c r="AA456" i="1"/>
  <c r="AB456" i="1"/>
  <c r="L457" i="1"/>
  <c r="M457" i="1"/>
  <c r="N457" i="1"/>
  <c r="O457" i="1"/>
  <c r="P457" i="1"/>
  <c r="Q457" i="1"/>
  <c r="R457" i="1"/>
  <c r="S457" i="1"/>
  <c r="T457" i="1"/>
  <c r="U457" i="1"/>
  <c r="V457" i="1"/>
  <c r="W457" i="1"/>
  <c r="X457" i="1"/>
  <c r="Y457" i="1"/>
  <c r="Z457" i="1"/>
  <c r="AA457" i="1"/>
  <c r="AB457" i="1"/>
  <c r="L458" i="1"/>
  <c r="M458" i="1"/>
  <c r="N458" i="1"/>
  <c r="O458" i="1"/>
  <c r="P458" i="1"/>
  <c r="Q458" i="1"/>
  <c r="R458" i="1"/>
  <c r="S458" i="1"/>
  <c r="T458" i="1"/>
  <c r="U458" i="1"/>
  <c r="V458" i="1"/>
  <c r="W458" i="1"/>
  <c r="X458" i="1"/>
  <c r="Y458" i="1"/>
  <c r="Z458" i="1"/>
  <c r="AA458" i="1"/>
  <c r="AB458" i="1"/>
  <c r="L459" i="1"/>
  <c r="M459" i="1"/>
  <c r="N459" i="1"/>
  <c r="O459" i="1"/>
  <c r="P459" i="1"/>
  <c r="Q459" i="1"/>
  <c r="R459" i="1"/>
  <c r="S459" i="1"/>
  <c r="T459" i="1"/>
  <c r="U459" i="1"/>
  <c r="V459" i="1"/>
  <c r="W459" i="1"/>
  <c r="X459" i="1"/>
  <c r="Y459" i="1"/>
  <c r="Z459" i="1"/>
  <c r="AA459" i="1"/>
  <c r="AB459" i="1"/>
  <c r="L460" i="1"/>
  <c r="M460" i="1"/>
  <c r="N460" i="1"/>
  <c r="O460" i="1"/>
  <c r="P460" i="1"/>
  <c r="Q460" i="1"/>
  <c r="R460" i="1"/>
  <c r="S460" i="1"/>
  <c r="T460" i="1"/>
  <c r="U460" i="1"/>
  <c r="V460" i="1"/>
  <c r="W460" i="1"/>
  <c r="X460" i="1"/>
  <c r="Y460" i="1"/>
  <c r="Z460" i="1"/>
  <c r="AA460" i="1"/>
  <c r="AB460" i="1"/>
  <c r="L461" i="1"/>
  <c r="M461" i="1"/>
  <c r="N461" i="1"/>
  <c r="O461" i="1"/>
  <c r="P461" i="1"/>
  <c r="Q461" i="1"/>
  <c r="R461" i="1"/>
  <c r="S461" i="1"/>
  <c r="T461" i="1"/>
  <c r="U461" i="1"/>
  <c r="V461" i="1"/>
  <c r="W461" i="1"/>
  <c r="X461" i="1"/>
  <c r="Y461" i="1"/>
  <c r="Z461" i="1"/>
  <c r="AA461" i="1"/>
  <c r="AB461" i="1"/>
  <c r="L462" i="1"/>
  <c r="M462" i="1"/>
  <c r="N462" i="1"/>
  <c r="O462" i="1"/>
  <c r="P462" i="1"/>
  <c r="Q462" i="1"/>
  <c r="R462" i="1"/>
  <c r="S462" i="1"/>
  <c r="T462" i="1"/>
  <c r="U462" i="1"/>
  <c r="V462" i="1"/>
  <c r="W462" i="1"/>
  <c r="X462" i="1"/>
  <c r="Y462" i="1"/>
  <c r="Z462" i="1"/>
  <c r="AA462" i="1"/>
  <c r="AB462" i="1"/>
  <c r="L463" i="1"/>
  <c r="M463" i="1"/>
  <c r="N463" i="1"/>
  <c r="O463" i="1"/>
  <c r="P463" i="1"/>
  <c r="Q463" i="1"/>
  <c r="R463" i="1"/>
  <c r="S463" i="1"/>
  <c r="T463" i="1"/>
  <c r="U463" i="1"/>
  <c r="V463" i="1"/>
  <c r="W463" i="1"/>
  <c r="X463" i="1"/>
  <c r="Y463" i="1"/>
  <c r="Z463" i="1"/>
  <c r="AA463" i="1"/>
  <c r="AB463" i="1"/>
  <c r="L464" i="1"/>
  <c r="M464" i="1"/>
  <c r="N464" i="1"/>
  <c r="O464" i="1"/>
  <c r="P464" i="1"/>
  <c r="Q464" i="1"/>
  <c r="R464" i="1"/>
  <c r="S464" i="1"/>
  <c r="T464" i="1"/>
  <c r="U464" i="1"/>
  <c r="V464" i="1"/>
  <c r="W464" i="1"/>
  <c r="X464" i="1"/>
  <c r="Y464" i="1"/>
  <c r="Z464" i="1"/>
  <c r="AA464" i="1"/>
  <c r="AB464" i="1"/>
  <c r="L465" i="1"/>
  <c r="M465" i="1"/>
  <c r="N465" i="1"/>
  <c r="O465" i="1"/>
  <c r="P465" i="1"/>
  <c r="Q465" i="1"/>
  <c r="R465" i="1"/>
  <c r="S465" i="1"/>
  <c r="T465" i="1"/>
  <c r="U465" i="1"/>
  <c r="V465" i="1"/>
  <c r="W465" i="1"/>
  <c r="X465" i="1"/>
  <c r="Y465" i="1"/>
  <c r="Z465" i="1"/>
  <c r="AA465" i="1"/>
  <c r="AB465" i="1"/>
  <c r="L466" i="1"/>
  <c r="M466" i="1"/>
  <c r="N466" i="1"/>
  <c r="O466" i="1"/>
  <c r="P466" i="1"/>
  <c r="Q466" i="1"/>
  <c r="R466" i="1"/>
  <c r="S466" i="1"/>
  <c r="T466" i="1"/>
  <c r="U466" i="1"/>
  <c r="V466" i="1"/>
  <c r="W466" i="1"/>
  <c r="X466" i="1"/>
  <c r="Y466" i="1"/>
  <c r="Z466" i="1"/>
  <c r="AA466" i="1"/>
  <c r="AB466" i="1"/>
  <c r="L467" i="1"/>
  <c r="M467" i="1"/>
  <c r="N467" i="1"/>
  <c r="O467" i="1"/>
  <c r="P467" i="1"/>
  <c r="Q467" i="1"/>
  <c r="R467" i="1"/>
  <c r="S467" i="1"/>
  <c r="T467" i="1"/>
  <c r="U467" i="1"/>
  <c r="V467" i="1"/>
  <c r="W467" i="1"/>
  <c r="X467" i="1"/>
  <c r="Y467" i="1"/>
  <c r="Z467" i="1"/>
  <c r="AA467" i="1"/>
  <c r="AB467" i="1"/>
  <c r="L468" i="1"/>
  <c r="M468" i="1"/>
  <c r="N468" i="1"/>
  <c r="O468" i="1"/>
  <c r="P468" i="1"/>
  <c r="Q468" i="1"/>
  <c r="R468" i="1"/>
  <c r="S468" i="1"/>
  <c r="T468" i="1"/>
  <c r="U468" i="1"/>
  <c r="V468" i="1"/>
  <c r="W468" i="1"/>
  <c r="X468" i="1"/>
  <c r="Y468" i="1"/>
  <c r="Z468" i="1"/>
  <c r="AA468" i="1"/>
  <c r="AB468" i="1"/>
  <c r="L469" i="1"/>
  <c r="M469" i="1"/>
  <c r="N469" i="1"/>
  <c r="O469" i="1"/>
  <c r="P469" i="1"/>
  <c r="Q469" i="1"/>
  <c r="R469" i="1"/>
  <c r="S469" i="1"/>
  <c r="T469" i="1"/>
  <c r="U469" i="1"/>
  <c r="V469" i="1"/>
  <c r="W469" i="1"/>
  <c r="X469" i="1"/>
  <c r="Y469" i="1"/>
  <c r="Z469" i="1"/>
  <c r="AA469" i="1"/>
  <c r="AB469" i="1"/>
  <c r="L470" i="1"/>
  <c r="M470" i="1"/>
  <c r="N470" i="1"/>
  <c r="O470" i="1"/>
  <c r="P470" i="1"/>
  <c r="Q470" i="1"/>
  <c r="R470" i="1"/>
  <c r="S470" i="1"/>
  <c r="T470" i="1"/>
  <c r="U470" i="1"/>
  <c r="V470" i="1"/>
  <c r="W470" i="1"/>
  <c r="X470" i="1"/>
  <c r="Y470" i="1"/>
  <c r="Z470" i="1"/>
  <c r="AA470" i="1"/>
  <c r="AB470" i="1"/>
  <c r="L471" i="1"/>
  <c r="M471" i="1"/>
  <c r="N471" i="1"/>
  <c r="O471" i="1"/>
  <c r="P471" i="1"/>
  <c r="Q471" i="1"/>
  <c r="R471" i="1"/>
  <c r="S471" i="1"/>
  <c r="T471" i="1"/>
  <c r="U471" i="1"/>
  <c r="V471" i="1"/>
  <c r="W471" i="1"/>
  <c r="X471" i="1"/>
  <c r="Y471" i="1"/>
  <c r="Z471" i="1"/>
  <c r="AA471" i="1"/>
  <c r="AB471" i="1"/>
  <c r="L472" i="1"/>
  <c r="M472" i="1"/>
  <c r="N472" i="1"/>
  <c r="O472" i="1"/>
  <c r="P472" i="1"/>
  <c r="Q472" i="1"/>
  <c r="R472" i="1"/>
  <c r="S472" i="1"/>
  <c r="T472" i="1"/>
  <c r="U472" i="1"/>
  <c r="V472" i="1"/>
  <c r="W472" i="1"/>
  <c r="X472" i="1"/>
  <c r="Y472" i="1"/>
  <c r="Z472" i="1"/>
  <c r="AA472" i="1"/>
  <c r="AB472" i="1"/>
  <c r="L473" i="1"/>
  <c r="M473" i="1"/>
  <c r="N473" i="1"/>
  <c r="O473" i="1"/>
  <c r="P473" i="1"/>
  <c r="Q473" i="1"/>
  <c r="R473" i="1"/>
  <c r="S473" i="1"/>
  <c r="T473" i="1"/>
  <c r="U473" i="1"/>
  <c r="V473" i="1"/>
  <c r="W473" i="1"/>
  <c r="X473" i="1"/>
  <c r="Y473" i="1"/>
  <c r="Z473" i="1"/>
  <c r="AA473" i="1"/>
  <c r="AB473" i="1"/>
  <c r="L474" i="1"/>
  <c r="M474" i="1"/>
  <c r="N474" i="1"/>
  <c r="O474" i="1"/>
  <c r="P474" i="1"/>
  <c r="Q474" i="1"/>
  <c r="R474" i="1"/>
  <c r="S474" i="1"/>
  <c r="T474" i="1"/>
  <c r="U474" i="1"/>
  <c r="V474" i="1"/>
  <c r="W474" i="1"/>
  <c r="X474" i="1"/>
  <c r="Y474" i="1"/>
  <c r="Z474" i="1"/>
  <c r="AA474" i="1"/>
  <c r="AB474" i="1"/>
  <c r="L475" i="1"/>
  <c r="M475" i="1"/>
  <c r="N475" i="1"/>
  <c r="O475" i="1"/>
  <c r="P475" i="1"/>
  <c r="Q475" i="1"/>
  <c r="R475" i="1"/>
  <c r="S475" i="1"/>
  <c r="T475" i="1"/>
  <c r="U475" i="1"/>
  <c r="V475" i="1"/>
  <c r="W475" i="1"/>
  <c r="X475" i="1"/>
  <c r="Y475" i="1"/>
  <c r="Z475" i="1"/>
  <c r="AA475" i="1"/>
  <c r="AB475" i="1"/>
  <c r="L476" i="1"/>
  <c r="M476" i="1"/>
  <c r="N476" i="1"/>
  <c r="O476" i="1"/>
  <c r="P476" i="1"/>
  <c r="Q476" i="1"/>
  <c r="R476" i="1"/>
  <c r="S476" i="1"/>
  <c r="T476" i="1"/>
  <c r="U476" i="1"/>
  <c r="V476" i="1"/>
  <c r="W476" i="1"/>
  <c r="X476" i="1"/>
  <c r="Y476" i="1"/>
  <c r="Z476" i="1"/>
  <c r="AA476" i="1"/>
  <c r="AB476" i="1"/>
  <c r="L477" i="1"/>
  <c r="M477" i="1"/>
  <c r="N477" i="1"/>
  <c r="O477" i="1"/>
  <c r="P477" i="1"/>
  <c r="Q477" i="1"/>
  <c r="R477" i="1"/>
  <c r="S477" i="1"/>
  <c r="T477" i="1"/>
  <c r="U477" i="1"/>
  <c r="V477" i="1"/>
  <c r="W477" i="1"/>
  <c r="X477" i="1"/>
  <c r="Y477" i="1"/>
  <c r="Z477" i="1"/>
  <c r="AA477" i="1"/>
  <c r="AB477" i="1"/>
  <c r="L478" i="1"/>
  <c r="M478" i="1"/>
  <c r="N478" i="1"/>
  <c r="O478" i="1"/>
  <c r="P478" i="1"/>
  <c r="Q478" i="1"/>
  <c r="R478" i="1"/>
  <c r="S478" i="1"/>
  <c r="T478" i="1"/>
  <c r="U478" i="1"/>
  <c r="V478" i="1"/>
  <c r="W478" i="1"/>
  <c r="X478" i="1"/>
  <c r="Y478" i="1"/>
  <c r="Z478" i="1"/>
  <c r="AA478" i="1"/>
  <c r="AB478" i="1"/>
  <c r="L479" i="1"/>
  <c r="M479" i="1"/>
  <c r="N479" i="1"/>
  <c r="O479" i="1"/>
  <c r="P479" i="1"/>
  <c r="Q479" i="1"/>
  <c r="R479" i="1"/>
  <c r="S479" i="1"/>
  <c r="T479" i="1"/>
  <c r="U479" i="1"/>
  <c r="V479" i="1"/>
  <c r="W479" i="1"/>
  <c r="X479" i="1"/>
  <c r="Y479" i="1"/>
  <c r="Z479" i="1"/>
  <c r="AA479" i="1"/>
  <c r="AB479" i="1"/>
  <c r="L480" i="1"/>
  <c r="M480" i="1"/>
  <c r="N480" i="1"/>
  <c r="O480" i="1"/>
  <c r="P480" i="1"/>
  <c r="Q480" i="1"/>
  <c r="R480" i="1"/>
  <c r="S480" i="1"/>
  <c r="T480" i="1"/>
  <c r="U480" i="1"/>
  <c r="V480" i="1"/>
  <c r="W480" i="1"/>
  <c r="X480" i="1"/>
  <c r="Y480" i="1"/>
  <c r="Z480" i="1"/>
  <c r="AA480" i="1"/>
  <c r="AB480" i="1"/>
  <c r="L481" i="1"/>
  <c r="M481" i="1"/>
  <c r="N481" i="1"/>
  <c r="O481" i="1"/>
  <c r="P481" i="1"/>
  <c r="Q481" i="1"/>
  <c r="R481" i="1"/>
  <c r="S481" i="1"/>
  <c r="T481" i="1"/>
  <c r="U481" i="1"/>
  <c r="V481" i="1"/>
  <c r="W481" i="1"/>
  <c r="X481" i="1"/>
  <c r="Y481" i="1"/>
  <c r="Z481" i="1"/>
  <c r="AA481" i="1"/>
  <c r="AB481" i="1"/>
  <c r="L482" i="1"/>
  <c r="M482" i="1"/>
  <c r="N482" i="1"/>
  <c r="O482" i="1"/>
  <c r="P482" i="1"/>
  <c r="Q482" i="1"/>
  <c r="R482" i="1"/>
  <c r="S482" i="1"/>
  <c r="T482" i="1"/>
  <c r="U482" i="1"/>
  <c r="V482" i="1"/>
  <c r="W482" i="1"/>
  <c r="X482" i="1"/>
  <c r="Y482" i="1"/>
  <c r="Z482" i="1"/>
  <c r="AA482" i="1"/>
  <c r="AB482" i="1"/>
  <c r="L483" i="1"/>
  <c r="M483" i="1"/>
  <c r="N483" i="1"/>
  <c r="O483" i="1"/>
  <c r="P483" i="1"/>
  <c r="Q483" i="1"/>
  <c r="R483" i="1"/>
  <c r="S483" i="1"/>
  <c r="T483" i="1"/>
  <c r="U483" i="1"/>
  <c r="V483" i="1"/>
  <c r="W483" i="1"/>
  <c r="X483" i="1"/>
  <c r="Y483" i="1"/>
  <c r="Z483" i="1"/>
  <c r="AA483" i="1"/>
  <c r="AB483" i="1"/>
  <c r="L484" i="1"/>
  <c r="M484" i="1"/>
  <c r="N484" i="1"/>
  <c r="O484" i="1"/>
  <c r="P484" i="1"/>
  <c r="Q484" i="1"/>
  <c r="R484" i="1"/>
  <c r="S484" i="1"/>
  <c r="T484" i="1"/>
  <c r="U484" i="1"/>
  <c r="V484" i="1"/>
  <c r="W484" i="1"/>
  <c r="X484" i="1"/>
  <c r="Y484" i="1"/>
  <c r="Z484" i="1"/>
  <c r="AA484" i="1"/>
  <c r="AB484" i="1"/>
  <c r="L485" i="1"/>
  <c r="M485" i="1"/>
  <c r="N485" i="1"/>
  <c r="O485" i="1"/>
  <c r="P485" i="1"/>
  <c r="Q485" i="1"/>
  <c r="R485" i="1"/>
  <c r="S485" i="1"/>
  <c r="T485" i="1"/>
  <c r="U485" i="1"/>
  <c r="V485" i="1"/>
  <c r="W485" i="1"/>
  <c r="X485" i="1"/>
  <c r="Y485" i="1"/>
  <c r="Z485" i="1"/>
  <c r="AA485" i="1"/>
  <c r="AB485" i="1"/>
  <c r="L486" i="1"/>
  <c r="M486" i="1"/>
  <c r="N486" i="1"/>
  <c r="O486" i="1"/>
  <c r="P486" i="1"/>
  <c r="Q486" i="1"/>
  <c r="R486" i="1"/>
  <c r="S486" i="1"/>
  <c r="T486" i="1"/>
  <c r="U486" i="1"/>
  <c r="V486" i="1"/>
  <c r="W486" i="1"/>
  <c r="X486" i="1"/>
  <c r="Y486" i="1"/>
  <c r="Z486" i="1"/>
  <c r="AA486" i="1"/>
  <c r="AB486" i="1"/>
  <c r="L487" i="1"/>
  <c r="M487" i="1"/>
  <c r="N487" i="1"/>
  <c r="O487" i="1"/>
  <c r="P487" i="1"/>
  <c r="Q487" i="1"/>
  <c r="R487" i="1"/>
  <c r="S487" i="1"/>
  <c r="T487" i="1"/>
  <c r="U487" i="1"/>
  <c r="V487" i="1"/>
  <c r="W487" i="1"/>
  <c r="X487" i="1"/>
  <c r="Y487" i="1"/>
  <c r="Z487" i="1"/>
  <c r="AA487" i="1"/>
  <c r="AB487" i="1"/>
  <c r="L488" i="1"/>
  <c r="M488" i="1"/>
  <c r="N488" i="1"/>
  <c r="O488" i="1"/>
  <c r="P488" i="1"/>
  <c r="Q488" i="1"/>
  <c r="R488" i="1"/>
  <c r="S488" i="1"/>
  <c r="T488" i="1"/>
  <c r="U488" i="1"/>
  <c r="V488" i="1"/>
  <c r="W488" i="1"/>
  <c r="X488" i="1"/>
  <c r="Y488" i="1"/>
  <c r="Z488" i="1"/>
  <c r="AA488" i="1"/>
  <c r="AB488" i="1"/>
  <c r="L489" i="1"/>
  <c r="M489" i="1"/>
  <c r="N489" i="1"/>
  <c r="O489" i="1"/>
  <c r="P489" i="1"/>
  <c r="Q489" i="1"/>
  <c r="R489" i="1"/>
  <c r="S489" i="1"/>
  <c r="T489" i="1"/>
  <c r="U489" i="1"/>
  <c r="V489" i="1"/>
  <c r="W489" i="1"/>
  <c r="X489" i="1"/>
  <c r="Y489" i="1"/>
  <c r="Z489" i="1"/>
  <c r="AA489" i="1"/>
  <c r="AB489" i="1"/>
  <c r="L490" i="1"/>
  <c r="M490" i="1"/>
  <c r="N490" i="1"/>
  <c r="O490" i="1"/>
  <c r="P490" i="1"/>
  <c r="Q490" i="1"/>
  <c r="R490" i="1"/>
  <c r="S490" i="1"/>
  <c r="T490" i="1"/>
  <c r="U490" i="1"/>
  <c r="V490" i="1"/>
  <c r="W490" i="1"/>
  <c r="X490" i="1"/>
  <c r="Y490" i="1"/>
  <c r="Z490" i="1"/>
  <c r="AA490" i="1"/>
  <c r="AB490" i="1"/>
  <c r="L491" i="1"/>
  <c r="M491" i="1"/>
  <c r="N491" i="1"/>
  <c r="O491" i="1"/>
  <c r="P491" i="1"/>
  <c r="Q491" i="1"/>
  <c r="R491" i="1"/>
  <c r="S491" i="1"/>
  <c r="T491" i="1"/>
  <c r="U491" i="1"/>
  <c r="V491" i="1"/>
  <c r="W491" i="1"/>
  <c r="X491" i="1"/>
  <c r="Y491" i="1"/>
  <c r="Z491" i="1"/>
  <c r="AA491" i="1"/>
  <c r="AB491" i="1"/>
  <c r="L492" i="1"/>
  <c r="M492" i="1"/>
  <c r="N492" i="1"/>
  <c r="O492" i="1"/>
  <c r="P492" i="1"/>
  <c r="Q492" i="1"/>
  <c r="R492" i="1"/>
  <c r="S492" i="1"/>
  <c r="T492" i="1"/>
  <c r="U492" i="1"/>
  <c r="V492" i="1"/>
  <c r="W492" i="1"/>
  <c r="X492" i="1"/>
  <c r="Y492" i="1"/>
  <c r="Z492" i="1"/>
  <c r="AA492" i="1"/>
  <c r="AB492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7" i="1"/>
  <c r="K9" i="1"/>
  <c r="AC6" i="1" l="1"/>
  <c r="A6" i="2"/>
  <c r="A5" i="2"/>
  <c r="G5" i="9" l="1"/>
  <c r="G6" i="9"/>
  <c r="G7" i="9"/>
  <c r="G8" i="9"/>
  <c r="G9" i="9"/>
  <c r="G10" i="9"/>
  <c r="G11" i="9"/>
  <c r="G12" i="9"/>
  <c r="G13" i="9"/>
  <c r="G14" i="9"/>
  <c r="G15" i="9"/>
  <c r="G16" i="9"/>
  <c r="G17" i="9"/>
  <c r="G18" i="9"/>
  <c r="G19" i="9"/>
  <c r="D5" i="9"/>
  <c r="D6" i="9"/>
  <c r="D7" i="9"/>
  <c r="D8" i="9"/>
  <c r="D9" i="9"/>
  <c r="D10" i="9"/>
  <c r="D11" i="9"/>
  <c r="D12" i="9"/>
  <c r="D13" i="9"/>
  <c r="G4" i="9"/>
  <c r="D4" i="9"/>
  <c r="A4" i="2" l="1"/>
  <c r="C7" i="14" l="1"/>
  <c r="AC7" i="1" l="1"/>
  <c r="AC8" i="1"/>
  <c r="AC9" i="1"/>
  <c r="AC10" i="1"/>
  <c r="AC11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3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89" i="1"/>
  <c r="AC90" i="1"/>
  <c r="AC91" i="1"/>
  <c r="AC92" i="1"/>
  <c r="AC93" i="1"/>
  <c r="AC94" i="1"/>
  <c r="AC95" i="1"/>
  <c r="AC96" i="1"/>
  <c r="AC97" i="1"/>
  <c r="AC98" i="1"/>
  <c r="AC99" i="1"/>
  <c r="AC100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122" i="1"/>
  <c r="AC123" i="1"/>
  <c r="AC124" i="1"/>
  <c r="AC125" i="1"/>
  <c r="AC126" i="1"/>
  <c r="AC127" i="1"/>
  <c r="AC128" i="1"/>
  <c r="AC129" i="1"/>
  <c r="AC130" i="1"/>
  <c r="AC131" i="1"/>
  <c r="AC132" i="1"/>
  <c r="AC133" i="1"/>
  <c r="AC134" i="1"/>
  <c r="AC135" i="1"/>
  <c r="AC136" i="1"/>
  <c r="AC137" i="1"/>
  <c r="AC138" i="1"/>
  <c r="AC139" i="1"/>
  <c r="AC140" i="1"/>
  <c r="AC141" i="1"/>
  <c r="AC142" i="1"/>
  <c r="AC143" i="1"/>
  <c r="AC144" i="1"/>
  <c r="AC145" i="1"/>
  <c r="AC146" i="1"/>
  <c r="AC147" i="1"/>
  <c r="AC148" i="1"/>
  <c r="AC149" i="1"/>
  <c r="AC150" i="1"/>
  <c r="AC151" i="1"/>
  <c r="AC152" i="1"/>
  <c r="AC153" i="1"/>
  <c r="AC154" i="1"/>
  <c r="AC155" i="1"/>
  <c r="AC156" i="1"/>
  <c r="AC157" i="1"/>
  <c r="AC158" i="1"/>
  <c r="AC159" i="1"/>
  <c r="AC160" i="1"/>
  <c r="AC161" i="1"/>
  <c r="AC162" i="1"/>
  <c r="AC163" i="1"/>
  <c r="AC164" i="1"/>
  <c r="AC165" i="1"/>
  <c r="AC166" i="1"/>
  <c r="AC167" i="1"/>
  <c r="AC168" i="1"/>
  <c r="AC169" i="1"/>
  <c r="AC170" i="1"/>
  <c r="AC171" i="1"/>
  <c r="AC172" i="1"/>
  <c r="AC173" i="1"/>
  <c r="AC174" i="1"/>
  <c r="AC175" i="1"/>
  <c r="AC176" i="1"/>
  <c r="AC177" i="1"/>
  <c r="AC178" i="1"/>
  <c r="AC179" i="1"/>
  <c r="AC180" i="1"/>
  <c r="AC181" i="1"/>
  <c r="AC182" i="1"/>
  <c r="AC183" i="1"/>
  <c r="AC184" i="1"/>
  <c r="AC185" i="1"/>
  <c r="AC186" i="1"/>
  <c r="AC187" i="1"/>
  <c r="AC188" i="1"/>
  <c r="AC189" i="1"/>
  <c r="AC190" i="1"/>
  <c r="AC191" i="1"/>
  <c r="AC192" i="1"/>
  <c r="AC193" i="1"/>
  <c r="AC194" i="1"/>
  <c r="AC195" i="1"/>
  <c r="AC196" i="1"/>
  <c r="AC197" i="1"/>
  <c r="AC198" i="1"/>
  <c r="AC199" i="1"/>
  <c r="AC200" i="1"/>
  <c r="AC201" i="1"/>
  <c r="AC202" i="1"/>
  <c r="AC203" i="1"/>
  <c r="AC204" i="1"/>
  <c r="AC205" i="1"/>
  <c r="AC206" i="1"/>
  <c r="AC207" i="1"/>
  <c r="AC208" i="1"/>
  <c r="AC209" i="1"/>
  <c r="AC210" i="1"/>
  <c r="AC211" i="1"/>
  <c r="AC212" i="1"/>
  <c r="AC213" i="1"/>
  <c r="AC214" i="1"/>
  <c r="AC215" i="1"/>
  <c r="AC216" i="1"/>
  <c r="AC217" i="1"/>
  <c r="AC218" i="1"/>
  <c r="AC219" i="1"/>
  <c r="AC220" i="1"/>
  <c r="AC221" i="1"/>
  <c r="AC222" i="1"/>
  <c r="AC223" i="1"/>
  <c r="AC224" i="1"/>
  <c r="AC225" i="1"/>
  <c r="AC226" i="1"/>
  <c r="AC227" i="1"/>
  <c r="AC228" i="1"/>
  <c r="AC229" i="1"/>
  <c r="AC230" i="1"/>
  <c r="AC231" i="1"/>
  <c r="AC232" i="1"/>
  <c r="AC233" i="1"/>
  <c r="AC234" i="1"/>
  <c r="AC235" i="1"/>
  <c r="AC236" i="1"/>
  <c r="AC237" i="1"/>
  <c r="AC238" i="1"/>
  <c r="AC239" i="1"/>
  <c r="AC240" i="1"/>
  <c r="AC241" i="1"/>
  <c r="AC242" i="1"/>
  <c r="AC243" i="1"/>
  <c r="AC244" i="1"/>
  <c r="AC245" i="1"/>
  <c r="AC246" i="1"/>
  <c r="AC247" i="1"/>
  <c r="AC248" i="1"/>
  <c r="AC249" i="1"/>
  <c r="AC250" i="1"/>
  <c r="AC251" i="1"/>
  <c r="AC252" i="1"/>
  <c r="AC253" i="1"/>
  <c r="AC254" i="1"/>
  <c r="AC255" i="1"/>
  <c r="AC256" i="1"/>
  <c r="AC257" i="1"/>
  <c r="AC258" i="1"/>
  <c r="AC259" i="1"/>
  <c r="AC260" i="1"/>
  <c r="AC261" i="1"/>
  <c r="AC262" i="1"/>
  <c r="AC263" i="1"/>
  <c r="AC264" i="1"/>
  <c r="AC265" i="1"/>
  <c r="AC266" i="1"/>
  <c r="AC267" i="1"/>
  <c r="AC268" i="1"/>
  <c r="AC269" i="1"/>
  <c r="AC270" i="1"/>
  <c r="AC271" i="1"/>
  <c r="AC272" i="1"/>
  <c r="AC273" i="1"/>
  <c r="AC274" i="1"/>
  <c r="AC275" i="1"/>
  <c r="AC276" i="1"/>
  <c r="AC277" i="1"/>
  <c r="AC278" i="1"/>
  <c r="AC279" i="1"/>
  <c r="AC280" i="1"/>
  <c r="AC281" i="1"/>
  <c r="AC282" i="1"/>
  <c r="AC283" i="1"/>
  <c r="AC284" i="1"/>
  <c r="AC285" i="1"/>
  <c r="AC286" i="1"/>
  <c r="AC287" i="1"/>
  <c r="AC288" i="1"/>
  <c r="AC289" i="1"/>
  <c r="AC290" i="1"/>
  <c r="AC291" i="1"/>
  <c r="AC292" i="1"/>
  <c r="AC293" i="1"/>
  <c r="AC294" i="1"/>
  <c r="AC295" i="1"/>
  <c r="AC296" i="1"/>
  <c r="AC297" i="1"/>
  <c r="AC298" i="1"/>
  <c r="AC299" i="1"/>
  <c r="AC300" i="1"/>
  <c r="AC301" i="1"/>
  <c r="AC302" i="1"/>
  <c r="AC303" i="1"/>
  <c r="AC304" i="1"/>
  <c r="AC305" i="1"/>
  <c r="AC306" i="1"/>
  <c r="AC307" i="1"/>
  <c r="AC308" i="1"/>
  <c r="AC309" i="1"/>
  <c r="AC310" i="1"/>
  <c r="AC311" i="1"/>
  <c r="AC312" i="1"/>
  <c r="AC313" i="1"/>
  <c r="AC314" i="1"/>
  <c r="AC315" i="1"/>
  <c r="AC316" i="1"/>
  <c r="AC317" i="1"/>
  <c r="AC318" i="1"/>
  <c r="AC319" i="1"/>
  <c r="AC320" i="1"/>
  <c r="AC321" i="1"/>
  <c r="AC322" i="1"/>
  <c r="AC323" i="1"/>
  <c r="AC324" i="1"/>
  <c r="AC325" i="1"/>
  <c r="AC326" i="1"/>
  <c r="AC327" i="1"/>
  <c r="AC328" i="1"/>
  <c r="AC329" i="1"/>
  <c r="AC330" i="1"/>
  <c r="AC331" i="1"/>
  <c r="AC332" i="1"/>
  <c r="AC333" i="1"/>
  <c r="AC334" i="1"/>
  <c r="AC335" i="1"/>
  <c r="AC336" i="1"/>
  <c r="AC337" i="1"/>
  <c r="AC338" i="1"/>
  <c r="AC339" i="1"/>
  <c r="AC340" i="1"/>
  <c r="AC341" i="1"/>
  <c r="AC342" i="1"/>
  <c r="AC343" i="1"/>
  <c r="AC344" i="1"/>
  <c r="AC345" i="1"/>
  <c r="AC346" i="1"/>
  <c r="AC347" i="1"/>
  <c r="AC348" i="1"/>
  <c r="AC349" i="1"/>
  <c r="AC350" i="1"/>
  <c r="AC351" i="1"/>
  <c r="AC352" i="1"/>
  <c r="AC353" i="1"/>
  <c r="AC354" i="1"/>
  <c r="AC355" i="1"/>
  <c r="AC356" i="1"/>
  <c r="AC357" i="1"/>
  <c r="AC358" i="1"/>
  <c r="AC359" i="1"/>
  <c r="AC360" i="1"/>
  <c r="AC361" i="1"/>
  <c r="AC362" i="1"/>
  <c r="AC363" i="1"/>
  <c r="AC364" i="1"/>
  <c r="AC365" i="1"/>
  <c r="AC366" i="1"/>
  <c r="AC367" i="1"/>
  <c r="AC368" i="1"/>
  <c r="AC369" i="1"/>
  <c r="AC370" i="1"/>
  <c r="AC371" i="1"/>
  <c r="AC372" i="1"/>
  <c r="AC373" i="1"/>
  <c r="AC374" i="1"/>
  <c r="AC375" i="1"/>
  <c r="AC376" i="1"/>
  <c r="AC377" i="1"/>
  <c r="AC378" i="1"/>
  <c r="AC379" i="1"/>
  <c r="AC380" i="1"/>
  <c r="AC381" i="1"/>
  <c r="AC382" i="1"/>
  <c r="AC383" i="1"/>
  <c r="AC384" i="1"/>
  <c r="AC385" i="1"/>
  <c r="AC386" i="1"/>
  <c r="AC387" i="1"/>
  <c r="AC388" i="1"/>
  <c r="AC389" i="1"/>
  <c r="AC390" i="1"/>
  <c r="AC391" i="1"/>
  <c r="AC392" i="1"/>
  <c r="AC393" i="1"/>
  <c r="AC394" i="1"/>
  <c r="AC395" i="1"/>
  <c r="AC396" i="1"/>
  <c r="AC397" i="1"/>
  <c r="AC398" i="1"/>
  <c r="AC399" i="1"/>
  <c r="AC400" i="1"/>
  <c r="AC401" i="1"/>
  <c r="AC402" i="1"/>
  <c r="AC403" i="1"/>
  <c r="AC404" i="1"/>
  <c r="AC405" i="1"/>
  <c r="AC406" i="1"/>
  <c r="AC407" i="1"/>
  <c r="AC408" i="1"/>
  <c r="AC409" i="1"/>
  <c r="AC410" i="1"/>
  <c r="AC411" i="1"/>
  <c r="AC412" i="1"/>
  <c r="AC413" i="1"/>
  <c r="AC414" i="1"/>
  <c r="AC415" i="1"/>
  <c r="AC416" i="1"/>
  <c r="AC417" i="1"/>
  <c r="AC418" i="1"/>
  <c r="AC419" i="1"/>
  <c r="AC420" i="1"/>
  <c r="AC421" i="1"/>
  <c r="AC422" i="1"/>
  <c r="AC423" i="1"/>
  <c r="AC424" i="1"/>
  <c r="AC425" i="1"/>
  <c r="AC426" i="1"/>
  <c r="AC427" i="1"/>
  <c r="AC428" i="1"/>
  <c r="AC429" i="1"/>
  <c r="AC430" i="1"/>
  <c r="AC431" i="1"/>
  <c r="AC432" i="1"/>
  <c r="AC433" i="1"/>
  <c r="AC434" i="1"/>
  <c r="AC435" i="1"/>
  <c r="AC436" i="1"/>
  <c r="AC437" i="1"/>
  <c r="AC438" i="1"/>
  <c r="AC439" i="1"/>
  <c r="AC440" i="1"/>
  <c r="AC441" i="1"/>
  <c r="AC442" i="1"/>
  <c r="AC443" i="1"/>
  <c r="AC444" i="1"/>
  <c r="AC445" i="1"/>
  <c r="AC446" i="1"/>
  <c r="AC447" i="1"/>
  <c r="AC448" i="1"/>
  <c r="AC449" i="1"/>
  <c r="AC450" i="1"/>
  <c r="AC451" i="1"/>
  <c r="AC452" i="1"/>
  <c r="AC453" i="1"/>
  <c r="AC454" i="1"/>
  <c r="AC455" i="1"/>
  <c r="AC456" i="1"/>
  <c r="AC457" i="1"/>
  <c r="AC458" i="1"/>
  <c r="AC459" i="1"/>
  <c r="AC460" i="1"/>
  <c r="AC461" i="1"/>
  <c r="AC462" i="1"/>
  <c r="AC463" i="1"/>
  <c r="AC464" i="1"/>
  <c r="AC465" i="1"/>
  <c r="AC466" i="1"/>
  <c r="AC467" i="1"/>
  <c r="AC468" i="1"/>
  <c r="AC469" i="1"/>
  <c r="AC470" i="1"/>
  <c r="AC471" i="1"/>
  <c r="AC472" i="1"/>
  <c r="AC473" i="1"/>
  <c r="AC474" i="1"/>
  <c r="AC475" i="1"/>
  <c r="AC476" i="1"/>
  <c r="AC477" i="1"/>
  <c r="AC478" i="1"/>
  <c r="AC479" i="1"/>
  <c r="AC480" i="1"/>
  <c r="AC481" i="1"/>
  <c r="AC482" i="1"/>
  <c r="AC483" i="1"/>
  <c r="AC484" i="1"/>
  <c r="AC485" i="1"/>
  <c r="AC486" i="1"/>
  <c r="AC487" i="1"/>
  <c r="AC488" i="1"/>
  <c r="AC489" i="1"/>
  <c r="AC490" i="1"/>
  <c r="AC491" i="1"/>
  <c r="AC492" i="1"/>
  <c r="K496" i="1"/>
  <c r="L496" i="1"/>
  <c r="L499" i="1" s="1"/>
  <c r="M496" i="1"/>
  <c r="M499" i="1" s="1"/>
  <c r="N496" i="1"/>
  <c r="O496" i="1"/>
  <c r="P496" i="1"/>
  <c r="P499" i="1" s="1"/>
  <c r="Q496" i="1"/>
  <c r="Q543" i="1" s="1"/>
  <c r="R496" i="1"/>
  <c r="S496" i="1"/>
  <c r="T496" i="1"/>
  <c r="T499" i="1" s="1"/>
  <c r="V496" i="1"/>
  <c r="V499" i="1" s="1"/>
  <c r="W496" i="1"/>
  <c r="X496" i="1"/>
  <c r="Y496" i="1"/>
  <c r="Y499" i="1" s="1"/>
  <c r="Z496" i="1"/>
  <c r="Z543" i="1" s="1"/>
  <c r="AA496" i="1"/>
  <c r="AA543" i="1" s="1"/>
  <c r="AB496" i="1"/>
  <c r="K497" i="1"/>
  <c r="L497" i="1"/>
  <c r="M497" i="1"/>
  <c r="N497" i="1"/>
  <c r="O497" i="1"/>
  <c r="P497" i="1"/>
  <c r="Q497" i="1"/>
  <c r="R497" i="1"/>
  <c r="S497" i="1"/>
  <c r="T497" i="1"/>
  <c r="V497" i="1"/>
  <c r="W497" i="1"/>
  <c r="X497" i="1"/>
  <c r="Y497" i="1"/>
  <c r="Z497" i="1"/>
  <c r="AA497" i="1"/>
  <c r="AB497" i="1"/>
  <c r="K498" i="1"/>
  <c r="L498" i="1"/>
  <c r="M498" i="1"/>
  <c r="N498" i="1"/>
  <c r="O498" i="1"/>
  <c r="P498" i="1"/>
  <c r="Q498" i="1"/>
  <c r="R498" i="1"/>
  <c r="S498" i="1"/>
  <c r="T498" i="1"/>
  <c r="V498" i="1"/>
  <c r="W498" i="1"/>
  <c r="X498" i="1"/>
  <c r="Y498" i="1"/>
  <c r="Z498" i="1"/>
  <c r="AA498" i="1"/>
  <c r="AB498" i="1"/>
  <c r="U502" i="1"/>
  <c r="Y502" i="1"/>
  <c r="Y615" i="1" s="1"/>
  <c r="Z502" i="1"/>
  <c r="U503" i="1"/>
  <c r="Z503" i="1"/>
  <c r="AC506" i="1"/>
  <c r="AC507" i="1"/>
  <c r="AC508" i="1"/>
  <c r="AC509" i="1"/>
  <c r="AC510" i="1"/>
  <c r="AC511" i="1"/>
  <c r="AC512" i="1"/>
  <c r="AC513" i="1"/>
  <c r="AC514" i="1"/>
  <c r="AC515" i="1"/>
  <c r="AC516" i="1"/>
  <c r="AC517" i="1"/>
  <c r="AC518" i="1"/>
  <c r="AC519" i="1"/>
  <c r="AC520" i="1"/>
  <c r="AC521" i="1"/>
  <c r="AC522" i="1"/>
  <c r="K525" i="1"/>
  <c r="L525" i="1"/>
  <c r="M525" i="1"/>
  <c r="N525" i="1"/>
  <c r="O525" i="1"/>
  <c r="P525" i="1"/>
  <c r="Q525" i="1"/>
  <c r="R525" i="1"/>
  <c r="S525" i="1"/>
  <c r="T525" i="1"/>
  <c r="U525" i="1"/>
  <c r="V525" i="1"/>
  <c r="W525" i="1"/>
  <c r="X525" i="1"/>
  <c r="Y525" i="1"/>
  <c r="Z525" i="1"/>
  <c r="AA525" i="1"/>
  <c r="AB525" i="1"/>
  <c r="K526" i="1"/>
  <c r="L526" i="1"/>
  <c r="M526" i="1"/>
  <c r="N526" i="1"/>
  <c r="O526" i="1"/>
  <c r="P526" i="1"/>
  <c r="Q526" i="1"/>
  <c r="R526" i="1"/>
  <c r="S526" i="1"/>
  <c r="T526" i="1"/>
  <c r="U526" i="1"/>
  <c r="V526" i="1"/>
  <c r="W526" i="1"/>
  <c r="X526" i="1"/>
  <c r="Y526" i="1"/>
  <c r="Z526" i="1"/>
  <c r="AA526" i="1"/>
  <c r="AB526" i="1"/>
  <c r="K527" i="1"/>
  <c r="L527" i="1"/>
  <c r="M527" i="1"/>
  <c r="N527" i="1"/>
  <c r="O527" i="1"/>
  <c r="P527" i="1"/>
  <c r="Q527" i="1"/>
  <c r="R527" i="1"/>
  <c r="S527" i="1"/>
  <c r="T527" i="1"/>
  <c r="U527" i="1"/>
  <c r="V527" i="1"/>
  <c r="W527" i="1"/>
  <c r="X527" i="1"/>
  <c r="Y527" i="1"/>
  <c r="Z527" i="1"/>
  <c r="AA527" i="1"/>
  <c r="AB527" i="1"/>
  <c r="K528" i="1"/>
  <c r="L528" i="1"/>
  <c r="M528" i="1"/>
  <c r="N528" i="1"/>
  <c r="O528" i="1"/>
  <c r="P528" i="1"/>
  <c r="Q528" i="1"/>
  <c r="R528" i="1"/>
  <c r="S528" i="1"/>
  <c r="T528" i="1"/>
  <c r="U528" i="1"/>
  <c r="V528" i="1"/>
  <c r="W528" i="1"/>
  <c r="X528" i="1"/>
  <c r="Y528" i="1"/>
  <c r="Z528" i="1"/>
  <c r="AA528" i="1"/>
  <c r="AB528" i="1"/>
  <c r="K529" i="1"/>
  <c r="L529" i="1"/>
  <c r="M529" i="1"/>
  <c r="N529" i="1"/>
  <c r="O529" i="1"/>
  <c r="P529" i="1"/>
  <c r="Q529" i="1"/>
  <c r="R529" i="1"/>
  <c r="S529" i="1"/>
  <c r="T529" i="1"/>
  <c r="U529" i="1"/>
  <c r="V529" i="1"/>
  <c r="W529" i="1"/>
  <c r="X529" i="1"/>
  <c r="Y529" i="1"/>
  <c r="Z529" i="1"/>
  <c r="AA529" i="1"/>
  <c r="AB529" i="1"/>
  <c r="K530" i="1"/>
  <c r="L530" i="1"/>
  <c r="M530" i="1"/>
  <c r="N530" i="1"/>
  <c r="O530" i="1"/>
  <c r="P530" i="1"/>
  <c r="Q530" i="1"/>
  <c r="R530" i="1"/>
  <c r="S530" i="1"/>
  <c r="T530" i="1"/>
  <c r="U530" i="1"/>
  <c r="V530" i="1"/>
  <c r="W530" i="1"/>
  <c r="X530" i="1"/>
  <c r="Y530" i="1"/>
  <c r="Z530" i="1"/>
  <c r="AA530" i="1"/>
  <c r="AB530" i="1"/>
  <c r="K531" i="1"/>
  <c r="L531" i="1"/>
  <c r="M531" i="1"/>
  <c r="N531" i="1"/>
  <c r="O531" i="1"/>
  <c r="P531" i="1"/>
  <c r="Q531" i="1"/>
  <c r="R531" i="1"/>
  <c r="S531" i="1"/>
  <c r="T531" i="1"/>
  <c r="U531" i="1"/>
  <c r="V531" i="1"/>
  <c r="W531" i="1"/>
  <c r="X531" i="1"/>
  <c r="Y531" i="1"/>
  <c r="Z531" i="1"/>
  <c r="AA531" i="1"/>
  <c r="AB531" i="1"/>
  <c r="AC532" i="1"/>
  <c r="K533" i="1"/>
  <c r="L533" i="1"/>
  <c r="M533" i="1"/>
  <c r="N533" i="1"/>
  <c r="O533" i="1"/>
  <c r="P533" i="1"/>
  <c r="Q533" i="1"/>
  <c r="R533" i="1"/>
  <c r="S533" i="1"/>
  <c r="T533" i="1"/>
  <c r="U533" i="1"/>
  <c r="V533" i="1"/>
  <c r="W533" i="1"/>
  <c r="X533" i="1"/>
  <c r="Y533" i="1"/>
  <c r="Z533" i="1"/>
  <c r="AA533" i="1"/>
  <c r="AB533" i="1"/>
  <c r="AC534" i="1"/>
  <c r="K535" i="1"/>
  <c r="L535" i="1"/>
  <c r="M535" i="1"/>
  <c r="N535" i="1"/>
  <c r="O535" i="1"/>
  <c r="P535" i="1"/>
  <c r="Q535" i="1"/>
  <c r="R535" i="1"/>
  <c r="S535" i="1"/>
  <c r="T535" i="1"/>
  <c r="U535" i="1"/>
  <c r="V535" i="1"/>
  <c r="W535" i="1"/>
  <c r="X535" i="1"/>
  <c r="Y535" i="1"/>
  <c r="Z535" i="1"/>
  <c r="AA535" i="1"/>
  <c r="AB535" i="1"/>
  <c r="K536" i="1"/>
  <c r="L536" i="1"/>
  <c r="M536" i="1"/>
  <c r="N536" i="1"/>
  <c r="O536" i="1"/>
  <c r="P536" i="1"/>
  <c r="Q536" i="1"/>
  <c r="R536" i="1"/>
  <c r="S536" i="1"/>
  <c r="T536" i="1"/>
  <c r="U536" i="1"/>
  <c r="V536" i="1"/>
  <c r="W536" i="1"/>
  <c r="X536" i="1"/>
  <c r="Y536" i="1"/>
  <c r="Z536" i="1"/>
  <c r="AA536" i="1"/>
  <c r="AB536" i="1"/>
  <c r="K537" i="1"/>
  <c r="L537" i="1"/>
  <c r="M537" i="1"/>
  <c r="N537" i="1"/>
  <c r="O537" i="1"/>
  <c r="P537" i="1"/>
  <c r="Q537" i="1"/>
  <c r="R537" i="1"/>
  <c r="S537" i="1"/>
  <c r="T537" i="1"/>
  <c r="U537" i="1"/>
  <c r="V537" i="1"/>
  <c r="W537" i="1"/>
  <c r="X537" i="1"/>
  <c r="Y537" i="1"/>
  <c r="Z537" i="1"/>
  <c r="AA537" i="1"/>
  <c r="AB537" i="1"/>
  <c r="AC538" i="1"/>
  <c r="K539" i="1"/>
  <c r="L539" i="1"/>
  <c r="M539" i="1"/>
  <c r="N539" i="1"/>
  <c r="O539" i="1"/>
  <c r="P539" i="1"/>
  <c r="Q539" i="1"/>
  <c r="R539" i="1"/>
  <c r="S539" i="1"/>
  <c r="T539" i="1"/>
  <c r="U539" i="1"/>
  <c r="V539" i="1"/>
  <c r="W539" i="1"/>
  <c r="X539" i="1"/>
  <c r="Y539" i="1"/>
  <c r="Z539" i="1"/>
  <c r="AA539" i="1"/>
  <c r="AB539" i="1"/>
  <c r="AC540" i="1"/>
  <c r="K541" i="1"/>
  <c r="L541" i="1"/>
  <c r="M541" i="1"/>
  <c r="N541" i="1"/>
  <c r="O541" i="1"/>
  <c r="P541" i="1"/>
  <c r="Q541" i="1"/>
  <c r="R541" i="1"/>
  <c r="S541" i="1"/>
  <c r="T541" i="1"/>
  <c r="U541" i="1"/>
  <c r="V541" i="1"/>
  <c r="W541" i="1"/>
  <c r="X541" i="1"/>
  <c r="Y541" i="1"/>
  <c r="Z541" i="1"/>
  <c r="AA541" i="1"/>
  <c r="AB541" i="1"/>
  <c r="AC542" i="1"/>
  <c r="U543" i="1"/>
  <c r="W546" i="1"/>
  <c r="W547" i="1" s="1"/>
  <c r="W566" i="1" s="1"/>
  <c r="K547" i="1"/>
  <c r="K563" i="1" s="1"/>
  <c r="L547" i="1"/>
  <c r="M547" i="1"/>
  <c r="M561" i="1" s="1"/>
  <c r="N547" i="1"/>
  <c r="N554" i="1" s="1"/>
  <c r="O547" i="1"/>
  <c r="O554" i="1" s="1"/>
  <c r="P547" i="1"/>
  <c r="P563" i="1" s="1"/>
  <c r="Q547" i="1"/>
  <c r="R547" i="1"/>
  <c r="R563" i="1" s="1"/>
  <c r="S547" i="1"/>
  <c r="S563" i="1" s="1"/>
  <c r="T547" i="1"/>
  <c r="U547" i="1"/>
  <c r="U561" i="1" s="1"/>
  <c r="V547" i="1"/>
  <c r="V561" i="1" s="1"/>
  <c r="X547" i="1"/>
  <c r="X561" i="1" s="1"/>
  <c r="Y547" i="1"/>
  <c r="Z547" i="1"/>
  <c r="Z563" i="1" s="1"/>
  <c r="AA547" i="1"/>
  <c r="AA566" i="1" s="1"/>
  <c r="AB547" i="1"/>
  <c r="K549" i="1"/>
  <c r="L549" i="1"/>
  <c r="M549" i="1"/>
  <c r="N549" i="1"/>
  <c r="O549" i="1"/>
  <c r="P549" i="1"/>
  <c r="Q549" i="1"/>
  <c r="R549" i="1"/>
  <c r="S549" i="1"/>
  <c r="T549" i="1"/>
  <c r="U549" i="1"/>
  <c r="V549" i="1"/>
  <c r="W549" i="1"/>
  <c r="X549" i="1"/>
  <c r="Y549" i="1"/>
  <c r="Z549" i="1"/>
  <c r="AA549" i="1"/>
  <c r="AB549" i="1"/>
  <c r="Y551" i="1"/>
  <c r="Z567" i="1"/>
  <c r="AA562" i="1"/>
  <c r="K551" i="1"/>
  <c r="L551" i="1"/>
  <c r="M551" i="1"/>
  <c r="N551" i="1"/>
  <c r="O551" i="1"/>
  <c r="P551" i="1"/>
  <c r="Q551" i="1"/>
  <c r="R551" i="1"/>
  <c r="S551" i="1"/>
  <c r="T551" i="1"/>
  <c r="U551" i="1"/>
  <c r="V551" i="1"/>
  <c r="X551" i="1"/>
  <c r="Z551" i="1"/>
  <c r="AA551" i="1"/>
  <c r="K552" i="1"/>
  <c r="N552" i="1"/>
  <c r="O552" i="1"/>
  <c r="P552" i="1"/>
  <c r="Q552" i="1"/>
  <c r="R552" i="1"/>
  <c r="S552" i="1"/>
  <c r="T552" i="1"/>
  <c r="U552" i="1"/>
  <c r="V552" i="1"/>
  <c r="X552" i="1"/>
  <c r="Y552" i="1"/>
  <c r="Z552" i="1"/>
  <c r="AA552" i="1"/>
  <c r="AB552" i="1"/>
  <c r="K555" i="1"/>
  <c r="K557" i="1" s="1"/>
  <c r="L555" i="1"/>
  <c r="L557" i="1" s="1"/>
  <c r="M555" i="1"/>
  <c r="M557" i="1" s="1"/>
  <c r="N555" i="1"/>
  <c r="N557" i="1" s="1"/>
  <c r="O555" i="1"/>
  <c r="O557" i="1" s="1"/>
  <c r="P555" i="1"/>
  <c r="P557" i="1" s="1"/>
  <c r="Q555" i="1"/>
  <c r="Q557" i="1" s="1"/>
  <c r="R555" i="1"/>
  <c r="R557" i="1" s="1"/>
  <c r="S555" i="1"/>
  <c r="S557" i="1" s="1"/>
  <c r="T555" i="1"/>
  <c r="T557" i="1" s="1"/>
  <c r="U555" i="1"/>
  <c r="U557" i="1" s="1"/>
  <c r="V555" i="1"/>
  <c r="V557" i="1" s="1"/>
  <c r="W555" i="1"/>
  <c r="W557" i="1" s="1"/>
  <c r="X555" i="1"/>
  <c r="X557" i="1" s="1"/>
  <c r="Y555" i="1"/>
  <c r="Y557" i="1" s="1"/>
  <c r="Z555" i="1"/>
  <c r="Z557" i="1" s="1"/>
  <c r="AA555" i="1"/>
  <c r="AA557" i="1" s="1"/>
  <c r="AB555" i="1"/>
  <c r="AB557" i="1" s="1"/>
  <c r="AC556" i="1"/>
  <c r="AC558" i="1"/>
  <c r="K559" i="1"/>
  <c r="L559" i="1"/>
  <c r="M559" i="1"/>
  <c r="N559" i="1"/>
  <c r="O559" i="1"/>
  <c r="P559" i="1"/>
  <c r="Q559" i="1"/>
  <c r="R559" i="1"/>
  <c r="S559" i="1"/>
  <c r="T559" i="1"/>
  <c r="U559" i="1"/>
  <c r="V559" i="1"/>
  <c r="X559" i="1"/>
  <c r="K560" i="1"/>
  <c r="L560" i="1"/>
  <c r="M560" i="1"/>
  <c r="N560" i="1"/>
  <c r="O560" i="1"/>
  <c r="P560" i="1"/>
  <c r="Q560" i="1"/>
  <c r="R560" i="1"/>
  <c r="S560" i="1"/>
  <c r="T560" i="1"/>
  <c r="U560" i="1"/>
  <c r="V560" i="1"/>
  <c r="W560" i="1"/>
  <c r="X560" i="1"/>
  <c r="Y560" i="1"/>
  <c r="Z560" i="1"/>
  <c r="AA560" i="1"/>
  <c r="AB560" i="1"/>
  <c r="K562" i="1"/>
  <c r="L562" i="1"/>
  <c r="M562" i="1"/>
  <c r="N562" i="1"/>
  <c r="O562" i="1"/>
  <c r="P562" i="1"/>
  <c r="Q562" i="1"/>
  <c r="R562" i="1"/>
  <c r="S562" i="1"/>
  <c r="T562" i="1"/>
  <c r="U562" i="1"/>
  <c r="V562" i="1"/>
  <c r="X562" i="1"/>
  <c r="K564" i="1"/>
  <c r="L564" i="1"/>
  <c r="M564" i="1"/>
  <c r="N564" i="1"/>
  <c r="O564" i="1"/>
  <c r="P564" i="1"/>
  <c r="Q564" i="1"/>
  <c r="R564" i="1"/>
  <c r="S564" i="1"/>
  <c r="T564" i="1"/>
  <c r="U564" i="1"/>
  <c r="V564" i="1"/>
  <c r="W564" i="1"/>
  <c r="X564" i="1"/>
  <c r="Y564" i="1"/>
  <c r="Z564" i="1"/>
  <c r="AA564" i="1"/>
  <c r="AB564" i="1"/>
  <c r="K567" i="1"/>
  <c r="L567" i="1"/>
  <c r="L570" i="1" s="1"/>
  <c r="M567" i="1"/>
  <c r="M571" i="1" s="1"/>
  <c r="N567" i="1"/>
  <c r="N568" i="1" s="1"/>
  <c r="O567" i="1"/>
  <c r="O571" i="1" s="1"/>
  <c r="P567" i="1"/>
  <c r="P570" i="1" s="1"/>
  <c r="Q567" i="1"/>
  <c r="Q569" i="1" s="1"/>
  <c r="R567" i="1"/>
  <c r="R571" i="1" s="1"/>
  <c r="S567" i="1"/>
  <c r="T567" i="1"/>
  <c r="U567" i="1"/>
  <c r="U568" i="1" s="1"/>
  <c r="V567" i="1"/>
  <c r="V568" i="1" s="1"/>
  <c r="W567" i="1"/>
  <c r="W571" i="1" s="1"/>
  <c r="X567" i="1"/>
  <c r="M568" i="1"/>
  <c r="R568" i="1"/>
  <c r="K573" i="1"/>
  <c r="L573" i="1"/>
  <c r="M573" i="1"/>
  <c r="N573" i="1"/>
  <c r="O573" i="1"/>
  <c r="P573" i="1"/>
  <c r="Q573" i="1"/>
  <c r="R573" i="1"/>
  <c r="S573" i="1"/>
  <c r="T573" i="1"/>
  <c r="U573" i="1"/>
  <c r="V573" i="1"/>
  <c r="X573" i="1"/>
  <c r="K574" i="1"/>
  <c r="L574" i="1"/>
  <c r="M574" i="1"/>
  <c r="N574" i="1"/>
  <c r="O574" i="1"/>
  <c r="P574" i="1"/>
  <c r="Q574" i="1"/>
  <c r="R574" i="1"/>
  <c r="S574" i="1"/>
  <c r="T574" i="1"/>
  <c r="U574" i="1"/>
  <c r="V574" i="1"/>
  <c r="W574" i="1"/>
  <c r="X574" i="1"/>
  <c r="Y574" i="1"/>
  <c r="Z574" i="1"/>
  <c r="AA574" i="1"/>
  <c r="AB574" i="1"/>
  <c r="K576" i="1"/>
  <c r="L576" i="1"/>
  <c r="M576" i="1"/>
  <c r="Q576" i="1"/>
  <c r="R576" i="1"/>
  <c r="S576" i="1"/>
  <c r="T576" i="1"/>
  <c r="V576" i="1"/>
  <c r="W576" i="1"/>
  <c r="X576" i="1"/>
  <c r="Y576" i="1"/>
  <c r="Z576" i="1"/>
  <c r="AA576" i="1"/>
  <c r="AB576" i="1"/>
  <c r="K577" i="1"/>
  <c r="L577" i="1"/>
  <c r="M577" i="1"/>
  <c r="P577" i="1"/>
  <c r="R577" i="1"/>
  <c r="S577" i="1"/>
  <c r="T577" i="1"/>
  <c r="V577" i="1"/>
  <c r="W577" i="1"/>
  <c r="X577" i="1"/>
  <c r="Z577" i="1"/>
  <c r="AA577" i="1"/>
  <c r="AB577" i="1"/>
  <c r="K578" i="1"/>
  <c r="L578" i="1"/>
  <c r="M578" i="1"/>
  <c r="Q578" i="1"/>
  <c r="R578" i="1"/>
  <c r="S578" i="1"/>
  <c r="T578" i="1"/>
  <c r="V578" i="1"/>
  <c r="W578" i="1"/>
  <c r="X578" i="1"/>
  <c r="Y578" i="1"/>
  <c r="Z578" i="1"/>
  <c r="AA578" i="1"/>
  <c r="AB578" i="1"/>
  <c r="K579" i="1"/>
  <c r="L579" i="1"/>
  <c r="M579" i="1"/>
  <c r="Q579" i="1"/>
  <c r="R579" i="1"/>
  <c r="S579" i="1"/>
  <c r="T579" i="1"/>
  <c r="U579" i="1"/>
  <c r="V579" i="1"/>
  <c r="W579" i="1"/>
  <c r="X579" i="1"/>
  <c r="Y579" i="1"/>
  <c r="Z579" i="1"/>
  <c r="AA579" i="1"/>
  <c r="AB579" i="1"/>
  <c r="K580" i="1"/>
  <c r="L580" i="1"/>
  <c r="M580" i="1"/>
  <c r="N580" i="1"/>
  <c r="P580" i="1"/>
  <c r="Q580" i="1"/>
  <c r="R580" i="1"/>
  <c r="S580" i="1"/>
  <c r="T580" i="1"/>
  <c r="U580" i="1"/>
  <c r="V580" i="1"/>
  <c r="W580" i="1"/>
  <c r="X580" i="1"/>
  <c r="Y580" i="1"/>
  <c r="Z580" i="1"/>
  <c r="AA580" i="1"/>
  <c r="AB580" i="1"/>
  <c r="K581" i="1"/>
  <c r="L581" i="1"/>
  <c r="M581" i="1"/>
  <c r="N581" i="1"/>
  <c r="P581" i="1"/>
  <c r="Q581" i="1"/>
  <c r="R581" i="1"/>
  <c r="S581" i="1"/>
  <c r="T581" i="1"/>
  <c r="U581" i="1"/>
  <c r="V581" i="1"/>
  <c r="W581" i="1"/>
  <c r="X581" i="1"/>
  <c r="Y581" i="1"/>
  <c r="Z581" i="1"/>
  <c r="AA581" i="1"/>
  <c r="AB581" i="1"/>
  <c r="K582" i="1"/>
  <c r="L582" i="1"/>
  <c r="M582" i="1"/>
  <c r="N582" i="1"/>
  <c r="P582" i="1"/>
  <c r="Q582" i="1"/>
  <c r="R582" i="1"/>
  <c r="S582" i="1"/>
  <c r="T582" i="1"/>
  <c r="U582" i="1"/>
  <c r="V582" i="1"/>
  <c r="W582" i="1"/>
  <c r="X582" i="1"/>
  <c r="Y582" i="1"/>
  <c r="Z582" i="1"/>
  <c r="AA582" i="1"/>
  <c r="AB582" i="1"/>
  <c r="K583" i="1"/>
  <c r="L583" i="1"/>
  <c r="M583" i="1"/>
  <c r="N583" i="1"/>
  <c r="P583" i="1"/>
  <c r="Q583" i="1"/>
  <c r="R583" i="1"/>
  <c r="S583" i="1"/>
  <c r="T583" i="1"/>
  <c r="U583" i="1"/>
  <c r="V583" i="1"/>
  <c r="W583" i="1"/>
  <c r="X583" i="1"/>
  <c r="Y583" i="1"/>
  <c r="Z583" i="1"/>
  <c r="AA583" i="1"/>
  <c r="AB583" i="1"/>
  <c r="K584" i="1"/>
  <c r="L584" i="1"/>
  <c r="M584" i="1"/>
  <c r="N584" i="1"/>
  <c r="P584" i="1"/>
  <c r="Q584" i="1"/>
  <c r="R584" i="1"/>
  <c r="S584" i="1"/>
  <c r="T584" i="1"/>
  <c r="U584" i="1"/>
  <c r="V584" i="1"/>
  <c r="W584" i="1"/>
  <c r="X584" i="1"/>
  <c r="Y584" i="1"/>
  <c r="Z584" i="1"/>
  <c r="AA584" i="1"/>
  <c r="AB584" i="1"/>
  <c r="K585" i="1"/>
  <c r="L585" i="1"/>
  <c r="M585" i="1"/>
  <c r="N585" i="1"/>
  <c r="P585" i="1"/>
  <c r="Q585" i="1"/>
  <c r="R585" i="1"/>
  <c r="S585" i="1"/>
  <c r="T585" i="1"/>
  <c r="U585" i="1"/>
  <c r="V585" i="1"/>
  <c r="W585" i="1"/>
  <c r="X585" i="1"/>
  <c r="Y585" i="1"/>
  <c r="Z585" i="1"/>
  <c r="AA585" i="1"/>
  <c r="AB585" i="1"/>
  <c r="O589" i="1"/>
  <c r="O590" i="1"/>
  <c r="O591" i="1"/>
  <c r="AC592" i="1"/>
  <c r="K593" i="1"/>
  <c r="L593" i="1"/>
  <c r="M593" i="1"/>
  <c r="N593" i="1"/>
  <c r="O593" i="1"/>
  <c r="O587" i="1" s="1"/>
  <c r="P593" i="1"/>
  <c r="Q593" i="1"/>
  <c r="Q586" i="1" s="1"/>
  <c r="R593" i="1"/>
  <c r="S593" i="1"/>
  <c r="T593" i="1"/>
  <c r="U593" i="1"/>
  <c r="V593" i="1"/>
  <c r="W593" i="1"/>
  <c r="X593" i="1"/>
  <c r="Y593" i="1"/>
  <c r="Z593" i="1"/>
  <c r="AA593" i="1"/>
  <c r="AB593" i="1"/>
  <c r="AC594" i="1"/>
  <c r="K595" i="1"/>
  <c r="L595" i="1"/>
  <c r="M595" i="1"/>
  <c r="S595" i="1"/>
  <c r="T595" i="1"/>
  <c r="U595" i="1"/>
  <c r="V595" i="1"/>
  <c r="W595" i="1"/>
  <c r="X595" i="1"/>
  <c r="Y595" i="1"/>
  <c r="Z595" i="1"/>
  <c r="AA595" i="1"/>
  <c r="AB595" i="1"/>
  <c r="K596" i="1"/>
  <c r="L596" i="1"/>
  <c r="M596" i="1"/>
  <c r="S596" i="1"/>
  <c r="T596" i="1"/>
  <c r="U596" i="1"/>
  <c r="V596" i="1"/>
  <c r="W596" i="1"/>
  <c r="X596" i="1"/>
  <c r="Y596" i="1"/>
  <c r="Z596" i="1"/>
  <c r="AA596" i="1"/>
  <c r="AB596" i="1"/>
  <c r="K597" i="1"/>
  <c r="L597" i="1"/>
  <c r="M597" i="1"/>
  <c r="S597" i="1"/>
  <c r="T597" i="1"/>
  <c r="V597" i="1"/>
  <c r="W597" i="1"/>
  <c r="X597" i="1"/>
  <c r="Y597" i="1"/>
  <c r="Z597" i="1"/>
  <c r="AA597" i="1"/>
  <c r="AB597" i="1"/>
  <c r="AC598" i="1"/>
  <c r="K599" i="1"/>
  <c r="L599" i="1"/>
  <c r="M599" i="1"/>
  <c r="N599" i="1"/>
  <c r="O599" i="1"/>
  <c r="P599" i="1"/>
  <c r="Q599" i="1"/>
  <c r="R599" i="1"/>
  <c r="S599" i="1"/>
  <c r="T599" i="1"/>
  <c r="U599" i="1"/>
  <c r="V599" i="1"/>
  <c r="W599" i="1"/>
  <c r="X599" i="1"/>
  <c r="Y599" i="1"/>
  <c r="Z599" i="1"/>
  <c r="AA599" i="1"/>
  <c r="AB599" i="1"/>
  <c r="K605" i="1"/>
  <c r="L605" i="1"/>
  <c r="M605" i="1"/>
  <c r="N605" i="1"/>
  <c r="O605" i="1"/>
  <c r="P605" i="1"/>
  <c r="Q605" i="1"/>
  <c r="R605" i="1"/>
  <c r="S605" i="1"/>
  <c r="T605" i="1"/>
  <c r="U605" i="1"/>
  <c r="V605" i="1"/>
  <c r="W605" i="1"/>
  <c r="X605" i="1"/>
  <c r="Y605" i="1"/>
  <c r="Z605" i="1"/>
  <c r="AA605" i="1"/>
  <c r="AB605" i="1"/>
  <c r="AC607" i="1"/>
  <c r="AC608" i="1"/>
  <c r="AC609" i="1"/>
  <c r="AC610" i="1"/>
  <c r="AC611" i="1"/>
  <c r="AC612" i="1"/>
  <c r="K614" i="1"/>
  <c r="K617" i="1" s="1"/>
  <c r="L614" i="1"/>
  <c r="L617" i="1" s="1"/>
  <c r="M614" i="1"/>
  <c r="M617" i="1" s="1"/>
  <c r="N614" i="1"/>
  <c r="N618" i="1" s="1"/>
  <c r="O614" i="1"/>
  <c r="O618" i="1" s="1"/>
  <c r="P614" i="1"/>
  <c r="P616" i="1" s="1"/>
  <c r="Q614" i="1"/>
  <c r="Q617" i="1" s="1"/>
  <c r="R614" i="1"/>
  <c r="R618" i="1" s="1"/>
  <c r="S614" i="1"/>
  <c r="S618" i="1" s="1"/>
  <c r="T614" i="1"/>
  <c r="T617" i="1" s="1"/>
  <c r="U614" i="1"/>
  <c r="U617" i="1" s="1"/>
  <c r="V614" i="1"/>
  <c r="V618" i="1" s="1"/>
  <c r="W614" i="1"/>
  <c r="W618" i="1" s="1"/>
  <c r="X614" i="1"/>
  <c r="X616" i="1" s="1"/>
  <c r="Y614" i="1"/>
  <c r="Y617" i="1" s="1"/>
  <c r="Z614" i="1"/>
  <c r="Z618" i="1" s="1"/>
  <c r="AA614" i="1"/>
  <c r="AA618" i="1" s="1"/>
  <c r="K615" i="1"/>
  <c r="L615" i="1"/>
  <c r="M615" i="1"/>
  <c r="N615" i="1"/>
  <c r="O615" i="1"/>
  <c r="P615" i="1"/>
  <c r="Q615" i="1"/>
  <c r="R615" i="1"/>
  <c r="S615" i="1"/>
  <c r="T615" i="1"/>
  <c r="V615" i="1"/>
  <c r="W615" i="1"/>
  <c r="X615" i="1"/>
  <c r="AA615" i="1"/>
  <c r="AB615" i="1"/>
  <c r="AB616" i="1"/>
  <c r="AB617" i="1"/>
  <c r="AB618" i="1"/>
  <c r="AC619" i="1"/>
  <c r="AC621" i="1"/>
  <c r="AC622" i="1"/>
  <c r="AC623" i="1"/>
  <c r="AC624" i="1"/>
  <c r="AC625" i="1"/>
  <c r="AC626" i="1"/>
  <c r="AC627" i="1"/>
  <c r="AC628" i="1"/>
  <c r="AC629" i="1"/>
  <c r="AC630" i="1"/>
  <c r="Q631" i="1"/>
  <c r="S631" i="1"/>
  <c r="T631" i="1"/>
  <c r="AC632" i="1"/>
  <c r="K633" i="1"/>
  <c r="L633" i="1"/>
  <c r="M633" i="1"/>
  <c r="S633" i="1"/>
  <c r="T633" i="1"/>
  <c r="Y633" i="1"/>
  <c r="Z633" i="1"/>
  <c r="AA633" i="1"/>
  <c r="AB633" i="1"/>
  <c r="K634" i="1"/>
  <c r="L634" i="1"/>
  <c r="M634" i="1"/>
  <c r="S634" i="1"/>
  <c r="T634" i="1"/>
  <c r="Y634" i="1"/>
  <c r="Z634" i="1"/>
  <c r="AA634" i="1"/>
  <c r="AB634" i="1"/>
  <c r="AC635" i="1"/>
  <c r="AC636" i="1"/>
  <c r="AC637" i="1"/>
  <c r="AC638" i="1"/>
  <c r="X618" i="1" l="1"/>
  <c r="AA499" i="1"/>
  <c r="Q602" i="1"/>
  <c r="U589" i="1"/>
  <c r="Q589" i="1"/>
  <c r="Q616" i="1"/>
  <c r="N563" i="1"/>
  <c r="P618" i="1"/>
  <c r="L618" i="1"/>
  <c r="R565" i="1"/>
  <c r="T543" i="1"/>
  <c r="T618" i="1"/>
  <c r="L543" i="1"/>
  <c r="Z554" i="1"/>
  <c r="Y618" i="1"/>
  <c r="Q618" i="1"/>
  <c r="M616" i="1"/>
  <c r="W559" i="1"/>
  <c r="AC559" i="1" s="1"/>
  <c r="Q571" i="1"/>
  <c r="R561" i="1"/>
  <c r="U618" i="1"/>
  <c r="M618" i="1"/>
  <c r="U616" i="1"/>
  <c r="R566" i="1"/>
  <c r="AA563" i="1"/>
  <c r="R570" i="1"/>
  <c r="P604" i="1"/>
  <c r="N569" i="1"/>
  <c r="N500" i="1" s="1"/>
  <c r="O617" i="1"/>
  <c r="N589" i="1"/>
  <c r="V572" i="1"/>
  <c r="M569" i="1"/>
  <c r="M500" i="1" s="1"/>
  <c r="V570" i="1"/>
  <c r="U600" i="1"/>
  <c r="N572" i="1"/>
  <c r="R569" i="1"/>
  <c r="R500" i="1" s="1"/>
  <c r="U615" i="1"/>
  <c r="K603" i="1"/>
  <c r="AA573" i="1"/>
  <c r="P572" i="1"/>
  <c r="P571" i="1"/>
  <c r="N561" i="1"/>
  <c r="W616" i="1"/>
  <c r="AA589" i="1"/>
  <c r="S590" i="1"/>
  <c r="Z573" i="1"/>
  <c r="L571" i="1"/>
  <c r="Z566" i="1"/>
  <c r="Z565" i="1"/>
  <c r="V563" i="1"/>
  <c r="Z561" i="1"/>
  <c r="R554" i="1"/>
  <c r="O616" i="1"/>
  <c r="P568" i="1"/>
  <c r="N566" i="1"/>
  <c r="N565" i="1"/>
  <c r="V554" i="1"/>
  <c r="U602" i="1"/>
  <c r="L572" i="1"/>
  <c r="AA567" i="1"/>
  <c r="AA571" i="1" s="1"/>
  <c r="V566" i="1"/>
  <c r="V565" i="1"/>
  <c r="W552" i="1"/>
  <c r="N602" i="1"/>
  <c r="W617" i="1"/>
  <c r="S616" i="1"/>
  <c r="L616" i="1"/>
  <c r="L568" i="1"/>
  <c r="O566" i="1"/>
  <c r="W565" i="1"/>
  <c r="K565" i="1"/>
  <c r="W561" i="1"/>
  <c r="M543" i="1"/>
  <c r="AA617" i="1"/>
  <c r="S617" i="1"/>
  <c r="AA616" i="1"/>
  <c r="W563" i="1"/>
  <c r="V543" i="1"/>
  <c r="S601" i="1"/>
  <c r="S566" i="1"/>
  <c r="AA565" i="1"/>
  <c r="S561" i="1"/>
  <c r="S554" i="1"/>
  <c r="Z499" i="1"/>
  <c r="AC529" i="1"/>
  <c r="AC634" i="1"/>
  <c r="AC498" i="1"/>
  <c r="AA603" i="1"/>
  <c r="Y616" i="1"/>
  <c r="P589" i="1"/>
  <c r="L590" i="1"/>
  <c r="S591" i="1"/>
  <c r="N591" i="1"/>
  <c r="Y590" i="1"/>
  <c r="U590" i="1"/>
  <c r="R572" i="1"/>
  <c r="V571" i="1"/>
  <c r="N571" i="1"/>
  <c r="N570" i="1"/>
  <c r="Y567" i="1"/>
  <c r="Y568" i="1" s="1"/>
  <c r="Q500" i="1"/>
  <c r="X566" i="1"/>
  <c r="Q499" i="1"/>
  <c r="Y573" i="1"/>
  <c r="V569" i="1"/>
  <c r="V500" i="1" s="1"/>
  <c r="W554" i="1"/>
  <c r="Z615" i="1"/>
  <c r="Z569" i="1"/>
  <c r="Z500" i="1" s="1"/>
  <c r="Z572" i="1"/>
  <c r="Z571" i="1"/>
  <c r="Z568" i="1"/>
  <c r="Z570" i="1"/>
  <c r="S589" i="1"/>
  <c r="R601" i="1"/>
  <c r="X600" i="1"/>
  <c r="X604" i="1" s="1"/>
  <c r="V602" i="1"/>
  <c r="P590" i="1"/>
  <c r="Q591" i="1"/>
  <c r="V591" i="1"/>
  <c r="N590" i="1"/>
  <c r="U572" i="1"/>
  <c r="U569" i="1"/>
  <c r="Q568" i="1"/>
  <c r="Y543" i="1"/>
  <c r="Q590" i="1"/>
  <c r="AC578" i="1"/>
  <c r="AB600" i="1"/>
  <c r="AB604" i="1" s="1"/>
  <c r="Z602" i="1"/>
  <c r="T600" i="1"/>
  <c r="N587" i="1"/>
  <c r="W589" i="1"/>
  <c r="M572" i="1"/>
  <c r="U571" i="1"/>
  <c r="M570" i="1"/>
  <c r="Z562" i="1"/>
  <c r="P543" i="1"/>
  <c r="Y600" i="1"/>
  <c r="Y601" i="1" s="1"/>
  <c r="W603" i="1"/>
  <c r="S588" i="1"/>
  <c r="K600" i="1"/>
  <c r="K601" i="1" s="1"/>
  <c r="Y589" i="1"/>
  <c r="L591" i="1"/>
  <c r="Q572" i="1"/>
  <c r="U570" i="1"/>
  <c r="T554" i="1"/>
  <c r="T561" i="1"/>
  <c r="T563" i="1"/>
  <c r="T565" i="1"/>
  <c r="AC525" i="1"/>
  <c r="X617" i="1"/>
  <c r="P617" i="1"/>
  <c r="T616" i="1"/>
  <c r="R602" i="1"/>
  <c r="O601" i="1"/>
  <c r="Z603" i="1"/>
  <c r="V600" i="1"/>
  <c r="V601" i="1" s="1"/>
  <c r="M588" i="1"/>
  <c r="K588" i="1"/>
  <c r="V587" i="1"/>
  <c r="L589" i="1"/>
  <c r="Z589" i="1"/>
  <c r="V589" i="1"/>
  <c r="AC582" i="1"/>
  <c r="Z591" i="1"/>
  <c r="X570" i="1"/>
  <c r="X568" i="1"/>
  <c r="X571" i="1"/>
  <c r="X572" i="1"/>
  <c r="T570" i="1"/>
  <c r="T568" i="1"/>
  <c r="T571" i="1"/>
  <c r="T572" i="1"/>
  <c r="P565" i="1"/>
  <c r="AC547" i="1"/>
  <c r="AC537" i="1"/>
  <c r="W499" i="1"/>
  <c r="W543" i="1"/>
  <c r="R499" i="1"/>
  <c r="R543" i="1"/>
  <c r="N499" i="1"/>
  <c r="N543" i="1"/>
  <c r="AB566" i="1"/>
  <c r="AB554" i="1"/>
  <c r="X563" i="1"/>
  <c r="X565" i="1"/>
  <c r="P566" i="1"/>
  <c r="P554" i="1"/>
  <c r="P561" i="1"/>
  <c r="L566" i="1"/>
  <c r="L554" i="1"/>
  <c r="AC633" i="1"/>
  <c r="AC631" i="1"/>
  <c r="S603" i="1"/>
  <c r="Y602" i="1"/>
  <c r="O600" i="1"/>
  <c r="O604" i="1" s="1"/>
  <c r="AC599" i="1"/>
  <c r="Y603" i="1"/>
  <c r="AA588" i="1"/>
  <c r="W588" i="1"/>
  <c r="S602" i="1"/>
  <c r="Q587" i="1"/>
  <c r="Q588" i="1"/>
  <c r="AC577" i="1"/>
  <c r="T566" i="1"/>
  <c r="X554" i="1"/>
  <c r="AC539" i="1"/>
  <c r="Z616" i="1"/>
  <c r="V616" i="1"/>
  <c r="R616" i="1"/>
  <c r="AC614" i="1"/>
  <c r="AC605" i="1"/>
  <c r="O603" i="1"/>
  <c r="O602" i="1"/>
  <c r="Q601" i="1"/>
  <c r="Z600" i="1"/>
  <c r="Z601" i="1" s="1"/>
  <c r="U586" i="1"/>
  <c r="M600" i="1"/>
  <c r="M601" i="1" s="1"/>
  <c r="AC596" i="1"/>
  <c r="AB602" i="1"/>
  <c r="T602" i="1"/>
  <c r="P602" i="1"/>
  <c r="L602" i="1"/>
  <c r="O588" i="1"/>
  <c r="Y591" i="1"/>
  <c r="U591" i="1"/>
  <c r="T589" i="1"/>
  <c r="AB565" i="1"/>
  <c r="L565" i="1"/>
  <c r="AB563" i="1"/>
  <c r="L563" i="1"/>
  <c r="AB561" i="1"/>
  <c r="L561" i="1"/>
  <c r="AC541" i="1"/>
  <c r="K589" i="1"/>
  <c r="AA591" i="1"/>
  <c r="W591" i="1"/>
  <c r="K590" i="1"/>
  <c r="Q570" i="1"/>
  <c r="O565" i="1"/>
  <c r="O563" i="1"/>
  <c r="AA561" i="1"/>
  <c r="K561" i="1"/>
  <c r="AA554" i="1"/>
  <c r="K554" i="1"/>
  <c r="AB589" i="1"/>
  <c r="K566" i="1"/>
  <c r="S565" i="1"/>
  <c r="O561" i="1"/>
  <c r="R603" i="1"/>
  <c r="N603" i="1"/>
  <c r="X588" i="1"/>
  <c r="X587" i="1"/>
  <c r="X586" i="1"/>
  <c r="M591" i="1"/>
  <c r="R589" i="1"/>
  <c r="R590" i="1"/>
  <c r="R591" i="1"/>
  <c r="S570" i="1"/>
  <c r="S569" i="1"/>
  <c r="S500" i="1" s="1"/>
  <c r="S568" i="1"/>
  <c r="S572" i="1"/>
  <c r="K570" i="1"/>
  <c r="K569" i="1"/>
  <c r="K568" i="1"/>
  <c r="K572" i="1"/>
  <c r="Y563" i="1"/>
  <c r="Y554" i="1"/>
  <c r="Y566" i="1"/>
  <c r="Q563" i="1"/>
  <c r="Q554" i="1"/>
  <c r="Q566" i="1"/>
  <c r="AC527" i="1"/>
  <c r="K618" i="1"/>
  <c r="Z617" i="1"/>
  <c r="V617" i="1"/>
  <c r="R617" i="1"/>
  <c r="K616" i="1"/>
  <c r="U603" i="1"/>
  <c r="Q603" i="1"/>
  <c r="M603" i="1"/>
  <c r="X602" i="1"/>
  <c r="U601" i="1"/>
  <c r="AA600" i="1"/>
  <c r="W600" i="1"/>
  <c r="S600" i="1"/>
  <c r="AC595" i="1"/>
  <c r="Y588" i="1"/>
  <c r="U588" i="1"/>
  <c r="AA587" i="1"/>
  <c r="W587" i="1"/>
  <c r="S587" i="1"/>
  <c r="K587" i="1"/>
  <c r="P591" i="1"/>
  <c r="AA590" i="1"/>
  <c r="Y586" i="1"/>
  <c r="AC585" i="1"/>
  <c r="AB591" i="1"/>
  <c r="X591" i="1"/>
  <c r="T591" i="1"/>
  <c r="AC581" i="1"/>
  <c r="Z590" i="1"/>
  <c r="V590" i="1"/>
  <c r="AC579" i="1"/>
  <c r="X589" i="1"/>
  <c r="S571" i="1"/>
  <c r="K571" i="1"/>
  <c r="Y561" i="1"/>
  <c r="Q561" i="1"/>
  <c r="AC555" i="1"/>
  <c r="AB567" i="1"/>
  <c r="AC567" i="1" s="1"/>
  <c r="AB551" i="1"/>
  <c r="AB562" i="1"/>
  <c r="AB573" i="1"/>
  <c r="W551" i="1"/>
  <c r="W562" i="1"/>
  <c r="W573" i="1"/>
  <c r="AC535" i="1"/>
  <c r="AC530" i="1"/>
  <c r="AC528" i="1"/>
  <c r="AC502" i="1"/>
  <c r="V603" i="1"/>
  <c r="M602" i="1"/>
  <c r="N601" i="1"/>
  <c r="N600" i="1"/>
  <c r="N604" i="1" s="1"/>
  <c r="AC597" i="1"/>
  <c r="AB588" i="1"/>
  <c r="AB587" i="1"/>
  <c r="AB586" i="1"/>
  <c r="T588" i="1"/>
  <c r="T587" i="1"/>
  <c r="T586" i="1"/>
  <c r="P588" i="1"/>
  <c r="P587" i="1"/>
  <c r="P586" i="1"/>
  <c r="L588" i="1"/>
  <c r="L587" i="1"/>
  <c r="L586" i="1"/>
  <c r="Z587" i="1"/>
  <c r="M586" i="1"/>
  <c r="AC576" i="1"/>
  <c r="K591" i="1"/>
  <c r="W570" i="1"/>
  <c r="W569" i="1"/>
  <c r="W500" i="1" s="1"/>
  <c r="W568" i="1"/>
  <c r="W572" i="1"/>
  <c r="O570" i="1"/>
  <c r="O569" i="1"/>
  <c r="O500" i="1" s="1"/>
  <c r="O568" i="1"/>
  <c r="O572" i="1"/>
  <c r="AC560" i="1"/>
  <c r="U563" i="1"/>
  <c r="U554" i="1"/>
  <c r="U566" i="1"/>
  <c r="M563" i="1"/>
  <c r="M554" i="1"/>
  <c r="M566" i="1"/>
  <c r="AC533" i="1"/>
  <c r="S604" i="1"/>
  <c r="AB603" i="1"/>
  <c r="X603" i="1"/>
  <c r="T603" i="1"/>
  <c r="P603" i="1"/>
  <c r="L603" i="1"/>
  <c r="AA602" i="1"/>
  <c r="W602" i="1"/>
  <c r="K602" i="1"/>
  <c r="T601" i="1"/>
  <c r="P601" i="1"/>
  <c r="P600" i="1"/>
  <c r="L600" i="1"/>
  <c r="Z586" i="1"/>
  <c r="Z588" i="1"/>
  <c r="V586" i="1"/>
  <c r="V588" i="1"/>
  <c r="R586" i="1"/>
  <c r="R588" i="1"/>
  <c r="N586" i="1"/>
  <c r="N588" i="1"/>
  <c r="R587" i="1"/>
  <c r="AC584" i="1"/>
  <c r="AC580" i="1"/>
  <c r="M589" i="1"/>
  <c r="AC574" i="1"/>
  <c r="AC564" i="1"/>
  <c r="AC557" i="1"/>
  <c r="AC536" i="1"/>
  <c r="AC526" i="1"/>
  <c r="AC497" i="1"/>
  <c r="Y587" i="1"/>
  <c r="U587" i="1"/>
  <c r="M587" i="1"/>
  <c r="W590" i="1"/>
  <c r="AC583" i="1"/>
  <c r="AB590" i="1"/>
  <c r="X590" i="1"/>
  <c r="T590" i="1"/>
  <c r="M590" i="1"/>
  <c r="Y565" i="1"/>
  <c r="U565" i="1"/>
  <c r="Q565" i="1"/>
  <c r="M565" i="1"/>
  <c r="AC549" i="1"/>
  <c r="AC531" i="1"/>
  <c r="AB499" i="1"/>
  <c r="AB543" i="1"/>
  <c r="X499" i="1"/>
  <c r="X543" i="1"/>
  <c r="S499" i="1"/>
  <c r="S543" i="1"/>
  <c r="O499" i="1"/>
  <c r="O543" i="1"/>
  <c r="AC496" i="1"/>
  <c r="K499" i="1"/>
  <c r="K543" i="1"/>
  <c r="AC593" i="1"/>
  <c r="X569" i="1"/>
  <c r="X500" i="1" s="1"/>
  <c r="T569" i="1"/>
  <c r="T500" i="1" s="1"/>
  <c r="P569" i="1"/>
  <c r="P500" i="1" s="1"/>
  <c r="L569" i="1"/>
  <c r="L500" i="1" s="1"/>
  <c r="Y562" i="1"/>
  <c r="AA586" i="1"/>
  <c r="W586" i="1"/>
  <c r="S586" i="1"/>
  <c r="O586" i="1"/>
  <c r="K586" i="1"/>
  <c r="Y604" i="1" l="1"/>
  <c r="AB601" i="1"/>
  <c r="Z604" i="1"/>
  <c r="AC618" i="1"/>
  <c r="AC615" i="1"/>
  <c r="AA568" i="1"/>
  <c r="AA569" i="1"/>
  <c r="AA500" i="1" s="1"/>
  <c r="Y570" i="1"/>
  <c r="AA570" i="1"/>
  <c r="Y571" i="1"/>
  <c r="AA572" i="1"/>
  <c r="Y569" i="1"/>
  <c r="Y500" i="1" s="1"/>
  <c r="Y572" i="1"/>
  <c r="K604" i="1"/>
  <c r="X601" i="1"/>
  <c r="AC589" i="1"/>
  <c r="AC562" i="1"/>
  <c r="AC566" i="1"/>
  <c r="V604" i="1"/>
  <c r="AC563" i="1"/>
  <c r="AC588" i="1"/>
  <c r="AC616" i="1"/>
  <c r="AC590" i="1"/>
  <c r="AC617" i="1"/>
  <c r="AC543" i="1"/>
  <c r="AC603" i="1"/>
  <c r="AC554" i="1"/>
  <c r="AC573" i="1"/>
  <c r="AC561" i="1"/>
  <c r="AC499" i="1"/>
  <c r="L604" i="1"/>
  <c r="L601" i="1"/>
  <c r="AC600" i="1"/>
  <c r="AC602" i="1"/>
  <c r="AC586" i="1"/>
  <c r="AC591" i="1"/>
  <c r="AB571" i="1"/>
  <c r="AB570" i="1"/>
  <c r="AB569" i="1"/>
  <c r="AB500" i="1" s="1"/>
  <c r="AB568" i="1"/>
  <c r="AC568" i="1" s="1"/>
  <c r="AB572" i="1"/>
  <c r="AC587" i="1"/>
  <c r="W601" i="1"/>
  <c r="W604" i="1"/>
  <c r="AC572" i="1"/>
  <c r="AC570" i="1"/>
  <c r="K500" i="1"/>
  <c r="AC565" i="1"/>
  <c r="AC571" i="1"/>
  <c r="AA601" i="1"/>
  <c r="AA604" i="1"/>
  <c r="AC604" i="1" l="1"/>
  <c r="AC601" i="1"/>
  <c r="AC500" i="1"/>
  <c r="AC569" i="1"/>
</calcChain>
</file>

<file path=xl/comments1.xml><?xml version="1.0" encoding="utf-8"?>
<comments xmlns="http://schemas.openxmlformats.org/spreadsheetml/2006/main">
  <authors>
    <author>Autor</author>
  </authors>
  <commentList>
    <comment ref="K546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hipotenusa</t>
        </r>
      </text>
    </comment>
    <comment ref="V546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hipotenusa</t>
        </r>
      </text>
    </comment>
  </commentList>
</comments>
</file>

<file path=xl/sharedStrings.xml><?xml version="1.0" encoding="utf-8"?>
<sst xmlns="http://schemas.openxmlformats.org/spreadsheetml/2006/main" count="3961" uniqueCount="1412">
  <si>
    <t>liso-liso</t>
  </si>
  <si>
    <t>muro ciego</t>
  </si>
  <si>
    <t>nariz-liso</t>
  </si>
  <si>
    <t>alto</t>
  </si>
  <si>
    <t>largo</t>
  </si>
  <si>
    <t>liso-nariz</t>
  </si>
  <si>
    <t>pza</t>
  </si>
  <si>
    <t>u</t>
  </si>
  <si>
    <t>clave</t>
  </si>
  <si>
    <t>nariz-nariz</t>
  </si>
  <si>
    <t>cant.</t>
  </si>
  <si>
    <t>INT.</t>
  </si>
  <si>
    <t>EXT.</t>
  </si>
  <si>
    <t>TOTAL DE MUROS POR EDIFICIO</t>
  </si>
  <si>
    <t>SUMCOLAR-2750-AS</t>
  </si>
  <si>
    <t>SUMCOLAR-2750-BS</t>
  </si>
  <si>
    <t>PRF101-2S</t>
  </si>
  <si>
    <t>PRF101-3S</t>
  </si>
  <si>
    <t>ARRE-8000S</t>
  </si>
  <si>
    <t>PREF-314-S</t>
  </si>
  <si>
    <t>PRF310-SEN</t>
  </si>
  <si>
    <t>PREF311S</t>
  </si>
  <si>
    <t>PREF312S</t>
  </si>
  <si>
    <t>m2</t>
  </si>
  <si>
    <t>muro puerta (0.90cm)</t>
  </si>
  <si>
    <t>TECHADO</t>
  </si>
  <si>
    <t>muro 2 vent (0.69x0.49)</t>
  </si>
  <si>
    <t>PZA</t>
  </si>
  <si>
    <t>ROLLOS DE FIBRA MBI R-7 2"</t>
  </si>
  <si>
    <t>ROLLO</t>
  </si>
  <si>
    <t>ROLLO FIBRA DE VIDRIO RF-3075 C/ALUM. REFZ.1.5" X 1.22 MTS X 30.48 MTS</t>
  </si>
  <si>
    <t>SOPORTE DE CABALLETE</t>
  </si>
  <si>
    <t>CANAL LISTON 3050 MM CAL. 26</t>
  </si>
  <si>
    <t xml:space="preserve">PIJA PARA SUJETAR CANAL LISTON DEL No. 8 DE 1/2" AUTOTALADRANTE CABEZA PLANA </t>
  </si>
  <si>
    <t>J-CHANEL 5/8" WHITE</t>
  </si>
  <si>
    <t>VINIL SOFFIT PLAIN SOLID 12'  WHITE</t>
  </si>
  <si>
    <t>CUBETA</t>
  </si>
  <si>
    <t>CAJAS</t>
  </si>
  <si>
    <t xml:space="preserve">V E N T A N A S    Y    P U E R T A S </t>
  </si>
  <si>
    <t>ANGULO DE PVC 2 1/2" x 2 1/2" x 2.22 LARGO (PUERTA)</t>
  </si>
  <si>
    <t>ANGULO DE PVC 2.5" x 2.5" x 3780 LARGO</t>
  </si>
  <si>
    <t>ANGULO DE PVC 2.5" x 2.5" x 1.91 LARGO</t>
  </si>
  <si>
    <t>ANGULO DE PVC 2.5" x 1.0" x 1.27 LARGO</t>
  </si>
  <si>
    <t>PUERTA DE 80 X 213 CMS.</t>
  </si>
  <si>
    <t>PUERTA DE 90 X 213 CMS.</t>
  </si>
  <si>
    <t>BISAGRA</t>
  </si>
  <si>
    <t>ESCALONADO ALUMINIO BLANCO 2"</t>
  </si>
  <si>
    <t>MADERA DE PINO 2x8x16 No 1 (CAN)</t>
  </si>
  <si>
    <t xml:space="preserve">CHAPA PUERTA </t>
  </si>
  <si>
    <t>ANGULO DE PVC 2 1/2" x 1" x 2.22 LARGO (puerta)</t>
  </si>
  <si>
    <t>ANGULO DE PVC 2 1/2" x 2 1/2" x 1.15 largo (puerta)</t>
  </si>
  <si>
    <t>LUME-2x32</t>
  </si>
  <si>
    <t>LUMINARIA 2 x 32w</t>
  </si>
  <si>
    <t>LUMINARIAS</t>
  </si>
  <si>
    <t>T3 PRESTIGE BEIGE R.L. 12''</t>
  </si>
  <si>
    <t>INETUERC-53000000</t>
  </si>
  <si>
    <t>TUERCAS 3/8" (ARMADURAS)</t>
  </si>
  <si>
    <t>INETOHEX-55000383</t>
  </si>
  <si>
    <t>INETOHEX-54003834</t>
  </si>
  <si>
    <t>INEROPRE-56000038</t>
  </si>
  <si>
    <t>PIJA S-1 5/8" (FORRADO MUROS)</t>
  </si>
  <si>
    <t>ANGULO DE 1/2'' x  1" X 1/8" DE 6 MTS. (FIJACION DE MURO)</t>
  </si>
  <si>
    <t>muro puerta central (0.90cm)</t>
  </si>
  <si>
    <t>MCLL-001</t>
  </si>
  <si>
    <t>MCLL-002</t>
  </si>
  <si>
    <t>MCLL-003</t>
  </si>
  <si>
    <t>MCLL-004</t>
  </si>
  <si>
    <t>MCLL-005</t>
  </si>
  <si>
    <t>MCLL-006</t>
  </si>
  <si>
    <t>MCLL-007</t>
  </si>
  <si>
    <t>MCLL-008</t>
  </si>
  <si>
    <t>MCLL-009</t>
  </si>
  <si>
    <t>MCLL-010</t>
  </si>
  <si>
    <t>MCLL-011</t>
  </si>
  <si>
    <t>MCLL-012</t>
  </si>
  <si>
    <t>MPLL-001</t>
  </si>
  <si>
    <t>MPLL-002</t>
  </si>
  <si>
    <t>MPLL-003</t>
  </si>
  <si>
    <t>MPLL-004</t>
  </si>
  <si>
    <t>MPLL-005</t>
  </si>
  <si>
    <t>MPLL-006</t>
  </si>
  <si>
    <t>MPLL-007</t>
  </si>
  <si>
    <t>MPLL-008</t>
  </si>
  <si>
    <t>MPLL-009</t>
  </si>
  <si>
    <t>MPLL-010</t>
  </si>
  <si>
    <t>MPLL-011</t>
  </si>
  <si>
    <t>MPLL-012</t>
  </si>
  <si>
    <t>MPLL-013</t>
  </si>
  <si>
    <t>MCLL-014</t>
  </si>
  <si>
    <t>MCLL-015</t>
  </si>
  <si>
    <t>MCLL-016</t>
  </si>
  <si>
    <t>MCLL-017</t>
  </si>
  <si>
    <t>MCLL-018</t>
  </si>
  <si>
    <t>MCLL-019</t>
  </si>
  <si>
    <t>MCLL-020</t>
  </si>
  <si>
    <t>MCLL-021</t>
  </si>
  <si>
    <t>MCLL-022</t>
  </si>
  <si>
    <t>MCLL-023</t>
  </si>
  <si>
    <t>MVBL-001</t>
  </si>
  <si>
    <t>MVBL-002</t>
  </si>
  <si>
    <t>MVBL-004</t>
  </si>
  <si>
    <t>MPBL-003</t>
  </si>
  <si>
    <t>MVBL-006</t>
  </si>
  <si>
    <t>MVBL-005</t>
  </si>
  <si>
    <t>MPBL-001</t>
  </si>
  <si>
    <t>MPBL-002</t>
  </si>
  <si>
    <t>MCBL-002</t>
  </si>
  <si>
    <t>MPVBL-001</t>
  </si>
  <si>
    <t>MCLL-024</t>
  </si>
  <si>
    <t>MCLL-025</t>
  </si>
  <si>
    <t>MCLL-026</t>
  </si>
  <si>
    <t>MCLL-027</t>
  </si>
  <si>
    <t>MCLL-028</t>
  </si>
  <si>
    <t>MCLL-029</t>
  </si>
  <si>
    <t>MCLL-030</t>
  </si>
  <si>
    <t>muro ventana (0.69x0.49)  izq</t>
  </si>
  <si>
    <t>muro ventana (0.69x0.49)  der</t>
  </si>
  <si>
    <t>muro puerta (0.90cm) der</t>
  </si>
  <si>
    <t>muro puerta (0.90cm) izq</t>
  </si>
  <si>
    <t>PIJA S-1 " (FORRADO MUROS)</t>
  </si>
  <si>
    <t>MPLL-014</t>
  </si>
  <si>
    <t>H TRIM S.L. WHITE 2.735 MTS</t>
  </si>
  <si>
    <t>MCLL-013</t>
  </si>
  <si>
    <t>MVLL-001</t>
  </si>
  <si>
    <t>MVBL-003</t>
  </si>
  <si>
    <t>MVBL-007</t>
  </si>
  <si>
    <t>T3 LINEN WHITE R.L. 6''</t>
  </si>
  <si>
    <t xml:space="preserve">  </t>
  </si>
  <si>
    <t xml:space="preserve">PISO DE LOSETA </t>
  </si>
  <si>
    <t>M2</t>
  </si>
  <si>
    <t>INSTALACION HIDROSANITARIA</t>
  </si>
  <si>
    <t xml:space="preserve">WC TANQUE BAJO </t>
  </si>
  <si>
    <t>MINGITORIO ACERO INOX</t>
  </si>
  <si>
    <t>LLAVE DE NARIZ</t>
  </si>
  <si>
    <t>MCFL-001</t>
  </si>
  <si>
    <t>fach-lin</t>
  </si>
  <si>
    <t>MVFL-001</t>
  </si>
  <si>
    <t>LAVAMANOS SENCILLO ACERO INOX 1.50</t>
  </si>
  <si>
    <t>LAVAMANOS CERAMICA</t>
  </si>
  <si>
    <t>MINGITORIO CERAMICA</t>
  </si>
  <si>
    <t xml:space="preserve">IMPERMEABILIZANTE </t>
  </si>
  <si>
    <t>FIRME</t>
  </si>
  <si>
    <t>LUMINARIA 2 x 20w</t>
  </si>
  <si>
    <t>LUME-1x14</t>
  </si>
  <si>
    <t>LUME-2x20</t>
  </si>
  <si>
    <t>DESCRIPCION</t>
  </si>
  <si>
    <t>TORNILLO HEXAGONAL 3/8"-16 X 3" (ARMADURA)</t>
  </si>
  <si>
    <t>TORNILLO HEXAGONAL 3/8"-16 X 1 3/4" (ARMADURA)</t>
  </si>
  <si>
    <t>RONDANA DE PRESION 3/8" (ARMADURA)</t>
  </si>
  <si>
    <t>CONECTOR SUPERIOR (ARMADURA)</t>
  </si>
  <si>
    <t>CONECTOR INFERIOR (ARMADURA)</t>
  </si>
  <si>
    <t>CONECTOR CUMBRERA (ARMADURA)</t>
  </si>
  <si>
    <t>LARGUERO ESTRUCTURAL</t>
  </si>
  <si>
    <t>TIRANTES ESTRUCTURALES</t>
  </si>
  <si>
    <t xml:space="preserve">TOPE PARA PUERTA </t>
  </si>
  <si>
    <t>MCLL-039</t>
  </si>
  <si>
    <t>MCLL-040</t>
  </si>
  <si>
    <t>MCLL-041</t>
  </si>
  <si>
    <t>MCLL-042</t>
  </si>
  <si>
    <t>MCLL-043</t>
  </si>
  <si>
    <t>MCLL-044</t>
  </si>
  <si>
    <t>MCLL-045</t>
  </si>
  <si>
    <t>MCLL-046</t>
  </si>
  <si>
    <t>MCLL-031</t>
  </si>
  <si>
    <t>MCLL-032</t>
  </si>
  <si>
    <t>MCLL-033</t>
  </si>
  <si>
    <t>MCLL-034</t>
  </si>
  <si>
    <t>MCLL-035</t>
  </si>
  <si>
    <t>MCLL-036</t>
  </si>
  <si>
    <t>MCLL-037</t>
  </si>
  <si>
    <t>MCLL-038</t>
  </si>
  <si>
    <t>MCLL-047</t>
  </si>
  <si>
    <t>MCLL-048</t>
  </si>
  <si>
    <t>MCLL-049</t>
  </si>
  <si>
    <t>MCLL-050</t>
  </si>
  <si>
    <t>MCLL-051</t>
  </si>
  <si>
    <t>MCLL-052</t>
  </si>
  <si>
    <t>MPLL-015</t>
  </si>
  <si>
    <t>MPLL-016</t>
  </si>
  <si>
    <t>MPLL-017</t>
  </si>
  <si>
    <t>MPLL-018</t>
  </si>
  <si>
    <t>MPLL-019</t>
  </si>
  <si>
    <t>MPLL-020</t>
  </si>
  <si>
    <t>MCLL-053</t>
  </si>
  <si>
    <t>MCLL-054</t>
  </si>
  <si>
    <t>MCLL-055</t>
  </si>
  <si>
    <t>MCLL-056</t>
  </si>
  <si>
    <t>TOTAL DE MUROS INTERIORES</t>
  </si>
  <si>
    <t>TOTAL DE MUROS EXTERIORES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</si>
  <si>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</si>
  <si>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</si>
  <si>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</si>
  <si>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</si>
  <si>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</si>
  <si>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</si>
  <si>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</si>
  <si>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</si>
  <si>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</si>
  <si>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</si>
  <si>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</si>
  <si>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</si>
  <si>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</si>
  <si>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</si>
  <si>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</si>
  <si>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</si>
  <si>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</si>
  <si>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</si>
  <si>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</si>
  <si>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</si>
  <si>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</si>
  <si>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</si>
  <si>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</si>
  <si>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</si>
  <si>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</si>
  <si>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</si>
  <si>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</si>
  <si>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</si>
  <si>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</si>
  <si>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</si>
  <si>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C1</t>
  </si>
  <si>
    <t>C2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</si>
  <si>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</si>
  <si>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</si>
  <si>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</si>
  <si>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</si>
  <si>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</si>
  <si>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</si>
  <si>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</si>
  <si>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</si>
  <si>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</si>
  <si>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</si>
  <si>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C43</t>
  </si>
  <si>
    <t>C44</t>
  </si>
  <si>
    <t>C45</t>
  </si>
  <si>
    <t>C46</t>
  </si>
  <si>
    <t>C47</t>
  </si>
  <si>
    <t>C48</t>
  </si>
  <si>
    <t>C49</t>
  </si>
  <si>
    <t>C50</t>
  </si>
  <si>
    <t>C51</t>
  </si>
  <si>
    <t>C52</t>
  </si>
  <si>
    <t>C53</t>
  </si>
  <si>
    <t>C54</t>
  </si>
  <si>
    <t>C55</t>
  </si>
  <si>
    <t>C56</t>
  </si>
  <si>
    <t>V1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</si>
  <si>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</si>
  <si>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</si>
  <si>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</si>
  <si>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</si>
  <si>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</si>
  <si>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</si>
  <si>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</si>
  <si>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</si>
  <si>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</si>
  <si>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</si>
  <si>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P11</t>
  </si>
  <si>
    <t>P12</t>
  </si>
  <si>
    <t>P13</t>
  </si>
  <si>
    <t>P14</t>
  </si>
  <si>
    <t>P15</t>
  </si>
  <si>
    <t>P16</t>
  </si>
  <si>
    <t>P17</t>
  </si>
  <si>
    <t>P18</t>
  </si>
  <si>
    <t>P19</t>
  </si>
  <si>
    <t>P20</t>
  </si>
  <si>
    <t>Cb1</t>
  </si>
  <si>
    <t>Cb2</t>
  </si>
  <si>
    <t>Cf 1</t>
  </si>
  <si>
    <t>Vb1</t>
  </si>
  <si>
    <t>Vb2</t>
  </si>
  <si>
    <t>Vb3</t>
  </si>
  <si>
    <t>Vb4</t>
  </si>
  <si>
    <t>Vb5</t>
  </si>
  <si>
    <t>Vb6</t>
  </si>
  <si>
    <t>Vb7</t>
  </si>
  <si>
    <t>Vf 1</t>
  </si>
  <si>
    <t>Pb1</t>
  </si>
  <si>
    <t>Pb2</t>
  </si>
  <si>
    <t>Pb3</t>
  </si>
  <si>
    <t>PVb1</t>
  </si>
  <si>
    <t>MCLL-057</t>
  </si>
  <si>
    <t>C57</t>
  </si>
  <si>
    <t>MCLL-058</t>
  </si>
  <si>
    <t>C58</t>
  </si>
  <si>
    <t>MCLL-059</t>
  </si>
  <si>
    <t>C59</t>
  </si>
  <si>
    <t>MCLL-060</t>
  </si>
  <si>
    <t>C60</t>
  </si>
  <si>
    <t>ANGULO DE PVC 2.5" x 1.0" x 2.80 LARGO</t>
  </si>
  <si>
    <t>MPLL-021</t>
  </si>
  <si>
    <t>P21</t>
  </si>
  <si>
    <t>MPLL-022</t>
  </si>
  <si>
    <t>P22</t>
  </si>
  <si>
    <t>MPLL-023</t>
  </si>
  <si>
    <t>P23</t>
  </si>
  <si>
    <t>MPLL-024</t>
  </si>
  <si>
    <t>P24</t>
  </si>
  <si>
    <t>MPLL-025</t>
  </si>
  <si>
    <t>P25</t>
  </si>
  <si>
    <t>muro puerta (0.60cm) ducto</t>
  </si>
  <si>
    <t xml:space="preserve">muro puerta (0.90cm) SIN PUERTA </t>
  </si>
  <si>
    <t>muro puerta (0.70cm)</t>
  </si>
  <si>
    <t>V2</t>
  </si>
  <si>
    <t>MVLL-002</t>
  </si>
  <si>
    <t>muro vent (1.83x1.22)</t>
  </si>
  <si>
    <t xml:space="preserve">muro 2 vent (0.69x0.49)c/rejillas inferiores </t>
  </si>
  <si>
    <t>PVb2</t>
  </si>
  <si>
    <t>MPVBL-002</t>
  </si>
  <si>
    <t>MPLL-026</t>
  </si>
  <si>
    <t>P26</t>
  </si>
  <si>
    <t>MPLL-027</t>
  </si>
  <si>
    <t>P27</t>
  </si>
  <si>
    <t>MCGL-001</t>
  </si>
  <si>
    <t>Cg1</t>
  </si>
  <si>
    <t>grey-lin</t>
  </si>
  <si>
    <t>MCGL-002</t>
  </si>
  <si>
    <t>Cg2</t>
  </si>
  <si>
    <t>MVGL-001</t>
  </si>
  <si>
    <t>Vg1</t>
  </si>
  <si>
    <t>MVGL-002</t>
  </si>
  <si>
    <t>Vg2</t>
  </si>
  <si>
    <t>MVGL-003</t>
  </si>
  <si>
    <t>Vg3</t>
  </si>
  <si>
    <t>muro vent (1.8x0.49)c/rejillas inferiores</t>
  </si>
  <si>
    <t>MVGL-004</t>
  </si>
  <si>
    <t>Vg4</t>
  </si>
  <si>
    <t>MVGL-005</t>
  </si>
  <si>
    <t>Vg5</t>
  </si>
  <si>
    <t>MVGL-006</t>
  </si>
  <si>
    <t>Vg6</t>
  </si>
  <si>
    <t>MPGL-001</t>
  </si>
  <si>
    <t>Pg1</t>
  </si>
  <si>
    <t>MPGL-002</t>
  </si>
  <si>
    <t>Pg2</t>
  </si>
  <si>
    <t>MPGL-003</t>
  </si>
  <si>
    <t>Pg3</t>
  </si>
  <si>
    <t>muro puerta doble (0.80cm)</t>
  </si>
  <si>
    <t>MPGL-004</t>
  </si>
  <si>
    <t>Pg4</t>
  </si>
  <si>
    <t>muro 2 puertas (0.80cm)</t>
  </si>
  <si>
    <t>MPGL-005</t>
  </si>
  <si>
    <t>Pg5</t>
  </si>
  <si>
    <t xml:space="preserve">muro 2 puertas (0.80cm)antepecho  mas grande </t>
  </si>
  <si>
    <t>MPVGL-001</t>
  </si>
  <si>
    <t>PVg1</t>
  </si>
  <si>
    <t>MPVGL-002</t>
  </si>
  <si>
    <t>PVg2</t>
  </si>
  <si>
    <t>PUERTA DE 60 X 166 CMS.</t>
  </si>
  <si>
    <t>PUERTA DE 70 X 213 CMS.</t>
  </si>
  <si>
    <t>tipo</t>
  </si>
  <si>
    <t xml:space="preserve">PLAFON MODULO </t>
  </si>
  <si>
    <t>muro puerta (0.80cm)</t>
  </si>
  <si>
    <t>muro puerta doble (0.80cm)c/u</t>
  </si>
  <si>
    <t>MCLL-061</t>
  </si>
  <si>
    <t>C61</t>
  </si>
  <si>
    <t>MCLL-062</t>
  </si>
  <si>
    <t>C62</t>
  </si>
  <si>
    <t>MCLL-063</t>
  </si>
  <si>
    <t>C63</t>
  </si>
  <si>
    <t>MCGL-003</t>
  </si>
  <si>
    <t>Cg3</t>
  </si>
  <si>
    <t>MCGL-004</t>
  </si>
  <si>
    <t>Cg4</t>
  </si>
  <si>
    <t>MPGL-006</t>
  </si>
  <si>
    <t>Pg6</t>
  </si>
  <si>
    <t>MPGL-007</t>
  </si>
  <si>
    <t>Pg7</t>
  </si>
  <si>
    <t>MPGL-008</t>
  </si>
  <si>
    <t>Pg8</t>
  </si>
  <si>
    <t>MVGL-007</t>
  </si>
  <si>
    <t>Vg7</t>
  </si>
  <si>
    <t>MCLL-064</t>
  </si>
  <si>
    <t>C64</t>
  </si>
  <si>
    <t>MCLL-065</t>
  </si>
  <si>
    <t>C65</t>
  </si>
  <si>
    <t>MCLL-066</t>
  </si>
  <si>
    <t>C66</t>
  </si>
  <si>
    <t>MPLL-028</t>
  </si>
  <si>
    <t>P28</t>
  </si>
  <si>
    <t xml:space="preserve">muro puerta doble (0.70cm) </t>
  </si>
  <si>
    <t>MPLL-029</t>
  </si>
  <si>
    <t>P29</t>
  </si>
  <si>
    <t xml:space="preserve">muro puerta (0.90cm) </t>
  </si>
  <si>
    <t>MPLL-030</t>
  </si>
  <si>
    <t>P30</t>
  </si>
  <si>
    <t xml:space="preserve">muro puerta doble (0.80) abatible ambos lados para cocina sin chapa </t>
  </si>
  <si>
    <t>MVLL-003</t>
  </si>
  <si>
    <t>V3</t>
  </si>
  <si>
    <t>puerta (0.90) ventana (0.59x.49) izq</t>
  </si>
  <si>
    <t>puerta (0.90) ventana (0.59x.49) der</t>
  </si>
  <si>
    <t>MCGL-005</t>
  </si>
  <si>
    <t>Cg5</t>
  </si>
  <si>
    <t>MCGL-006</t>
  </si>
  <si>
    <t>Cg6</t>
  </si>
  <si>
    <t>MVGL-008</t>
  </si>
  <si>
    <t>Vg8</t>
  </si>
  <si>
    <t>muro ventana (1.83x1.22)</t>
  </si>
  <si>
    <t>MVGL-009</t>
  </si>
  <si>
    <t>Vg9</t>
  </si>
  <si>
    <t>muro ventana (1.83x0.70)</t>
  </si>
  <si>
    <t>MVGL-010</t>
  </si>
  <si>
    <t>Vg10</t>
  </si>
  <si>
    <t>muro 2 vent (0.69x1.22)</t>
  </si>
  <si>
    <t>MVGL-011</t>
  </si>
  <si>
    <t>Vg11</t>
  </si>
  <si>
    <t>muro ventana (1.83x0.90)</t>
  </si>
  <si>
    <t>MVGL-012</t>
  </si>
  <si>
    <t>Vg12</t>
  </si>
  <si>
    <t>muro ventana (1.83x0.49)</t>
  </si>
  <si>
    <t>muro puerta (0.90cm) IZQ para escalera</t>
  </si>
  <si>
    <t>muro puerta (0.90cm) DER para escalera</t>
  </si>
  <si>
    <t xml:space="preserve">muro puerta doble (0.80cm) </t>
  </si>
  <si>
    <t>MVFL-002</t>
  </si>
  <si>
    <t>Vf 2</t>
  </si>
  <si>
    <t>Pf 1</t>
  </si>
  <si>
    <t>muro puerta der(0.90)</t>
  </si>
  <si>
    <t>Pf 2</t>
  </si>
  <si>
    <t>muro puerta izq(0.90)</t>
  </si>
  <si>
    <t>puerta izq (0.90) ventana (0.59x.49)</t>
  </si>
  <si>
    <t>puerta der (0.90) ventana (0.59x.49)</t>
  </si>
  <si>
    <t>MPFL-001</t>
  </si>
  <si>
    <t>MPFL-002</t>
  </si>
  <si>
    <t>muro vent (1.00x1.22)</t>
  </si>
  <si>
    <t>muro vent (1.83x0.49)</t>
  </si>
  <si>
    <t xml:space="preserve">muro vent (1.83x0.49)c/rejillas inferiores </t>
  </si>
  <si>
    <t>VENTANA ALUMINIO 1.83 X 1.22 mts.</t>
  </si>
  <si>
    <t>VENTANA ALUMINIO 0.59 X 0.49 mts.</t>
  </si>
  <si>
    <t>VENTANA ALUMINIO 1.83 X 0.49 mts.</t>
  </si>
  <si>
    <t>VENTANA ALUMINIO 1.83 X 0.70 mts.</t>
  </si>
  <si>
    <t>VENTANA ALUMINIO 1.00 X 1.22 mts.</t>
  </si>
  <si>
    <t>VENTANA ALUMINIO 0.69 X 1.22 mts.</t>
  </si>
  <si>
    <t>VENTANA ALUMINIO 1.83 X 0.90 mts.</t>
  </si>
  <si>
    <t>PUERTA DE 90 X 213 CMS. Sin muro</t>
  </si>
  <si>
    <t>PUERTA DE 60 X 213 CMS. SIN MURO</t>
  </si>
  <si>
    <t>BULTO</t>
  </si>
  <si>
    <t>SUMCOLAR-3050-AS</t>
  </si>
  <si>
    <t>SUMCOLAR-3050-BS</t>
  </si>
  <si>
    <t>SUMCOLAR-3535-AS</t>
  </si>
  <si>
    <t>SUMCOLAR-3535-BS</t>
  </si>
  <si>
    <t>ARIN-8000S</t>
  </si>
  <si>
    <t>ARIN-6000S</t>
  </si>
  <si>
    <t>ARRE-6000S</t>
  </si>
  <si>
    <t>REGADERA CON BRAZO Y CHAPETON MOD. 3001B</t>
  </si>
  <si>
    <t>LLAVES P/REGADERA EMPOTRABLES SOLDABLES MOD. 652</t>
  </si>
  <si>
    <t>MANERALES CHICOS URREA KING</t>
  </si>
  <si>
    <t>TARJA ACERO INOX 1.20 m</t>
  </si>
  <si>
    <t>TARJA ACERO INOX 2.10</t>
  </si>
  <si>
    <t>Cimentación 2000 mm</t>
  </si>
  <si>
    <t>Cimentación 3025 mm</t>
  </si>
  <si>
    <t>Columna Armada 2750 mm</t>
  </si>
  <si>
    <t>Columna Reforzada 2750 mm</t>
  </si>
  <si>
    <t>Columna Armada 3050 mm</t>
  </si>
  <si>
    <t>Columna Reforzada 3050 mm</t>
  </si>
  <si>
    <t>Columna Armada 3535 mm</t>
  </si>
  <si>
    <t>Columna Reforzada 3535 mm</t>
  </si>
  <si>
    <t>Armadura Intermedia p/modulo de 8.0m de ancho</t>
  </si>
  <si>
    <t>Armadura Recta p/modulo de 8.0m de ancho</t>
  </si>
  <si>
    <t>Timpano EXTERIOR</t>
  </si>
  <si>
    <t xml:space="preserve">Timpano INTERIOR </t>
  </si>
  <si>
    <t>REJILLA DE VENTILACION WHITE</t>
  </si>
  <si>
    <t>Cubre Columna EXTERIOR</t>
  </si>
  <si>
    <t>Cubre Columna INTERIOR</t>
  </si>
  <si>
    <t>OUTSIDE CORNER POST WHITE (ESQUINERO)</t>
  </si>
  <si>
    <t>MPVGL-003</t>
  </si>
  <si>
    <t>PVg3</t>
  </si>
  <si>
    <t>puerta (0.90) ventana (0.59x1.22) izq</t>
  </si>
  <si>
    <t>MPVGL-004</t>
  </si>
  <si>
    <t>PVg4</t>
  </si>
  <si>
    <t>puerta (0.90) ventana (0.59x1.22) der</t>
  </si>
  <si>
    <t>VENTANA ALUMINIO 0.59 X 1.22 mts.</t>
  </si>
  <si>
    <t>MCLL-067</t>
  </si>
  <si>
    <t>C67</t>
  </si>
  <si>
    <t>MCLL-068</t>
  </si>
  <si>
    <t>C68</t>
  </si>
  <si>
    <t>MCLL-069</t>
  </si>
  <si>
    <t>C69</t>
  </si>
  <si>
    <t>MCLL-070</t>
  </si>
  <si>
    <t>C70</t>
  </si>
  <si>
    <t>MCLL-071</t>
  </si>
  <si>
    <t>C71</t>
  </si>
  <si>
    <t>MCLL-072</t>
  </si>
  <si>
    <t>C72</t>
  </si>
  <si>
    <t>MCLL-073</t>
  </si>
  <si>
    <t>C73</t>
  </si>
  <si>
    <t>MCLL-074</t>
  </si>
  <si>
    <t>C74</t>
  </si>
  <si>
    <t>MCLL-075</t>
  </si>
  <si>
    <t>C75</t>
  </si>
  <si>
    <t>MCLL-076</t>
  </si>
  <si>
    <t>C76</t>
  </si>
  <si>
    <t>MPLL-031</t>
  </si>
  <si>
    <t>P31</t>
  </si>
  <si>
    <t xml:space="preserve">muro puerta central (0.90) escalon 80cm </t>
  </si>
  <si>
    <t>MPLL-032</t>
  </si>
  <si>
    <t>P32</t>
  </si>
  <si>
    <t xml:space="preserve">muro puerta (0.90) escalon 80cm </t>
  </si>
  <si>
    <t>MPLL-033</t>
  </si>
  <si>
    <t>P33</t>
  </si>
  <si>
    <t>MPLL-034</t>
  </si>
  <si>
    <t>P34</t>
  </si>
  <si>
    <t xml:space="preserve">muro puerta (1.20) </t>
  </si>
  <si>
    <t>MVGL-013</t>
  </si>
  <si>
    <t>Vg13</t>
  </si>
  <si>
    <t>muro 2 ventana (0.69x0.49)</t>
  </si>
  <si>
    <t>MPGL-009</t>
  </si>
  <si>
    <t>Pg9</t>
  </si>
  <si>
    <t>muro puerta doble (0.80cm) escalon 30cm</t>
  </si>
  <si>
    <t>MPGL-010</t>
  </si>
  <si>
    <t>Pg10</t>
  </si>
  <si>
    <t>muro puerta doble (0.80cm) escalon 80cm</t>
  </si>
  <si>
    <t>PUERTA DE 120 X 213 CMS.</t>
  </si>
  <si>
    <t>MPLL-035</t>
  </si>
  <si>
    <t>P35</t>
  </si>
  <si>
    <t>C77</t>
  </si>
  <si>
    <t>Cb3</t>
  </si>
  <si>
    <t>beige-durock</t>
  </si>
  <si>
    <t>MPBL-004</t>
  </si>
  <si>
    <t>Pb4</t>
  </si>
  <si>
    <t>MCBL-003</t>
  </si>
  <si>
    <t>MCLL-077</t>
  </si>
  <si>
    <t>MCBL-004</t>
  </si>
  <si>
    <t>Cb4</t>
  </si>
  <si>
    <t>muro ciego (interior mitad lin / mitad durock)</t>
  </si>
  <si>
    <t>MVBL-008</t>
  </si>
  <si>
    <t>Vb8</t>
  </si>
  <si>
    <t>MPLL-036</t>
  </si>
  <si>
    <t>P36</t>
  </si>
  <si>
    <t>MPGL-011</t>
  </si>
  <si>
    <t>Pg11</t>
  </si>
  <si>
    <t>muro puerta doble (0.80cm) escalon 30 cm</t>
  </si>
  <si>
    <t>MPGL-012</t>
  </si>
  <si>
    <t>Pg12</t>
  </si>
  <si>
    <t>muro puerta (0.70cm) der</t>
  </si>
  <si>
    <t>MVBL-009</t>
  </si>
  <si>
    <t>Vb9</t>
  </si>
  <si>
    <t>muro ventana (0.69x0.49)  IZQ (interior mitad lin / mitad durock)</t>
  </si>
  <si>
    <t>MVFL-003</t>
  </si>
  <si>
    <t>Vf 3</t>
  </si>
  <si>
    <t>MVFL-004</t>
  </si>
  <si>
    <t>Vf 4</t>
  </si>
  <si>
    <t>MPFL-003</t>
  </si>
  <si>
    <t>Pf 3</t>
  </si>
  <si>
    <t>muro 2 puerta(0.80)</t>
  </si>
  <si>
    <t>MPVFL-001</t>
  </si>
  <si>
    <t>PVf 1</t>
  </si>
  <si>
    <t>MPVFL-002</t>
  </si>
  <si>
    <t>PVf 2</t>
  </si>
  <si>
    <t>LOSETA SEASWEPT PORCELANITE 33 X 33 cms (1.53m2/caja)</t>
  </si>
  <si>
    <t>ADHESIVO ADE 1000 PEGA PISO GRIS 20KGS</t>
  </si>
  <si>
    <t>BOQUILLA ANTIHONGOS (BULTO DE 10KGS)</t>
  </si>
  <si>
    <t>MEDIDAS A ENTRE EJES</t>
  </si>
  <si>
    <t>M2 DE CONSTRUCCIÓN A PAÑO EXTERIOR DE MUROS</t>
  </si>
  <si>
    <t>ancho</t>
  </si>
  <si>
    <t>MEMBRANA DE REFUERZO ROLLO DE 1.10x100m (IMPERMEABILIZANTE)</t>
  </si>
  <si>
    <t>P37</t>
  </si>
  <si>
    <t>P38</t>
  </si>
  <si>
    <t>P39</t>
  </si>
  <si>
    <t>C78</t>
  </si>
  <si>
    <t>C79</t>
  </si>
  <si>
    <t>P40</t>
  </si>
  <si>
    <t>P41</t>
  </si>
  <si>
    <t>muro puerta (0.70 cm)</t>
  </si>
  <si>
    <t>C80</t>
  </si>
  <si>
    <t>MCLL-078</t>
  </si>
  <si>
    <t>MCLL-079</t>
  </si>
  <si>
    <t>MCLL-080</t>
  </si>
  <si>
    <t>MPLL-037</t>
  </si>
  <si>
    <t>MPLL-038</t>
  </si>
  <si>
    <t>MPLL-039</t>
  </si>
  <si>
    <t>MPLL-040</t>
  </si>
  <si>
    <t>MPLL-041</t>
  </si>
  <si>
    <t>MPLL-042</t>
  </si>
  <si>
    <t>P42</t>
  </si>
  <si>
    <t>MPLL-043</t>
  </si>
  <si>
    <t>P43</t>
  </si>
  <si>
    <t>muro 2 puertas(0.80cm)</t>
  </si>
  <si>
    <t>MPBL-005</t>
  </si>
  <si>
    <t>Pb5</t>
  </si>
  <si>
    <t>muro puerta (0.80cm) der</t>
  </si>
  <si>
    <t>MPLL-044</t>
  </si>
  <si>
    <t>P44</t>
  </si>
  <si>
    <t xml:space="preserve">AIRE ACONDICIONADO Minisplit 1 T.R. </t>
  </si>
  <si>
    <t xml:space="preserve">AIRE ACONDICIONADO Minisplit 2 T.R. </t>
  </si>
  <si>
    <t xml:space="preserve">AIRE ACONDICIONADO Minisplit 3 T.R. </t>
  </si>
  <si>
    <t>LAVAMANOS  ACERO INOX 3.00m</t>
  </si>
  <si>
    <t>TARJA SENCILLA ACERO INOX 0.50 X 0.50</t>
  </si>
  <si>
    <t>MCLL-081</t>
  </si>
  <si>
    <t>C81</t>
  </si>
  <si>
    <t>MCLL-082</t>
  </si>
  <si>
    <t>C82</t>
  </si>
  <si>
    <t>MCLL-083</t>
  </si>
  <si>
    <t>C83</t>
  </si>
  <si>
    <t>MCLL-084</t>
  </si>
  <si>
    <t>C84</t>
  </si>
  <si>
    <t>MCLL-085</t>
  </si>
  <si>
    <t>C85</t>
  </si>
  <si>
    <t>MPLL-045</t>
  </si>
  <si>
    <t>P45</t>
  </si>
  <si>
    <t>MVLL-004</t>
  </si>
  <si>
    <t>V4</t>
  </si>
  <si>
    <t>muro vent (0.82x1.22)s/ventana</t>
  </si>
  <si>
    <t>MCBL-005</t>
  </si>
  <si>
    <t>Cb5</t>
  </si>
  <si>
    <t>MVBL-010</t>
  </si>
  <si>
    <t>Vb10</t>
  </si>
  <si>
    <t>MVBL-011</t>
  </si>
  <si>
    <t>Vb11</t>
  </si>
  <si>
    <t>muro vent (0.82x1.22)der</t>
  </si>
  <si>
    <t>MVBL-012</t>
  </si>
  <si>
    <t>Vb12</t>
  </si>
  <si>
    <t>muro vent (0.82x1.22)izq</t>
  </si>
  <si>
    <t>MPBL-006</t>
  </si>
  <si>
    <t>Pb6</t>
  </si>
  <si>
    <t>MPVBL-003</t>
  </si>
  <si>
    <t>PVb3</t>
  </si>
  <si>
    <t>puerta izq (0.90) ventana (0.82x1.22)</t>
  </si>
  <si>
    <t>MPVBL-004</t>
  </si>
  <si>
    <t>PVb4</t>
  </si>
  <si>
    <t>puerta der (0.90) ventana (0.82x1.22)</t>
  </si>
  <si>
    <t xml:space="preserve">AREA DE PROYECCIÓN </t>
  </si>
  <si>
    <t>MEDIDAS DESPICE ARMADURA</t>
  </si>
  <si>
    <t xml:space="preserve">NUMERO DE ENTRE EJES </t>
  </si>
  <si>
    <t>ARIN-1000S</t>
  </si>
  <si>
    <t>ARRE-1000S</t>
  </si>
  <si>
    <t>Armadura Intermedia p/modulo de 10.225m de ancho</t>
  </si>
  <si>
    <t>Armadura Recta p/modulo de10.225m de ancho</t>
  </si>
  <si>
    <t>MEZCLADORA p/ lavamanos</t>
  </si>
  <si>
    <t xml:space="preserve">LLAVE INDIVIDUAL P/LAVABO </t>
  </si>
  <si>
    <t>MCLL-086</t>
  </si>
  <si>
    <t>C86</t>
  </si>
  <si>
    <t>MCLL-087</t>
  </si>
  <si>
    <t>C87</t>
  </si>
  <si>
    <t>MPLL-046</t>
  </si>
  <si>
    <t>P46</t>
  </si>
  <si>
    <t>MPLL-047</t>
  </si>
  <si>
    <t>P47</t>
  </si>
  <si>
    <t>C88</t>
  </si>
  <si>
    <t>MCLL-088</t>
  </si>
  <si>
    <t>MCLL-089</t>
  </si>
  <si>
    <t>C89</t>
  </si>
  <si>
    <t>MPLL-048</t>
  </si>
  <si>
    <t>P48</t>
  </si>
  <si>
    <t>MPLL-049</t>
  </si>
  <si>
    <t>P49</t>
  </si>
  <si>
    <t>MCLL-090</t>
  </si>
  <si>
    <t>C90</t>
  </si>
  <si>
    <t>MCLL-091</t>
  </si>
  <si>
    <t>C91</t>
  </si>
  <si>
    <t>MCLL-092</t>
  </si>
  <si>
    <t>C92</t>
  </si>
  <si>
    <t>MPLL-050</t>
  </si>
  <si>
    <t>P50</t>
  </si>
  <si>
    <t>MCLL-093</t>
  </si>
  <si>
    <t>C93</t>
  </si>
  <si>
    <t>MPLL-051</t>
  </si>
  <si>
    <t>P51</t>
  </si>
  <si>
    <t>muro puerta  (0.90cm)</t>
  </si>
  <si>
    <t>Armadura Intermedia p/modulo de 6.0m  de ancho</t>
  </si>
  <si>
    <t>Armadura Recta p/modulo de 6.0m de ancho</t>
  </si>
  <si>
    <t>MCBL-006</t>
  </si>
  <si>
    <t>Cb6</t>
  </si>
  <si>
    <t>muro ciego durock</t>
  </si>
  <si>
    <t>MVBL-013</t>
  </si>
  <si>
    <t>Vb13</t>
  </si>
  <si>
    <t>MVBL-014</t>
  </si>
  <si>
    <t>Vb14</t>
  </si>
  <si>
    <t>MCLL-094</t>
  </si>
  <si>
    <t>C94</t>
  </si>
  <si>
    <t>MCLL-095</t>
  </si>
  <si>
    <t>C95</t>
  </si>
  <si>
    <t>MCLL-096</t>
  </si>
  <si>
    <t>C96</t>
  </si>
  <si>
    <t>durock-durock</t>
  </si>
  <si>
    <t>MCLL-097</t>
  </si>
  <si>
    <t>C97</t>
  </si>
  <si>
    <t>MCLL-098</t>
  </si>
  <si>
    <t>C98</t>
  </si>
  <si>
    <t>MCLL-099</t>
  </si>
  <si>
    <t>C99</t>
  </si>
  <si>
    <t>MCLL-100</t>
  </si>
  <si>
    <t>C100</t>
  </si>
  <si>
    <t>MPLL-052</t>
  </si>
  <si>
    <t>P52</t>
  </si>
  <si>
    <t>MPLL-053</t>
  </si>
  <si>
    <t>P53</t>
  </si>
  <si>
    <t>MPLL-054</t>
  </si>
  <si>
    <t>P54</t>
  </si>
  <si>
    <t>muro puerta  (0.90cm) izq</t>
  </si>
  <si>
    <t>muro puerta  (0.90cm)der</t>
  </si>
  <si>
    <t>MCLL-101</t>
  </si>
  <si>
    <t>C101</t>
  </si>
  <si>
    <t>MCLL-102</t>
  </si>
  <si>
    <t>C102</t>
  </si>
  <si>
    <t>MCLL-103</t>
  </si>
  <si>
    <t>C103</t>
  </si>
  <si>
    <t>MCLL-104</t>
  </si>
  <si>
    <t>C104</t>
  </si>
  <si>
    <t>MCLL-105</t>
  </si>
  <si>
    <t>C105</t>
  </si>
  <si>
    <t>MCBL-007</t>
  </si>
  <si>
    <t>Cb7</t>
  </si>
  <si>
    <t>muro  vent (1.83x0.49)</t>
  </si>
  <si>
    <t>MVBL-015</t>
  </si>
  <si>
    <t>Vb15</t>
  </si>
  <si>
    <t>MVBL-016</t>
  </si>
  <si>
    <t>Vb16</t>
  </si>
  <si>
    <t>muro  vent (0.69x0.49)izq</t>
  </si>
  <si>
    <t>MPBL-007</t>
  </si>
  <si>
    <t>Pb7</t>
  </si>
  <si>
    <t>fach-durock</t>
  </si>
  <si>
    <t>MPLL-055</t>
  </si>
  <si>
    <t>P55</t>
  </si>
  <si>
    <t>muro puerta  (0.90cm)izq</t>
  </si>
  <si>
    <t>MPLL-056</t>
  </si>
  <si>
    <t>P56</t>
  </si>
  <si>
    <t>MCLL-106</t>
  </si>
  <si>
    <t>C106</t>
  </si>
  <si>
    <t>MCLL-107</t>
  </si>
  <si>
    <t>C107</t>
  </si>
  <si>
    <t>MCLL-108</t>
  </si>
  <si>
    <t>C108</t>
  </si>
  <si>
    <t>MPLL-057</t>
  </si>
  <si>
    <t>P57</t>
  </si>
  <si>
    <t>MCLL-109</t>
  </si>
  <si>
    <t>C109</t>
  </si>
  <si>
    <t>MCLL-110</t>
  </si>
  <si>
    <t>MCLL-111</t>
  </si>
  <si>
    <t>C110</t>
  </si>
  <si>
    <t>C111</t>
  </si>
  <si>
    <t>MCLL-112</t>
  </si>
  <si>
    <t>C112</t>
  </si>
  <si>
    <t>MCLL-113</t>
  </si>
  <si>
    <t>C113</t>
  </si>
  <si>
    <t>MCLL-114</t>
  </si>
  <si>
    <t>C114</t>
  </si>
  <si>
    <t>MCLL-115</t>
  </si>
  <si>
    <t>C115</t>
  </si>
  <si>
    <t>MCLL-116</t>
  </si>
  <si>
    <t>C116</t>
  </si>
  <si>
    <t>MPLL-058</t>
  </si>
  <si>
    <t>P58</t>
  </si>
  <si>
    <t>MCLL-117</t>
  </si>
  <si>
    <t>C117</t>
  </si>
  <si>
    <t>MCLL-118</t>
  </si>
  <si>
    <t>C118</t>
  </si>
  <si>
    <t>MVLL-005</t>
  </si>
  <si>
    <t>V5</t>
  </si>
  <si>
    <t>MPLL-059</t>
  </si>
  <si>
    <t>P59</t>
  </si>
  <si>
    <t>MCLL-119</t>
  </si>
  <si>
    <t>C119</t>
  </si>
  <si>
    <t>MCLL-120</t>
  </si>
  <si>
    <t>C120</t>
  </si>
  <si>
    <t>MCLL-121</t>
  </si>
  <si>
    <t>C121</t>
  </si>
  <si>
    <t>MCLL-122</t>
  </si>
  <si>
    <t>C122</t>
  </si>
  <si>
    <t>MCLL-123</t>
  </si>
  <si>
    <t>C123</t>
  </si>
  <si>
    <t>MPLL-060</t>
  </si>
  <si>
    <t>P60</t>
  </si>
  <si>
    <t>muro puerta  (0.80cm)der</t>
  </si>
  <si>
    <t>MPLL-061</t>
  </si>
  <si>
    <t>P61</t>
  </si>
  <si>
    <t>MCLL-124</t>
  </si>
  <si>
    <t>C124</t>
  </si>
  <si>
    <t>MCLL-125</t>
  </si>
  <si>
    <t>C125</t>
  </si>
  <si>
    <t>MVBL-017</t>
  </si>
  <si>
    <t>Vb17</t>
  </si>
  <si>
    <t>muro  vent (0.69x0.49)der</t>
  </si>
  <si>
    <t>MPLL-062</t>
  </si>
  <si>
    <t>P62</t>
  </si>
  <si>
    <t>MPLL-063</t>
  </si>
  <si>
    <t>P63</t>
  </si>
  <si>
    <t>MCLL-126</t>
  </si>
  <si>
    <t>C126</t>
  </si>
  <si>
    <t>MPLL-064</t>
  </si>
  <si>
    <t>P64</t>
  </si>
  <si>
    <t>MCLL-127</t>
  </si>
  <si>
    <t>C127</t>
  </si>
  <si>
    <t>muro ciego durock linen-lin-durock</t>
  </si>
  <si>
    <t>MCLL-128</t>
  </si>
  <si>
    <t>C128</t>
  </si>
  <si>
    <t>MVBL-018</t>
  </si>
  <si>
    <t>Vb18</t>
  </si>
  <si>
    <t xml:space="preserve">muro  vent (0.69x0.49)izq </t>
  </si>
  <si>
    <t>MPLL-065</t>
  </si>
  <si>
    <t>P65</t>
  </si>
  <si>
    <t>muro puerta  (0.80cm)izq</t>
  </si>
  <si>
    <t>MCLL-129</t>
  </si>
  <si>
    <t>C129</t>
  </si>
  <si>
    <t>MPLL-066</t>
  </si>
  <si>
    <t>P66</t>
  </si>
  <si>
    <t>MVBL-019</t>
  </si>
  <si>
    <t>Vb19</t>
  </si>
  <si>
    <t>MCLL-130</t>
  </si>
  <si>
    <t>C130</t>
  </si>
  <si>
    <t>MCLL-131</t>
  </si>
  <si>
    <t>C131</t>
  </si>
  <si>
    <t>MCLL-132</t>
  </si>
  <si>
    <t>C132</t>
  </si>
  <si>
    <t>MCLL-133</t>
  </si>
  <si>
    <t>C133</t>
  </si>
  <si>
    <t>MCLL-134</t>
  </si>
  <si>
    <t>C134</t>
  </si>
  <si>
    <t>MCLL-135</t>
  </si>
  <si>
    <t>C135</t>
  </si>
  <si>
    <t>MCLL-136</t>
  </si>
  <si>
    <t>C136</t>
  </si>
  <si>
    <t>MCLL-137</t>
  </si>
  <si>
    <t>C137</t>
  </si>
  <si>
    <t>MCLL-138</t>
  </si>
  <si>
    <t>C138</t>
  </si>
  <si>
    <t>MCLL-139</t>
  </si>
  <si>
    <t>C139</t>
  </si>
  <si>
    <t>MCLL-140</t>
  </si>
  <si>
    <t>C140</t>
  </si>
  <si>
    <t>MCLL-141</t>
  </si>
  <si>
    <t>C141</t>
  </si>
  <si>
    <t>MPLL-067</t>
  </si>
  <si>
    <t>P67</t>
  </si>
  <si>
    <t>MPLL-068</t>
  </si>
  <si>
    <t>P68</t>
  </si>
  <si>
    <t>muro puerta  (0.90cm)der 1/2 lin-dur</t>
  </si>
  <si>
    <t>MCLL-142</t>
  </si>
  <si>
    <t>C142</t>
  </si>
  <si>
    <t>MCBL-008</t>
  </si>
  <si>
    <t>Cb8</t>
  </si>
  <si>
    <t>MCBL-009</t>
  </si>
  <si>
    <t>Cb9</t>
  </si>
  <si>
    <t>MCLL-143</t>
  </si>
  <si>
    <t>C143</t>
  </si>
  <si>
    <t>MCLL-144</t>
  </si>
  <si>
    <t>C144</t>
  </si>
  <si>
    <t>MPLL-069</t>
  </si>
  <si>
    <t>P69</t>
  </si>
  <si>
    <t>MPLL-070</t>
  </si>
  <si>
    <t>P70</t>
  </si>
  <si>
    <t>MCLL-145</t>
  </si>
  <si>
    <t>C145</t>
  </si>
  <si>
    <t>MPLL-071</t>
  </si>
  <si>
    <t>P71</t>
  </si>
  <si>
    <t>MPLL-072</t>
  </si>
  <si>
    <t>P72</t>
  </si>
  <si>
    <t>MCLL-146</t>
  </si>
  <si>
    <t>C146</t>
  </si>
  <si>
    <t>MCLL-147</t>
  </si>
  <si>
    <t>C147</t>
  </si>
  <si>
    <t>MVBL-020</t>
  </si>
  <si>
    <t>Vb20</t>
  </si>
  <si>
    <t>muro  vent (1.83x1.22)</t>
  </si>
  <si>
    <t>MCLL-148</t>
  </si>
  <si>
    <t>C148</t>
  </si>
  <si>
    <t>MPLL-073</t>
  </si>
  <si>
    <t>P73</t>
  </si>
  <si>
    <t>MPLL-074</t>
  </si>
  <si>
    <t>P74</t>
  </si>
  <si>
    <t>muro ciego durock fach-lin-durock</t>
  </si>
  <si>
    <t>MCBL-010</t>
  </si>
  <si>
    <t>Cb10</t>
  </si>
  <si>
    <t>MCLL-149</t>
  </si>
  <si>
    <t>C149</t>
  </si>
  <si>
    <t>MCLL-150</t>
  </si>
  <si>
    <t>C150</t>
  </si>
  <si>
    <t>MCLL-151</t>
  </si>
  <si>
    <t>C151</t>
  </si>
  <si>
    <t>MCLL-152</t>
  </si>
  <si>
    <t>C152</t>
  </si>
  <si>
    <t>OVALIN</t>
  </si>
  <si>
    <t>MPLL-075</t>
  </si>
  <si>
    <t>P75</t>
  </si>
  <si>
    <t>MCBL-011</t>
  </si>
  <si>
    <t>Cb11</t>
  </si>
  <si>
    <t>MCBL-012</t>
  </si>
  <si>
    <t>Cb12</t>
  </si>
  <si>
    <t>MVLL-006</t>
  </si>
  <si>
    <t>V6</t>
  </si>
  <si>
    <t>DUROCK 12 X 1220 X 2440  (para Timpanos)</t>
  </si>
  <si>
    <t xml:space="preserve">DUROCK  12 X 1220 X 2440 </t>
  </si>
  <si>
    <t>C153</t>
  </si>
  <si>
    <t>C154</t>
  </si>
  <si>
    <t>MCLL-153</t>
  </si>
  <si>
    <t>MCLL-154</t>
  </si>
  <si>
    <t>VENTANA ALUMINIO 0.80 X 1.22 mts.</t>
  </si>
  <si>
    <t>MVBL-021</t>
  </si>
  <si>
    <t>Vb21</t>
  </si>
  <si>
    <t>muro vent (1.83x0.49) con barrotes</t>
  </si>
  <si>
    <t>beige-beige</t>
  </si>
  <si>
    <t>beig-beig-durock</t>
  </si>
  <si>
    <t>muro ciego durock be-dur-be-dur</t>
  </si>
  <si>
    <t>muro ciego durock bei-bei-durock</t>
  </si>
  <si>
    <t>fach-beige-durock</t>
  </si>
  <si>
    <t>fach-bei-durock</t>
  </si>
  <si>
    <t>AZULEJO EN MUROS</t>
  </si>
  <si>
    <t>TEJA ROJA</t>
  </si>
  <si>
    <t>CABALLETE INTERMEDIO ROJO CAL 26</t>
  </si>
  <si>
    <t>CABALLETE ROJO</t>
  </si>
  <si>
    <t>CANAL INICIO PVC ROJO</t>
  </si>
  <si>
    <t xml:space="preserve">TAPA CABALLETE  ROJO CAL. 26 </t>
  </si>
  <si>
    <t xml:space="preserve">MARQUESINA ROJO CAL. 26 </t>
  </si>
  <si>
    <t>GOTERON ROJO CAL. 26</t>
  </si>
  <si>
    <t>ESTRUCTURA</t>
  </si>
  <si>
    <t>MEMBRANA CUMBRERA ROJO (TILE RIDGE VENT 1.22 LARGO)</t>
  </si>
  <si>
    <t>MCLL-155</t>
  </si>
  <si>
    <t>C155</t>
  </si>
  <si>
    <t>BARRAS DE SEGURIDAD</t>
  </si>
  <si>
    <t>MPVBL-005</t>
  </si>
  <si>
    <t>MPVBL-006</t>
  </si>
  <si>
    <t>PVb5</t>
  </si>
  <si>
    <t>PVb6</t>
  </si>
  <si>
    <t>MPLL-076</t>
  </si>
  <si>
    <t>P76</t>
  </si>
  <si>
    <t>muro puerta  (0.80)cm)der</t>
  </si>
  <si>
    <t>P77</t>
  </si>
  <si>
    <t>MCLL-163</t>
  </si>
  <si>
    <t>C163</t>
  </si>
  <si>
    <t>VENTANA ALUMINIO 0.79 X 0.49 mts.</t>
  </si>
  <si>
    <t>muro ciego durock-1/2 beigedurock</t>
  </si>
  <si>
    <t>muro ciego beige-1/2 beigedurock</t>
  </si>
  <si>
    <t>MCLL-164</t>
  </si>
  <si>
    <t>C164</t>
  </si>
  <si>
    <t>C165</t>
  </si>
  <si>
    <t>MPLL-077</t>
  </si>
  <si>
    <t>P78</t>
  </si>
  <si>
    <t>P79</t>
  </si>
  <si>
    <t>MPLL-078</t>
  </si>
  <si>
    <t>MPLL-079</t>
  </si>
  <si>
    <t>MPVLL-079</t>
  </si>
  <si>
    <t>muro puerta  ventana (0.90cm)der</t>
  </si>
  <si>
    <t>PV1</t>
  </si>
  <si>
    <t>LUMINARIA 4 x 32w</t>
  </si>
  <si>
    <t>CAMPOS POLICIALES MICHOACAN 2015</t>
  </si>
  <si>
    <t>C166</t>
  </si>
  <si>
    <t>C167</t>
  </si>
  <si>
    <t>MCLL-165</t>
  </si>
  <si>
    <t>MCLL-166</t>
  </si>
  <si>
    <t>MCLL-167</t>
  </si>
  <si>
    <t>MCLL-168</t>
  </si>
  <si>
    <t>C168</t>
  </si>
  <si>
    <t>MCLL-169</t>
  </si>
  <si>
    <t>C169</t>
  </si>
  <si>
    <t>MPLL-080</t>
  </si>
  <si>
    <t>P80</t>
  </si>
  <si>
    <t>MCLL-170</t>
  </si>
  <si>
    <t>C170</t>
  </si>
  <si>
    <t>MPLL-081</t>
  </si>
  <si>
    <t>P81</t>
  </si>
  <si>
    <t>MCLL-171</t>
  </si>
  <si>
    <t>C171</t>
  </si>
  <si>
    <t>C172</t>
  </si>
  <si>
    <t>MCLL-172</t>
  </si>
  <si>
    <t>C173</t>
  </si>
  <si>
    <t>P82</t>
  </si>
  <si>
    <t>MPLL-082</t>
  </si>
  <si>
    <t>MPLL-083</t>
  </si>
  <si>
    <t>P83</t>
  </si>
  <si>
    <t>P84</t>
  </si>
  <si>
    <t>MPLL-084</t>
  </si>
  <si>
    <t>C174</t>
  </si>
  <si>
    <t>MCLL-173</t>
  </si>
  <si>
    <t>MCLL-174</t>
  </si>
  <si>
    <t>MCLL-175</t>
  </si>
  <si>
    <t>C175</t>
  </si>
  <si>
    <t>MCLL-176</t>
  </si>
  <si>
    <t>C176</t>
  </si>
  <si>
    <t>P85</t>
  </si>
  <si>
    <t>MPLL-085</t>
  </si>
  <si>
    <t>Vb22</t>
  </si>
  <si>
    <t>MVBL-022</t>
  </si>
  <si>
    <t>fach-beige</t>
  </si>
  <si>
    <t>Vb23</t>
  </si>
  <si>
    <t>MVBL-023</t>
  </si>
  <si>
    <t>Vb25</t>
  </si>
  <si>
    <t>MVBL-025</t>
  </si>
  <si>
    <t>Vb26</t>
  </si>
  <si>
    <t>MVBL-026</t>
  </si>
  <si>
    <t>Vb27</t>
  </si>
  <si>
    <t>MVBL-027</t>
  </si>
  <si>
    <t>Vb28</t>
  </si>
  <si>
    <t>MVBL-028</t>
  </si>
  <si>
    <t xml:space="preserve">muro vent (1.83x0.49) c/rejillas </t>
  </si>
  <si>
    <t>MPBL-008</t>
  </si>
  <si>
    <t>Pb8</t>
  </si>
  <si>
    <t>MCLL-178</t>
  </si>
  <si>
    <t>C178</t>
  </si>
  <si>
    <t>MCLL-179</t>
  </si>
  <si>
    <t>C179</t>
  </si>
  <si>
    <t>MCLL-180</t>
  </si>
  <si>
    <t>C180</t>
  </si>
  <si>
    <t>MCLL-181</t>
  </si>
  <si>
    <t>C181</t>
  </si>
  <si>
    <t>MCBL-013</t>
  </si>
  <si>
    <t>Cb13</t>
  </si>
  <si>
    <t>muro puerta doble (0.90cm) vano de 1.85</t>
  </si>
  <si>
    <t>MPLL-086</t>
  </si>
  <si>
    <t>P86</t>
  </si>
  <si>
    <t>muro puerta  (0.80cm) izq vano de 0.85</t>
  </si>
  <si>
    <t>MCLL-182</t>
  </si>
  <si>
    <t>C182</t>
  </si>
  <si>
    <t>beig-durock-beig</t>
  </si>
  <si>
    <t>muro ciego durock-beige-durock</t>
  </si>
  <si>
    <t>C183</t>
  </si>
  <si>
    <t>C184</t>
  </si>
  <si>
    <t>C185</t>
  </si>
  <si>
    <t>C186</t>
  </si>
  <si>
    <t>C187</t>
  </si>
  <si>
    <t>C188</t>
  </si>
  <si>
    <t>C189</t>
  </si>
  <si>
    <t>muro puerta  (0.70cm)izq.vano de .775</t>
  </si>
  <si>
    <t>P87</t>
  </si>
  <si>
    <t>muro puerta  (0.70cm)der.vano de .776</t>
  </si>
  <si>
    <t>P88</t>
  </si>
  <si>
    <t>muro puerta  (0.80cm) izq. Vano de 90</t>
  </si>
  <si>
    <t>P89</t>
  </si>
  <si>
    <t>P90</t>
  </si>
  <si>
    <t>durock-beige</t>
  </si>
  <si>
    <t xml:space="preserve">liso-liso </t>
  </si>
  <si>
    <t>muro puerta  (0.80cm) izq. Vano de 85</t>
  </si>
  <si>
    <t>P91</t>
  </si>
  <si>
    <t>muro puerta  (0.70cm)der.vano de .775</t>
  </si>
  <si>
    <t>P92</t>
  </si>
  <si>
    <t>muro puerta doble  (0.80cm c/u)vano de 1.70</t>
  </si>
  <si>
    <t>P93</t>
  </si>
  <si>
    <t>MPLL-087</t>
  </si>
  <si>
    <t>MPLL-088</t>
  </si>
  <si>
    <t>MPLL-089</t>
  </si>
  <si>
    <t>MPLL-090</t>
  </si>
  <si>
    <t>MPLL-091</t>
  </si>
  <si>
    <t>MPLL-092</t>
  </si>
  <si>
    <t>MPLL-093</t>
  </si>
  <si>
    <t>muro puerta doble (0.80cm)c/u con vano de 1.70</t>
  </si>
  <si>
    <t>muro vent (0.90x1.22)s/ventana izq.</t>
  </si>
  <si>
    <t>V7</t>
  </si>
  <si>
    <t>V8</t>
  </si>
  <si>
    <t>MVLL-007</t>
  </si>
  <si>
    <t>MVLL-008</t>
  </si>
  <si>
    <t>C190</t>
  </si>
  <si>
    <t>MPLL-094</t>
  </si>
  <si>
    <t>P94</t>
  </si>
  <si>
    <t xml:space="preserve">muro puesrta de (80cm) vano de  90 cm </t>
  </si>
  <si>
    <t>C191</t>
  </si>
  <si>
    <t>muro vent (0.69x0.49) derecha</t>
  </si>
  <si>
    <t>P95</t>
  </si>
  <si>
    <t>muro puerta  (0.70cm)der.vano de .80</t>
  </si>
  <si>
    <t>MPLL-095</t>
  </si>
  <si>
    <t>C192</t>
  </si>
  <si>
    <t>MCLL-183</t>
  </si>
  <si>
    <t>MCLL-184</t>
  </si>
  <si>
    <t>MCLL-185</t>
  </si>
  <si>
    <t>MCLL-186</t>
  </si>
  <si>
    <t>MCLL-187</t>
  </si>
  <si>
    <t>MCLL-188</t>
  </si>
  <si>
    <t>MCLL-189</t>
  </si>
  <si>
    <t>MCLL-190</t>
  </si>
  <si>
    <t>MCLL-191</t>
  </si>
  <si>
    <t>MCLL-192</t>
  </si>
  <si>
    <t>muro puerta  (0.70cm)izq.vano de .80</t>
  </si>
  <si>
    <t>P96</t>
  </si>
  <si>
    <t>muro puerta  (0.80cm) izq vano de 0.90</t>
  </si>
  <si>
    <t>muro puerta  (0.70cm) izq durock vano de 0.80</t>
  </si>
  <si>
    <t>MUROS DE AZULEJO</t>
  </si>
  <si>
    <t>long</t>
  </si>
  <si>
    <t>CANAL LISTON 1"PARA MUROS DE AZULEJO @60cms de 2715 MM CAL. 26</t>
  </si>
  <si>
    <t>CANAL LISTON 2" PARA MUROS DE AZULEJO @60cms de 2715 MM CAL. 26</t>
  </si>
  <si>
    <t>long ML</t>
  </si>
  <si>
    <t>muro ciego durock fach-durock-lin</t>
  </si>
  <si>
    <t>fach-durock-lin</t>
  </si>
  <si>
    <t>muro ventana (0.69x0.49)  DERECHA (interior mitad lin / mitad durock)</t>
  </si>
  <si>
    <t>muro puerta (0.80cm) vano de 0.85 izq</t>
  </si>
  <si>
    <t>muro puerta (0.80cm) vano de 0.85 der</t>
  </si>
  <si>
    <t>Pf 4</t>
  </si>
  <si>
    <t>MPFL-004</t>
  </si>
  <si>
    <t>muro 2 puerta(0.90) vano de 1.85</t>
  </si>
  <si>
    <t>muro puerta  (0.80cm) der vano de 0.90</t>
  </si>
  <si>
    <t>P97</t>
  </si>
  <si>
    <t>MPLL-097</t>
  </si>
  <si>
    <t>P98</t>
  </si>
  <si>
    <t>muro puerta  (0.80cm) der vano de 0.85</t>
  </si>
  <si>
    <t>MPLL-098</t>
  </si>
  <si>
    <t>P99</t>
  </si>
  <si>
    <t>MPLL-099</t>
  </si>
  <si>
    <t>P100</t>
  </si>
  <si>
    <t>muro puerta  (0.80cm) DER vano de 0.85 abatimiento izquierdo.</t>
  </si>
  <si>
    <t>MPLL-100</t>
  </si>
  <si>
    <t>P101</t>
  </si>
  <si>
    <t>MPLL-101</t>
  </si>
  <si>
    <t>MPLL-102</t>
  </si>
  <si>
    <t>P102</t>
  </si>
  <si>
    <t>MPLL-103</t>
  </si>
  <si>
    <t>P103</t>
  </si>
  <si>
    <t>MPLL-104</t>
  </si>
  <si>
    <t>P104</t>
  </si>
  <si>
    <t>MPLL-105</t>
  </si>
  <si>
    <t>P105</t>
  </si>
  <si>
    <t>MPLL-106</t>
  </si>
  <si>
    <t>P106</t>
  </si>
  <si>
    <t>MCBL-014</t>
  </si>
  <si>
    <t>Cb14</t>
  </si>
  <si>
    <t>muro puerta  (0.80cm)der. Vano  de 90 der.</t>
  </si>
  <si>
    <t>C193</t>
  </si>
  <si>
    <t>MCLL-193</t>
  </si>
  <si>
    <t>muro puerta (.70) izq. Vano de .825izq.</t>
  </si>
  <si>
    <t>P107</t>
  </si>
  <si>
    <t>MPLL-107</t>
  </si>
  <si>
    <t>MVLL-009</t>
  </si>
  <si>
    <t>V9</t>
  </si>
  <si>
    <t xml:space="preserve">muro vent (1.80x1.22)s/ventana </t>
  </si>
  <si>
    <t>puerta der (0.90) vano de .95 izq.</t>
  </si>
  <si>
    <t>muro puerta  (0.80cm) der</t>
  </si>
  <si>
    <t>MPLL-108</t>
  </si>
  <si>
    <t>P108</t>
  </si>
  <si>
    <t>muro puerta (.90) izq. Vano de .95 izq.</t>
  </si>
  <si>
    <t>MCLL-194</t>
  </si>
  <si>
    <t>C194</t>
  </si>
  <si>
    <t>MVBL-029</t>
  </si>
  <si>
    <t>Vb-29</t>
  </si>
  <si>
    <t>muro vent (0.69x0.49) al centro</t>
  </si>
  <si>
    <t>MCLL-195</t>
  </si>
  <si>
    <t>MCLL-196</t>
  </si>
  <si>
    <t>MCLL-197</t>
  </si>
  <si>
    <t>C195</t>
  </si>
  <si>
    <t>C196</t>
  </si>
  <si>
    <t>C197</t>
  </si>
  <si>
    <t>MCLL-198</t>
  </si>
  <si>
    <t>C198</t>
  </si>
  <si>
    <t>MCLL-199</t>
  </si>
  <si>
    <t>C199</t>
  </si>
  <si>
    <t>MCLL-200</t>
  </si>
  <si>
    <t>C200</t>
  </si>
  <si>
    <t>MCLL-201</t>
  </si>
  <si>
    <t>C201</t>
  </si>
  <si>
    <t>MCLL-202</t>
  </si>
  <si>
    <t>C202</t>
  </si>
  <si>
    <t>solo bastidor</t>
  </si>
  <si>
    <t>Cf 2</t>
  </si>
  <si>
    <t>MCFL-002</t>
  </si>
  <si>
    <t>MCFL-003</t>
  </si>
  <si>
    <t>Cf 3</t>
  </si>
  <si>
    <t>MCFL-004</t>
  </si>
  <si>
    <t>Cf 4</t>
  </si>
  <si>
    <t>MVBL-030</t>
  </si>
  <si>
    <t>MVBL-031</t>
  </si>
  <si>
    <t>MPBL-0010</t>
  </si>
  <si>
    <t>Pb10</t>
  </si>
  <si>
    <t>MPBL-009</t>
  </si>
  <si>
    <t>Pb9</t>
  </si>
  <si>
    <t>muro puerta izq (0.90cm) vano de 0.95 para escalera</t>
  </si>
  <si>
    <t>MCLL-203</t>
  </si>
  <si>
    <t>C203</t>
  </si>
  <si>
    <t>MPLL-109</t>
  </si>
  <si>
    <t>P109</t>
  </si>
  <si>
    <t>muro puerta (.90) izq. Vano de 1m izq.</t>
  </si>
  <si>
    <t>P110</t>
  </si>
  <si>
    <t>MPLL-110</t>
  </si>
  <si>
    <t>MCLL-204</t>
  </si>
  <si>
    <t>C204</t>
  </si>
  <si>
    <t>muro puerta (0.90cm)izq. Vano de .95 izq.</t>
  </si>
  <si>
    <t>MPLL-111</t>
  </si>
  <si>
    <t>P111</t>
  </si>
  <si>
    <t>muro puerta (.70) izq. Vano de .80 izq.</t>
  </si>
  <si>
    <t>2.1.62</t>
  </si>
  <si>
    <t>MVLL-010</t>
  </si>
  <si>
    <t>V10</t>
  </si>
  <si>
    <t>MPLL-112</t>
  </si>
  <si>
    <t>P112</t>
  </si>
  <si>
    <t>muro puerta (0.80) der. Vano de 0.85</t>
  </si>
  <si>
    <t>MCLL-205</t>
  </si>
  <si>
    <t>C205</t>
  </si>
  <si>
    <t>muro puerta (0.80) izq. Vano de 0.85</t>
  </si>
  <si>
    <t>MPLL-113</t>
  </si>
  <si>
    <t>P113</t>
  </si>
  <si>
    <t>muro puerta (.80) izq. Vano de .85 izq.</t>
  </si>
  <si>
    <t>muro puerta (.90) izq. Vano de .1m izq.</t>
  </si>
  <si>
    <t>MCLL-206</t>
  </si>
  <si>
    <t>C206</t>
  </si>
  <si>
    <t xml:space="preserve">muro ciego </t>
  </si>
  <si>
    <t>MCLL-207</t>
  </si>
  <si>
    <t>C207</t>
  </si>
  <si>
    <t>muro puerta .70 izq. Vano de .75 izq.</t>
  </si>
  <si>
    <t>MPLL-114</t>
  </si>
  <si>
    <t>P114</t>
  </si>
  <si>
    <t>MPLL-115</t>
  </si>
  <si>
    <t>P115</t>
  </si>
  <si>
    <t>muro puerta  (0.70cm) der vano de 0.80</t>
  </si>
  <si>
    <t>MCLL-208</t>
  </si>
  <si>
    <t>MCLL-209</t>
  </si>
  <si>
    <t>C208</t>
  </si>
  <si>
    <t>C209</t>
  </si>
  <si>
    <t>MPLL-116</t>
  </si>
  <si>
    <t>MPLL-117</t>
  </si>
  <si>
    <t>muro puerta  (0.70cm) vano de 0.80 der.</t>
  </si>
  <si>
    <t>muro puerta  (0.70cm) vano de 0.80 izq.</t>
  </si>
  <si>
    <t>muro puerta  (0.70cm) vano de 0.80 al centro, abatim.derecho</t>
  </si>
  <si>
    <t>muro puerta  (0.70cm) vano de 0.75 al centro, abatim.izq.</t>
  </si>
  <si>
    <t>MPVLL-080</t>
  </si>
  <si>
    <t>PV2</t>
  </si>
  <si>
    <t>muro puerta doble (0.80cm) vano de 1.75</t>
  </si>
  <si>
    <t>CBAS-1</t>
  </si>
  <si>
    <t>CBAS-2</t>
  </si>
  <si>
    <t>CBAS-3</t>
  </si>
  <si>
    <t>MCBAS-003</t>
  </si>
  <si>
    <t>MCBAS-002</t>
  </si>
  <si>
    <t>MCBAS-001</t>
  </si>
  <si>
    <t>VBAS-1</t>
  </si>
  <si>
    <t>muro ventana (1.21x0.91) der.</t>
  </si>
  <si>
    <t>VBAS-2</t>
  </si>
  <si>
    <t>MVBAS-001</t>
  </si>
  <si>
    <t>MVBAS-002</t>
  </si>
  <si>
    <t>muro ventana (1.21x0.91) izq.</t>
  </si>
  <si>
    <t>MVBAS-003</t>
  </si>
  <si>
    <t>VBAS-3</t>
  </si>
  <si>
    <t>muro ventana (0.40x0.40) al centro</t>
  </si>
  <si>
    <t>MPBAS-001</t>
  </si>
  <si>
    <t>PBAS-1</t>
  </si>
  <si>
    <t>muro puerta izq (0.90)</t>
  </si>
  <si>
    <t>MCBAS-004</t>
  </si>
  <si>
    <t>CBAS-4</t>
  </si>
  <si>
    <t>MVBAS-004</t>
  </si>
  <si>
    <t>MVBAS-005</t>
  </si>
  <si>
    <t>MVBAS-006</t>
  </si>
  <si>
    <t>VBAS-4</t>
  </si>
  <si>
    <t>VBAS-5</t>
  </si>
  <si>
    <t>VBAS-6</t>
  </si>
  <si>
    <t>MPBAS-002</t>
  </si>
  <si>
    <t>PBAS-2</t>
  </si>
  <si>
    <t>MCLL-210</t>
  </si>
  <si>
    <t>C210</t>
  </si>
  <si>
    <t>MPLL-118</t>
  </si>
  <si>
    <t>P116</t>
  </si>
  <si>
    <t>P117</t>
  </si>
  <si>
    <t>P118</t>
  </si>
  <si>
    <t>MPLL-119</t>
  </si>
  <si>
    <t>P119</t>
  </si>
  <si>
    <t>MPLL-120</t>
  </si>
  <si>
    <t>P120</t>
  </si>
  <si>
    <t>MPLL-121</t>
  </si>
  <si>
    <t>P121</t>
  </si>
  <si>
    <t>MPLL-122</t>
  </si>
  <si>
    <t>P122</t>
  </si>
  <si>
    <t>MPLL-123</t>
  </si>
  <si>
    <t>P123</t>
  </si>
  <si>
    <t>MPLL-124</t>
  </si>
  <si>
    <t>P124</t>
  </si>
  <si>
    <t>C211</t>
  </si>
  <si>
    <t>C212</t>
  </si>
  <si>
    <t>C213</t>
  </si>
  <si>
    <t>C214</t>
  </si>
  <si>
    <t>C215</t>
  </si>
  <si>
    <t>P125</t>
  </si>
  <si>
    <t>P126</t>
  </si>
  <si>
    <t>P127</t>
  </si>
  <si>
    <t>P128</t>
  </si>
  <si>
    <t>P129</t>
  </si>
  <si>
    <t>P130</t>
  </si>
  <si>
    <t>P131</t>
  </si>
  <si>
    <t>P132</t>
  </si>
  <si>
    <t>P133</t>
  </si>
  <si>
    <t>C216</t>
  </si>
  <si>
    <t>C217</t>
  </si>
  <si>
    <t>Vb-30</t>
  </si>
  <si>
    <t>Vb-31</t>
  </si>
  <si>
    <t>Vb-32</t>
  </si>
  <si>
    <t>Columna Armada 4318 mm</t>
  </si>
  <si>
    <t>Columna Reforzada 4318 mm</t>
  </si>
  <si>
    <t>C218</t>
  </si>
  <si>
    <t>MCLL-211</t>
  </si>
  <si>
    <t>C219</t>
  </si>
  <si>
    <t>P134</t>
  </si>
  <si>
    <t>P135</t>
  </si>
  <si>
    <t>muro puerta (.70) izq. Vano de.75 der.</t>
  </si>
  <si>
    <t>MCLL-212</t>
  </si>
  <si>
    <t>C220</t>
  </si>
  <si>
    <t>MVLL-011</t>
  </si>
  <si>
    <t>V11</t>
  </si>
  <si>
    <t>MVLL-012</t>
  </si>
  <si>
    <t>V12</t>
  </si>
  <si>
    <t>muro ventana  de 1.20x 1.22)  sin ventan derecha</t>
  </si>
  <si>
    <t>muro ventana  de 1.20x 1.22)  sin ventana izquierda</t>
  </si>
  <si>
    <t>P136</t>
  </si>
  <si>
    <t>MCLL-213</t>
  </si>
  <si>
    <t>C221</t>
  </si>
  <si>
    <t>MCLL-214</t>
  </si>
  <si>
    <t>C222</t>
  </si>
  <si>
    <t xml:space="preserve">LAVADERO DE PLASTICO </t>
  </si>
  <si>
    <t>puerta izq (0.90) vano de  .95 ventana (0.59x.49)</t>
  </si>
  <si>
    <t>MPBL-011</t>
  </si>
  <si>
    <t>Pb11</t>
  </si>
  <si>
    <t>puerta izq. (0.90) vano de .95 izq.</t>
  </si>
  <si>
    <t>ARRE-5000S</t>
  </si>
  <si>
    <t>Armadura Recta p/modulo de 5.0m de ancho</t>
  </si>
  <si>
    <t>Armadura Recta Reforzada p/modulo de 8.0m de ancho</t>
  </si>
  <si>
    <t>Armadura Recta Reforzada p/modulo de10.225m de ancho</t>
  </si>
  <si>
    <t>Clave 1</t>
  </si>
  <si>
    <t>Clave 2</t>
  </si>
  <si>
    <t>Clave 3</t>
  </si>
  <si>
    <t>Color</t>
  </si>
  <si>
    <t>Tipo</t>
  </si>
  <si>
    <t>Descripcion</t>
  </si>
  <si>
    <t>Largo</t>
  </si>
  <si>
    <t>Alto</t>
  </si>
  <si>
    <t>Unidad</t>
  </si>
  <si>
    <t>Proyecto</t>
  </si>
  <si>
    <t>ID</t>
  </si>
  <si>
    <t>Clave / Cantidad</t>
  </si>
  <si>
    <t>Comedor</t>
  </si>
  <si>
    <t xml:space="preserve">Alojamiento De Guardia </t>
  </si>
  <si>
    <t>Sanidad</t>
  </si>
  <si>
    <t>Servicios</t>
  </si>
  <si>
    <t xml:space="preserve">Comedor Y Alojamiento Escolta </t>
  </si>
  <si>
    <t>Comandancia</t>
  </si>
  <si>
    <t>Mantenimiento</t>
  </si>
  <si>
    <t>Servicios Estatales</t>
  </si>
  <si>
    <t>Sala De Conferencias</t>
  </si>
  <si>
    <t>Videowall</t>
  </si>
  <si>
    <t>Gobierno</t>
  </si>
  <si>
    <t>Niveles Superiores</t>
  </si>
  <si>
    <t>Atención Al Público</t>
  </si>
  <si>
    <t>Basura</t>
  </si>
  <si>
    <t>Nombre del Proyecto / Cliente</t>
  </si>
  <si>
    <t>Dirección / Ubicación</t>
  </si>
  <si>
    <t>Supervisor de Obra</t>
  </si>
  <si>
    <t>No. De Edificios</t>
  </si>
  <si>
    <t>Tipo de Edificio</t>
  </si>
  <si>
    <t>Fecha de Inicio</t>
  </si>
  <si>
    <t>001</t>
  </si>
  <si>
    <t xml:space="preserve">Fecha: </t>
  </si>
  <si>
    <t>002</t>
  </si>
  <si>
    <t>003</t>
  </si>
  <si>
    <t xml:space="preserve">NOMBRE DEL SOLICITANTE (S):   </t>
  </si>
  <si>
    <t xml:space="preserve">PROYECTO:  </t>
  </si>
  <si>
    <t>BODEGA MTY</t>
  </si>
  <si>
    <t>004</t>
  </si>
  <si>
    <t>JUAN ANDRES OLIVA REYES</t>
  </si>
  <si>
    <t>OBRA:  MONTEMORELOS</t>
  </si>
  <si>
    <t>005</t>
  </si>
  <si>
    <t>LOCALIDAD: MONTERREY</t>
  </si>
  <si>
    <t>006</t>
  </si>
  <si>
    <t>007</t>
  </si>
  <si>
    <t>CODIGO</t>
  </si>
  <si>
    <t>MODELO Y/O MCA</t>
  </si>
  <si>
    <t>UNIDAD  DE MEDIDA</t>
  </si>
  <si>
    <t>CANTIDAD</t>
  </si>
  <si>
    <t>009</t>
  </si>
  <si>
    <t>SOLICITADA</t>
  </si>
  <si>
    <t>ENTREGADA</t>
  </si>
  <si>
    <t>010</t>
  </si>
  <si>
    <t xml:space="preserve">CARETA </t>
  </si>
  <si>
    <t>011</t>
  </si>
  <si>
    <t>DESARMADOR DE ESTRELLA</t>
  </si>
  <si>
    <t>012</t>
  </si>
  <si>
    <t>ESMERIL</t>
  </si>
  <si>
    <t>DEWALT</t>
  </si>
  <si>
    <t>013</t>
  </si>
  <si>
    <t>MINI ESMERIL</t>
  </si>
  <si>
    <t>MAKITA</t>
  </si>
  <si>
    <t>014</t>
  </si>
  <si>
    <t>015</t>
  </si>
  <si>
    <t>016</t>
  </si>
  <si>
    <t>017</t>
  </si>
  <si>
    <t>018</t>
  </si>
  <si>
    <t>019</t>
  </si>
  <si>
    <t>020</t>
  </si>
  <si>
    <t>NOMBRE Y FIRMA</t>
  </si>
  <si>
    <t>AUTORIZACIÓN RESPONSABLE DEL ÁREA SOLICITANTE</t>
  </si>
  <si>
    <t>ELABORO</t>
  </si>
  <si>
    <t>RECIBIO</t>
  </si>
  <si>
    <t>Me comprometo a resguardar el mobiliario y equipo que me ha sido asignado, darle el uso adecuado y reportando oportunamente al área de administracion, cualquier evento relacionado con el mismo, asi como elaborar los requerimientos de mantenimiento preventivo y/o correctivo</t>
  </si>
  <si>
    <t xml:space="preserve">PROCEDIMIENTO:  </t>
  </si>
  <si>
    <t>Conceptos</t>
  </si>
  <si>
    <t>No.</t>
  </si>
  <si>
    <t>Dormitorios Generales</t>
  </si>
  <si>
    <t>Administrador de Obra</t>
  </si>
  <si>
    <t>Rangos</t>
  </si>
  <si>
    <t>Dormitorios</t>
  </si>
  <si>
    <t>Alojamiento</t>
  </si>
  <si>
    <t>comyaloj</t>
  </si>
  <si>
    <t>serestatal</t>
  </si>
  <si>
    <t>conferencias</t>
  </si>
  <si>
    <t>dormitorios</t>
  </si>
  <si>
    <t>comedor</t>
  </si>
  <si>
    <t>alojamiento</t>
  </si>
  <si>
    <t>sanidad</t>
  </si>
  <si>
    <t>servicios</t>
  </si>
  <si>
    <t>comandancia</t>
  </si>
  <si>
    <t>mantenimiento</t>
  </si>
  <si>
    <t>Tablero de Control Desarrolladora M</t>
  </si>
  <si>
    <t>michoacan</t>
  </si>
  <si>
    <t>Jorge Ramos</t>
  </si>
  <si>
    <t>Ernesto che</t>
  </si>
  <si>
    <t>Dormitorio</t>
  </si>
  <si>
    <t># por concepto</t>
  </si>
  <si>
    <t>No. De Elemtos Requeridos---&gt;</t>
  </si>
  <si>
    <t>pepe</t>
  </si>
  <si>
    <t>Fecha de Fin</t>
  </si>
  <si>
    <t>queretaro</t>
  </si>
  <si>
    <t>juan</t>
  </si>
  <si>
    <t>late</t>
  </si>
  <si>
    <t>jalisco</t>
  </si>
  <si>
    <t>jaisco</t>
  </si>
  <si>
    <t>yo</t>
  </si>
  <si>
    <t>tu</t>
  </si>
  <si>
    <t>lento</t>
  </si>
  <si>
    <t>Total</t>
  </si>
  <si>
    <t>sadasdasd</t>
  </si>
  <si>
    <t>asd</t>
  </si>
  <si>
    <t>sa</t>
  </si>
  <si>
    <t>d</t>
  </si>
  <si>
    <t>dfsdfsdfsderwr34r</t>
  </si>
  <si>
    <t>54/6/45</t>
  </si>
  <si>
    <t>6/546/45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</si>
</sst>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80A]dddd\,\ dd&quot; de &quot;mmmm&quot; de &quot;yyyy;@"/>
  </numFmts>
  <fonts count="42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6100"/>
      <name val="Calibri"/>
      <family val="2"/>
      <scheme val="minor"/>
    </font>
    <font>
      <b/>
      <sz val="16"/>
      <color theme="0"/>
      <name val="Calibri Light"/>
      <family val="1"/>
      <scheme val="major"/>
    </font>
    <font>
      <b/>
      <sz val="12"/>
      <color rgb="FF006100"/>
      <name val="Calibri"/>
      <family val="2"/>
      <scheme val="minor"/>
    </font>
    <font>
      <sz val="12"/>
      <color rgb="FF006100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14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b/>
      <sz val="16"/>
      <name val="Bodoni MT"/>
      <family val="1"/>
    </font>
    <font>
      <b/>
      <sz val="12"/>
      <color rgb="FF002060"/>
      <name val="Arial Narrow"/>
      <family val="2"/>
    </font>
    <font>
      <b/>
      <sz val="12"/>
      <color theme="0"/>
      <name val="Arial Narrow"/>
      <family val="2"/>
    </font>
    <font>
      <b/>
      <sz val="12"/>
      <color indexed="18"/>
      <name val="Arial Narrow"/>
      <family val="2"/>
    </font>
    <font>
      <b/>
      <sz val="16"/>
      <name val="Arial"/>
      <family val="2"/>
    </font>
    <font>
      <sz val="8"/>
      <name val="Arial"/>
      <family val="2"/>
    </font>
    <font>
      <b/>
      <sz val="11"/>
      <color rgb="FF002060"/>
      <name val="Arial Narrow"/>
      <family val="2"/>
    </font>
    <font>
      <b/>
      <sz val="11"/>
      <color theme="0"/>
      <name val="Arial Narrow"/>
      <family val="2"/>
    </font>
    <font>
      <b/>
      <sz val="11"/>
      <color indexed="18"/>
      <name val="Arial Narrow"/>
      <family val="2"/>
    </font>
    <font>
      <sz val="8"/>
      <color rgb="FF002060"/>
      <name val="Arial Narrow"/>
      <family val="2"/>
    </font>
    <font>
      <b/>
      <sz val="8"/>
      <name val="Arial"/>
      <family val="2"/>
    </font>
    <font>
      <u/>
      <sz val="10"/>
      <color theme="10"/>
      <name val="Arial"/>
      <family val="2"/>
    </font>
    <font>
      <u/>
      <sz val="10"/>
      <name val="Arial"/>
      <family val="2"/>
    </font>
    <font>
      <b/>
      <sz val="11"/>
      <name val="Arial Narrow"/>
      <family val="2"/>
    </font>
    <font>
      <sz val="10"/>
      <color theme="0"/>
      <name val="Arial"/>
      <family val="2"/>
    </font>
    <font>
      <sz val="10"/>
      <name val="Berlin Sans FB"/>
      <family val="2"/>
    </font>
    <font>
      <sz val="9"/>
      <name val="Berlin Sans FB"/>
      <family val="2"/>
    </font>
    <font>
      <sz val="11"/>
      <name val="Calibri"/>
      <family val="2"/>
      <scheme val="minor"/>
    </font>
    <font>
      <sz val="10"/>
      <color rgb="FF002060"/>
      <name val="Arial"/>
      <family val="2"/>
    </font>
    <font>
      <b/>
      <sz val="10"/>
      <name val="Berlin Sans FB"/>
      <family val="2"/>
    </font>
    <font>
      <sz val="7"/>
      <name val="Arial"/>
      <family val="2"/>
    </font>
    <font>
      <sz val="9"/>
      <name val="Arial"/>
      <family val="2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2"/>
      <color rgb="FF9C0006"/>
      <name val="Calibri"/>
      <family val="2"/>
      <scheme val="minor"/>
    </font>
    <font>
      <b/>
      <sz val="12"/>
      <color rgb="FF9C650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28"/>
      <color theme="0" tint="-0.499984740745262"/>
      <name val="Calibri"/>
      <family val="2"/>
      <scheme val="minor"/>
    </font>
    <font>
      <sz val="12"/>
      <color rgb="FF006100"/>
      <name val="Arial"/>
      <family val="2"/>
    </font>
    <font>
      <b/>
      <sz val="12"/>
      <color theme="0"/>
      <name val="Calibri Light"/>
      <family val="1"/>
      <scheme val="major"/>
    </font>
  </fonts>
  <fills count="1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/>
      <diagonal/>
    </border>
    <border>
      <left/>
      <right/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/>
    <xf numFmtId="0" fontId="1" fillId="0" borderId="0"/>
    <xf numFmtId="0" fontId="1" fillId="0" borderId="0"/>
    <xf numFmtId="0" fontId="4" fillId="2" borderId="0" applyNumberFormat="0" applyBorder="0" applyAlignment="0" applyProtection="0"/>
    <xf numFmtId="0" fontId="23" fillId="0" borderId="0" applyNumberFormat="0" applyFill="0" applyBorder="0" applyAlignment="0" applyProtection="0">
      <alignment vertical="top"/>
      <protection locked="0"/>
    </xf>
    <xf numFmtId="0" fontId="1" fillId="0" borderId="0"/>
    <xf numFmtId="0" fontId="34" fillId="7" borderId="0" applyNumberFormat="0" applyBorder="0" applyAlignment="0" applyProtection="0"/>
    <xf numFmtId="0" fontId="35" fillId="8" borderId="0" applyNumberFormat="0" applyBorder="0" applyAlignment="0" applyProtection="0"/>
  </cellStyleXfs>
  <cellXfs count="102">
    <xf numFmtId="0" fontId="0" fillId="0" borderId="0" xfId="0"/>
    <xf numFmtId="0" fontId="0" fillId="0" borderId="0" xfId="0" applyAlignment="1">
      <alignment wrapText="1"/>
    </xf>
    <xf numFmtId="0" fontId="6" fillId="2" borderId="0" xfId="3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7" fillId="2" borderId="0" xfId="3" applyFont="1" applyAlignment="1">
      <alignment horizontal="center" vertical="center"/>
    </xf>
    <xf numFmtId="0" fontId="0" fillId="4" borderId="0" xfId="0" applyFill="1"/>
    <xf numFmtId="0" fontId="0" fillId="0" borderId="0" xfId="0" applyAlignment="1">
      <alignment horizontal="center" vertical="center" wrapText="1"/>
    </xf>
    <xf numFmtId="14" fontId="0" fillId="0" borderId="0" xfId="0" applyNumberFormat="1"/>
    <xf numFmtId="0" fontId="1" fillId="0" borderId="0" xfId="0" applyFont="1"/>
    <xf numFmtId="0" fontId="1" fillId="0" borderId="0" xfId="0" applyFont="1" applyBorder="1"/>
    <xf numFmtId="0" fontId="8" fillId="0" borderId="0" xfId="0" applyFont="1"/>
    <xf numFmtId="0" fontId="9" fillId="0" borderId="0" xfId="0" applyFont="1" applyBorder="1"/>
    <xf numFmtId="0" fontId="10" fillId="0" borderId="0" xfId="0" applyFont="1" applyBorder="1"/>
    <xf numFmtId="3" fontId="11" fillId="0" borderId="0" xfId="0" applyNumberFormat="1" applyFont="1" applyBorder="1" applyAlignment="1">
      <alignment horizontal="right"/>
    </xf>
    <xf numFmtId="0" fontId="13" fillId="0" borderId="0" xfId="0" applyFont="1" applyAlignment="1">
      <alignment vertical="center" wrapText="1"/>
    </xf>
    <xf numFmtId="49" fontId="14" fillId="0" borderId="0" xfId="0" applyNumberFormat="1" applyFont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0" fontId="16" fillId="0" borderId="0" xfId="0" applyFont="1" applyBorder="1" applyAlignment="1">
      <alignment horizontal="center"/>
    </xf>
    <xf numFmtId="0" fontId="17" fillId="0" borderId="0" xfId="0" applyFont="1" applyBorder="1" applyAlignment="1">
      <alignment horizontal="center"/>
    </xf>
    <xf numFmtId="0" fontId="18" fillId="0" borderId="0" xfId="0" applyFont="1" applyAlignment="1">
      <alignment vertical="center" wrapText="1"/>
    </xf>
    <xf numFmtId="49" fontId="19" fillId="0" borderId="0" xfId="0" applyNumberFormat="1" applyFont="1" applyAlignment="1">
      <alignment horizontal="center" vertical="center" wrapText="1"/>
    </xf>
    <xf numFmtId="0" fontId="20" fillId="0" borderId="0" xfId="0" applyFont="1" applyAlignment="1">
      <alignment vertical="center" wrapText="1"/>
    </xf>
    <xf numFmtId="0" fontId="1" fillId="0" borderId="0" xfId="0" applyFont="1" applyBorder="1" applyAlignment="1">
      <alignment vertical="top"/>
    </xf>
    <xf numFmtId="164" fontId="1" fillId="0" borderId="0" xfId="0" applyNumberFormat="1" applyFont="1" applyBorder="1" applyAlignment="1">
      <alignment horizontal="left" vertical="top"/>
    </xf>
    <xf numFmtId="164" fontId="1" fillId="0" borderId="0" xfId="0" applyNumberFormat="1" applyFont="1" applyBorder="1" applyAlignment="1">
      <alignment horizontal="left"/>
    </xf>
    <xf numFmtId="0" fontId="21" fillId="0" borderId="0" xfId="0" applyFont="1"/>
    <xf numFmtId="0" fontId="1" fillId="0" borderId="0" xfId="0" applyFont="1" applyFill="1"/>
    <xf numFmtId="0" fontId="1" fillId="5" borderId="0" xfId="0" applyFont="1" applyFill="1" applyBorder="1"/>
    <xf numFmtId="0" fontId="22" fillId="0" borderId="0" xfId="0" applyFont="1" applyFill="1" applyBorder="1" applyAlignment="1"/>
    <xf numFmtId="0" fontId="22" fillId="0" borderId="0" xfId="0" applyFont="1" applyFill="1" applyBorder="1" applyAlignment="1">
      <alignment horizontal="left"/>
    </xf>
    <xf numFmtId="0" fontId="10" fillId="0" borderId="1" xfId="0" applyFont="1" applyFill="1" applyBorder="1" applyAlignment="1"/>
    <xf numFmtId="0" fontId="24" fillId="0" borderId="1" xfId="4" applyFont="1" applyFill="1" applyBorder="1" applyAlignment="1" applyProtection="1"/>
    <xf numFmtId="0" fontId="22" fillId="0" borderId="1" xfId="0" applyFont="1" applyFill="1" applyBorder="1" applyAlignment="1"/>
    <xf numFmtId="0" fontId="1" fillId="0" borderId="0" xfId="0" applyFont="1" applyFill="1" applyBorder="1"/>
    <xf numFmtId="0" fontId="10" fillId="0" borderId="0" xfId="0" applyFont="1" applyFill="1" applyBorder="1"/>
    <xf numFmtId="0" fontId="10" fillId="0" borderId="0" xfId="0" applyFont="1" applyFill="1" applyBorder="1" applyAlignment="1">
      <alignment horizontal="right"/>
    </xf>
    <xf numFmtId="0" fontId="13" fillId="0" borderId="0" xfId="0" applyFont="1" applyAlignment="1">
      <alignment horizontal="center" vertical="center" wrapText="1"/>
    </xf>
    <xf numFmtId="0" fontId="25" fillId="0" borderId="0" xfId="0" applyFont="1" applyAlignment="1">
      <alignment vertical="center" wrapText="1"/>
    </xf>
    <xf numFmtId="0" fontId="1" fillId="0" borderId="0" xfId="0" applyFont="1" applyFill="1" applyBorder="1" applyAlignment="1"/>
    <xf numFmtId="49" fontId="26" fillId="0" borderId="0" xfId="0" applyNumberFormat="1" applyFont="1" applyAlignment="1">
      <alignment horizontal="center"/>
    </xf>
    <xf numFmtId="0" fontId="22" fillId="0" borderId="2" xfId="0" applyFont="1" applyFill="1" applyBorder="1" applyAlignment="1">
      <alignment horizontal="center" vertical="center" wrapText="1"/>
    </xf>
    <xf numFmtId="0" fontId="27" fillId="0" borderId="2" xfId="0" applyFont="1" applyFill="1" applyBorder="1" applyAlignment="1">
      <alignment horizontal="center"/>
    </xf>
    <xf numFmtId="0" fontId="28" fillId="0" borderId="2" xfId="5" applyFont="1" applyBorder="1"/>
    <xf numFmtId="0" fontId="28" fillId="6" borderId="2" xfId="2" applyFont="1" applyFill="1" applyBorder="1" applyAlignment="1">
      <alignment horizontal="center"/>
    </xf>
    <xf numFmtId="0" fontId="1" fillId="0" borderId="2" xfId="0" applyFont="1" applyBorder="1"/>
    <xf numFmtId="0" fontId="1" fillId="0" borderId="2" xfId="0" applyFont="1" applyBorder="1" applyAlignment="1">
      <alignment horizontal="center"/>
    </xf>
    <xf numFmtId="0" fontId="27" fillId="0" borderId="9" xfId="5" applyFont="1" applyBorder="1" applyAlignment="1"/>
    <xf numFmtId="0" fontId="27" fillId="0" borderId="10" xfId="5" applyFont="1" applyBorder="1" applyAlignment="1"/>
    <xf numFmtId="0" fontId="29" fillId="0" borderId="9" xfId="0" applyFont="1" applyBorder="1"/>
    <xf numFmtId="0" fontId="29" fillId="0" borderId="2" xfId="0" applyFont="1" applyBorder="1" applyAlignment="1">
      <alignment horizontal="center"/>
    </xf>
    <xf numFmtId="0" fontId="28" fillId="0" borderId="2" xfId="5" applyFont="1" applyBorder="1" applyAlignment="1">
      <alignment horizontal="center"/>
    </xf>
    <xf numFmtId="0" fontId="30" fillId="0" borderId="0" xfId="0" applyFont="1"/>
    <xf numFmtId="0" fontId="31" fillId="0" borderId="9" xfId="5" applyFont="1" applyBorder="1" applyAlignment="1"/>
    <xf numFmtId="0" fontId="31" fillId="0" borderId="10" xfId="5" applyFont="1" applyBorder="1" applyAlignment="1"/>
    <xf numFmtId="0" fontId="27" fillId="6" borderId="2" xfId="2" applyFont="1" applyFill="1" applyBorder="1" applyAlignment="1">
      <alignment horizontal="center"/>
    </xf>
    <xf numFmtId="0" fontId="1" fillId="0" borderId="9" xfId="0" applyFont="1" applyBorder="1"/>
    <xf numFmtId="0" fontId="1" fillId="0" borderId="10" xfId="0" applyFont="1" applyBorder="1"/>
    <xf numFmtId="0" fontId="17" fillId="0" borderId="0" xfId="0" applyFont="1" applyBorder="1"/>
    <xf numFmtId="0" fontId="28" fillId="0" borderId="4" xfId="5" applyFont="1" applyBorder="1"/>
    <xf numFmtId="0" fontId="17" fillId="0" borderId="0" xfId="0" applyFont="1" applyBorder="1" applyAlignment="1">
      <alignment horizontal="center" wrapText="1"/>
    </xf>
    <xf numFmtId="0" fontId="33" fillId="0" borderId="0" xfId="0" applyFont="1" applyBorder="1" applyAlignment="1">
      <alignment horizontal="center"/>
    </xf>
    <xf numFmtId="0" fontId="17" fillId="0" borderId="0" xfId="0" applyFont="1" applyBorder="1" applyAlignment="1">
      <alignment wrapText="1"/>
    </xf>
    <xf numFmtId="0" fontId="7" fillId="2" borderId="0" xfId="3" applyFont="1" applyAlignment="1">
      <alignment horizontal="center" vertical="center" wrapText="1"/>
    </xf>
    <xf numFmtId="0" fontId="36" fillId="7" borderId="0" xfId="6" applyFont="1" applyAlignment="1">
      <alignment horizontal="center" vertical="center" wrapText="1"/>
    </xf>
    <xf numFmtId="0" fontId="37" fillId="8" borderId="0" xfId="7" applyFont="1" applyAlignment="1">
      <alignment horizontal="center" vertical="center" wrapText="1"/>
    </xf>
    <xf numFmtId="0" fontId="38" fillId="0" borderId="0" xfId="0" applyFont="1"/>
    <xf numFmtId="0" fontId="38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" fillId="3" borderId="0" xfId="0" applyFont="1" applyFill="1" applyAlignment="1">
      <alignment horizontal="center" vertical="center"/>
    </xf>
    <xf numFmtId="0" fontId="0" fillId="9" borderId="0" xfId="0" applyFill="1"/>
    <xf numFmtId="0" fontId="0" fillId="0" borderId="0" xfId="0" applyAlignment="1">
      <alignment horizontal="center" wrapText="1"/>
    </xf>
    <xf numFmtId="0" fontId="40" fillId="2" borderId="0" xfId="3" applyFont="1" applyAlignment="1">
      <alignment horizontal="center" vertical="center"/>
    </xf>
    <xf numFmtId="0" fontId="0" fillId="10" borderId="0" xfId="0" applyFill="1"/>
    <xf numFmtId="0" fontId="39" fillId="10" borderId="0" xfId="0" applyFont="1" applyFill="1" applyAlignment="1">
      <alignment vertical="center" wrapText="1"/>
    </xf>
    <xf numFmtId="0" fontId="39" fillId="10" borderId="0" xfId="0" applyFont="1" applyFill="1" applyAlignment="1">
      <alignment vertical="center"/>
    </xf>
    <xf numFmtId="0" fontId="39" fillId="10" borderId="0" xfId="0" applyFont="1" applyFill="1" applyAlignment="1">
      <alignment horizontal="center" vertical="center" wrapText="1"/>
    </xf>
    <xf numFmtId="0" fontId="6" fillId="2" borderId="0" xfId="3" applyFont="1" applyAlignment="1">
      <alignment horizontal="center" vertical="center"/>
    </xf>
    <xf numFmtId="0" fontId="41" fillId="3" borderId="0" xfId="0" applyFont="1" applyFill="1" applyAlignment="1">
      <alignment horizontal="right" vertical="center"/>
    </xf>
    <xf numFmtId="0" fontId="22" fillId="0" borderId="2" xfId="0" applyFont="1" applyFill="1" applyBorder="1" applyAlignment="1">
      <alignment horizontal="center" vertical="center" wrapText="1"/>
    </xf>
    <xf numFmtId="0" fontId="22" fillId="0" borderId="3" xfId="0" applyFont="1" applyFill="1" applyBorder="1" applyAlignment="1">
      <alignment horizontal="center" vertical="center" wrapText="1"/>
    </xf>
    <xf numFmtId="0" fontId="22" fillId="0" borderId="4" xfId="0" applyFont="1" applyFill="1" applyBorder="1" applyAlignment="1">
      <alignment horizontal="center" vertical="center" wrapText="1"/>
    </xf>
    <xf numFmtId="0" fontId="22" fillId="0" borderId="6" xfId="0" applyFont="1" applyFill="1" applyBorder="1" applyAlignment="1">
      <alignment horizontal="center" vertical="center" wrapText="1"/>
    </xf>
    <xf numFmtId="0" fontId="22" fillId="0" borderId="7" xfId="0" applyFont="1" applyFill="1" applyBorder="1" applyAlignment="1">
      <alignment horizontal="center" vertical="center" wrapText="1"/>
    </xf>
    <xf numFmtId="0" fontId="22" fillId="0" borderId="5" xfId="0" applyFont="1" applyFill="1" applyBorder="1" applyAlignment="1">
      <alignment horizontal="center" vertical="center" wrapText="1"/>
    </xf>
    <xf numFmtId="0" fontId="22" fillId="0" borderId="8" xfId="0" applyFont="1" applyFill="1" applyBorder="1" applyAlignment="1">
      <alignment horizontal="center" vertical="center" wrapText="1"/>
    </xf>
    <xf numFmtId="0" fontId="17" fillId="0" borderId="2" xfId="0" applyFont="1" applyFill="1" applyBorder="1" applyAlignment="1">
      <alignment wrapText="1"/>
    </xf>
    <xf numFmtId="0" fontId="10" fillId="0" borderId="0" xfId="0" applyFont="1" applyBorder="1" applyAlignment="1">
      <alignment horizontal="center"/>
    </xf>
    <xf numFmtId="0" fontId="12" fillId="0" borderId="0" xfId="0" applyFont="1" applyBorder="1" applyAlignment="1">
      <alignment horizontal="center"/>
    </xf>
    <xf numFmtId="0" fontId="22" fillId="0" borderId="0" xfId="0" applyFont="1" applyFill="1" applyBorder="1" applyAlignment="1">
      <alignment horizontal="left"/>
    </xf>
    <xf numFmtId="0" fontId="22" fillId="0" borderId="0" xfId="0" applyFont="1" applyFill="1" applyBorder="1" applyAlignment="1"/>
    <xf numFmtId="0" fontId="27" fillId="0" borderId="2" xfId="5" applyFont="1" applyBorder="1" applyAlignment="1"/>
    <xf numFmtId="0" fontId="27" fillId="0" borderId="9" xfId="5" applyFont="1" applyBorder="1" applyAlignment="1"/>
    <xf numFmtId="0" fontId="31" fillId="6" borderId="9" xfId="2" applyFont="1" applyFill="1" applyBorder="1" applyAlignment="1">
      <alignment horizontal="center"/>
    </xf>
    <xf numFmtId="0" fontId="31" fillId="6" borderId="10" xfId="2" applyFont="1" applyFill="1" applyBorder="1" applyAlignment="1">
      <alignment horizontal="center"/>
    </xf>
    <xf numFmtId="0" fontId="32" fillId="0" borderId="11" xfId="0" applyFont="1" applyBorder="1" applyAlignment="1">
      <alignment horizontal="center"/>
    </xf>
    <xf numFmtId="0" fontId="17" fillId="0" borderId="11" xfId="0" applyFont="1" applyBorder="1" applyAlignment="1">
      <alignment horizontal="center"/>
    </xf>
    <xf numFmtId="0" fontId="17" fillId="0" borderId="0" xfId="0" applyFont="1" applyAlignment="1">
      <alignment horizontal="center"/>
    </xf>
    <xf numFmtId="0" fontId="17" fillId="0" borderId="0" xfId="0" applyFont="1" applyBorder="1" applyAlignment="1">
      <alignment horizontal="center"/>
    </xf>
    <xf numFmtId="0" fontId="17" fillId="0" borderId="0" xfId="0" applyFont="1" applyBorder="1" applyAlignment="1">
      <alignment horizontal="left" wrapText="1"/>
    </xf>
    <xf numFmtId="0" fontId="17" fillId="0" borderId="0" xfId="0" applyFont="1" applyBorder="1" applyAlignment="1">
      <alignment horizontal="center" wrapText="1"/>
    </xf>
    <xf numFmtId="0" fontId="33" fillId="0" borderId="0" xfId="0" applyFont="1" applyBorder="1" applyAlignment="1">
      <alignment horizontal="center"/>
    </xf>
    <xf numFmtId="0" fontId="17" fillId="0" borderId="12" xfId="0" applyFont="1" applyBorder="1" applyAlignment="1">
      <alignment horizontal="center"/>
    </xf>
  </cellXfs>
  <cellStyles count="8">
    <cellStyle name="Buena" xfId="3" builtinId="26"/>
    <cellStyle name="Hipervínculo" xfId="4" builtinId="8"/>
    <cellStyle name="Incorrecto" xfId="6" builtinId="27"/>
    <cellStyle name="Millares 2" xfId="1"/>
    <cellStyle name="Neutral" xfId="7" builtinId="28"/>
    <cellStyle name="Normal" xfId="0" builtinId="0"/>
    <cellStyle name="Normal 2" xfId="5"/>
    <cellStyle name="Normal 3 2" xfId="2"/>
  </cellStyles>
  <dxfs count="37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9C0006"/>
        <name val="Calibri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9C6500"/>
        <name val="Calibri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6100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6100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6100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6100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6100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6100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6100"/>
        <name val="Calibri"/>
        <scheme val="minor"/>
      </font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70C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6100"/>
        <name val="Calibri"/>
        <scheme val="minor"/>
      </font>
      <alignment horizontal="center" vertical="center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70C0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0070C0"/>
        <name val="Calibri"/>
        <scheme val="minor"/>
      </font>
    </dxf>
    <dxf>
      <font>
        <b/>
        <strike val="0"/>
        <outline val="0"/>
        <shadow val="0"/>
        <u val="none"/>
        <vertAlign val="baseline"/>
        <sz val="11"/>
        <color rgb="FF0070C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6100"/>
        <name val="Calibri"/>
        <scheme val="minor"/>
      </font>
      <alignment horizontal="center" vertical="center" textRotation="0" wrapText="1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#Inventario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Control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225425</xdr:colOff>
      <xdr:row>5</xdr:row>
      <xdr:rowOff>3176</xdr:rowOff>
    </xdr:from>
    <xdr:to>
      <xdr:col>3</xdr:col>
      <xdr:colOff>927101</xdr:colOff>
      <xdr:row>6</xdr:row>
      <xdr:rowOff>107026</xdr:rowOff>
    </xdr:to>
    <xdr:sp macro="" textlink="">
      <xdr:nvSpPr>
        <xdr:cNvPr id="3" name="Octágono 2"/>
        <xdr:cNvSpPr/>
      </xdr:nvSpPr>
      <xdr:spPr>
        <a:xfrm>
          <a:off x="1971675" y="923926"/>
          <a:ext cx="1666876" cy="288000"/>
        </a:xfrm>
        <a:prstGeom prst="octagon">
          <a:avLst/>
        </a:prstGeom>
        <a:solidFill>
          <a:srgbClr val="002060"/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MX" sz="1600" b="1">
              <a:solidFill>
                <a:schemeClr val="bg1"/>
              </a:solidFill>
            </a:rPr>
            <a:t>Flujo Proyecto</a:t>
          </a:r>
        </a:p>
      </xdr:txBody>
    </xdr:sp>
    <xdr:clientData/>
  </xdr:twoCellAnchor>
  <xdr:twoCellAnchor>
    <xdr:from>
      <xdr:col>7</xdr:col>
      <xdr:colOff>288925</xdr:colOff>
      <xdr:row>5</xdr:row>
      <xdr:rowOff>12700</xdr:rowOff>
    </xdr:from>
    <xdr:to>
      <xdr:col>8</xdr:col>
      <xdr:colOff>1212850</xdr:colOff>
      <xdr:row>6</xdr:row>
      <xdr:rowOff>116550</xdr:rowOff>
    </xdr:to>
    <xdr:sp macro="" textlink="">
      <xdr:nvSpPr>
        <xdr:cNvPr id="4" name="Octágono 3"/>
        <xdr:cNvSpPr/>
      </xdr:nvSpPr>
      <xdr:spPr>
        <a:xfrm>
          <a:off x="7140575" y="933450"/>
          <a:ext cx="2276475" cy="288000"/>
        </a:xfrm>
        <a:prstGeom prst="octagon">
          <a:avLst/>
        </a:prstGeom>
        <a:solidFill>
          <a:srgbClr val="002060"/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MX" sz="1600" b="1">
              <a:solidFill>
                <a:schemeClr val="bg1"/>
              </a:solidFill>
            </a:rPr>
            <a:t>Flujo Reportes Materia Prima</a:t>
          </a:r>
        </a:p>
      </xdr:txBody>
    </xdr:sp>
    <xdr:clientData/>
  </xdr:twoCellAnchor>
  <xdr:twoCellAnchor>
    <xdr:from>
      <xdr:col>4</xdr:col>
      <xdr:colOff>784224</xdr:colOff>
      <xdr:row>5</xdr:row>
      <xdr:rowOff>3176</xdr:rowOff>
    </xdr:from>
    <xdr:to>
      <xdr:col>6</xdr:col>
      <xdr:colOff>1035049</xdr:colOff>
      <xdr:row>6</xdr:row>
      <xdr:rowOff>107026</xdr:rowOff>
    </xdr:to>
    <xdr:sp macro="" textlink="">
      <xdr:nvSpPr>
        <xdr:cNvPr id="5" name="Octágono 4"/>
        <xdr:cNvSpPr/>
      </xdr:nvSpPr>
      <xdr:spPr>
        <a:xfrm>
          <a:off x="4460874" y="923926"/>
          <a:ext cx="2181225" cy="288000"/>
        </a:xfrm>
        <a:prstGeom prst="octagon">
          <a:avLst/>
        </a:prstGeom>
        <a:solidFill>
          <a:srgbClr val="002060"/>
        </a:solidFill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MX" sz="1600" b="1">
              <a:solidFill>
                <a:schemeClr val="bg1"/>
              </a:solidFill>
            </a:rPr>
            <a:t>Flujo Mantenimiento</a:t>
          </a:r>
        </a:p>
      </xdr:txBody>
    </xdr:sp>
    <xdr:clientData/>
  </xdr:twoCellAnchor>
  <xdr:twoCellAnchor>
    <xdr:from>
      <xdr:col>2</xdr:col>
      <xdr:colOff>412750</xdr:colOff>
      <xdr:row>7</xdr:row>
      <xdr:rowOff>127000</xdr:rowOff>
    </xdr:from>
    <xdr:to>
      <xdr:col>4</xdr:col>
      <xdr:colOff>171450</xdr:colOff>
      <xdr:row>9</xdr:row>
      <xdr:rowOff>19050</xdr:rowOff>
    </xdr:to>
    <xdr:sp macro="[0]!alta_proyectos" textlink="">
      <xdr:nvSpPr>
        <xdr:cNvPr id="2" name="Proceso alternativo 1"/>
        <xdr:cNvSpPr/>
      </xdr:nvSpPr>
      <xdr:spPr>
        <a:xfrm>
          <a:off x="412750" y="1416050"/>
          <a:ext cx="1689100" cy="260350"/>
        </a:xfrm>
        <a:prstGeom prst="flowChartAlternateProcess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MX" sz="1200">
              <a:solidFill>
                <a:srgbClr val="002060"/>
              </a:solidFill>
              <a:latin typeface="+mj-lt"/>
            </a:rPr>
            <a:t>1.</a:t>
          </a:r>
          <a:r>
            <a:rPr lang="es-MX" sz="1200" baseline="0">
              <a:solidFill>
                <a:srgbClr val="002060"/>
              </a:solidFill>
              <a:latin typeface="+mj-lt"/>
            </a:rPr>
            <a:t> Dar de Alta Proyecto</a:t>
          </a:r>
          <a:endParaRPr lang="es-MX" sz="1200">
            <a:solidFill>
              <a:srgbClr val="002060"/>
            </a:solidFill>
            <a:latin typeface="+mj-lt"/>
          </a:endParaRPr>
        </a:p>
      </xdr:txBody>
    </xdr:sp>
    <xdr:clientData/>
  </xdr:twoCellAnchor>
  <xdr:twoCellAnchor>
    <xdr:from>
      <xdr:col>2</xdr:col>
      <xdr:colOff>412750</xdr:colOff>
      <xdr:row>9</xdr:row>
      <xdr:rowOff>177800</xdr:rowOff>
    </xdr:from>
    <xdr:to>
      <xdr:col>4</xdr:col>
      <xdr:colOff>165100</xdr:colOff>
      <xdr:row>11</xdr:row>
      <xdr:rowOff>69850</xdr:rowOff>
    </xdr:to>
    <xdr:sp macro="" textlink="">
      <xdr:nvSpPr>
        <xdr:cNvPr id="17" name="Proceso alternativo 16">
          <a:hlinkClick xmlns:r="http://schemas.openxmlformats.org/officeDocument/2006/relationships" r:id="rId1" tooltip="Muestra la plantilla principal para capturar los conceptos de trabajo!!!"/>
        </xdr:cNvPr>
        <xdr:cNvSpPr/>
      </xdr:nvSpPr>
      <xdr:spPr>
        <a:xfrm>
          <a:off x="2159000" y="1835150"/>
          <a:ext cx="1682750" cy="260350"/>
        </a:xfrm>
        <a:prstGeom prst="flowChartAlternateProcess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MX" sz="1200">
              <a:solidFill>
                <a:srgbClr val="002060"/>
              </a:solidFill>
              <a:latin typeface="+mj-lt"/>
            </a:rPr>
            <a:t>2.</a:t>
          </a:r>
          <a:r>
            <a:rPr lang="es-MX" sz="1200" baseline="0">
              <a:solidFill>
                <a:srgbClr val="002060"/>
              </a:solidFill>
              <a:latin typeface="+mj-lt"/>
            </a:rPr>
            <a:t> Dar de Alta Producto</a:t>
          </a:r>
          <a:endParaRPr lang="es-MX" sz="1200">
            <a:solidFill>
              <a:srgbClr val="002060"/>
            </a:solidFill>
            <a:latin typeface="+mj-lt"/>
          </a:endParaRPr>
        </a:p>
      </xdr:txBody>
    </xdr:sp>
    <xdr:clientData/>
  </xdr:twoCellAnchor>
  <xdr:twoCellAnchor>
    <xdr:from>
      <xdr:col>2</xdr:col>
      <xdr:colOff>412750</xdr:colOff>
      <xdr:row>12</xdr:row>
      <xdr:rowOff>25400</xdr:rowOff>
    </xdr:from>
    <xdr:to>
      <xdr:col>4</xdr:col>
      <xdr:colOff>171450</xdr:colOff>
      <xdr:row>13</xdr:row>
      <xdr:rowOff>101600</xdr:rowOff>
    </xdr:to>
    <xdr:sp macro="[0]!estimacion" textlink="">
      <xdr:nvSpPr>
        <xdr:cNvPr id="18" name="Proceso alternativo 17"/>
        <xdr:cNvSpPr/>
      </xdr:nvSpPr>
      <xdr:spPr>
        <a:xfrm>
          <a:off x="412750" y="2235200"/>
          <a:ext cx="1689100" cy="260350"/>
        </a:xfrm>
        <a:prstGeom prst="flowChartAlternateProcess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MX" sz="1200">
              <a:solidFill>
                <a:srgbClr val="002060"/>
              </a:solidFill>
              <a:latin typeface="+mj-lt"/>
            </a:rPr>
            <a:t>3.</a:t>
          </a:r>
          <a:r>
            <a:rPr lang="es-MX" sz="1200" baseline="0">
              <a:solidFill>
                <a:srgbClr val="002060"/>
              </a:solidFill>
              <a:latin typeface="+mj-lt"/>
            </a:rPr>
            <a:t> Generar Estimación</a:t>
          </a:r>
          <a:endParaRPr lang="es-MX" sz="1200">
            <a:solidFill>
              <a:srgbClr val="002060"/>
            </a:solidFill>
            <a:latin typeface="+mj-lt"/>
          </a:endParaRPr>
        </a:p>
      </xdr:txBody>
    </xdr:sp>
    <xdr:clientData/>
  </xdr:twoCellAnchor>
  <xdr:twoCellAnchor>
    <xdr:from>
      <xdr:col>2</xdr:col>
      <xdr:colOff>412750</xdr:colOff>
      <xdr:row>14</xdr:row>
      <xdr:rowOff>44450</xdr:rowOff>
    </xdr:from>
    <xdr:to>
      <xdr:col>3</xdr:col>
      <xdr:colOff>927100</xdr:colOff>
      <xdr:row>15</xdr:row>
      <xdr:rowOff>120650</xdr:rowOff>
    </xdr:to>
    <xdr:sp macro="" textlink="">
      <xdr:nvSpPr>
        <xdr:cNvPr id="19" name="Proceso alternativo 18"/>
        <xdr:cNvSpPr/>
      </xdr:nvSpPr>
      <xdr:spPr>
        <a:xfrm>
          <a:off x="2159000" y="2622550"/>
          <a:ext cx="1479550" cy="260350"/>
        </a:xfrm>
        <a:prstGeom prst="flowChartAlternateProcess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MX" sz="1200">
              <a:solidFill>
                <a:srgbClr val="002060"/>
              </a:solidFill>
              <a:latin typeface="+mj-lt"/>
            </a:rPr>
            <a:t>4.</a:t>
          </a:r>
          <a:r>
            <a:rPr lang="es-MX" sz="1200" baseline="0">
              <a:solidFill>
                <a:srgbClr val="002060"/>
              </a:solidFill>
              <a:latin typeface="+mj-lt"/>
            </a:rPr>
            <a:t> Aplicar calculos</a:t>
          </a:r>
          <a:endParaRPr lang="es-MX" sz="1200">
            <a:solidFill>
              <a:srgbClr val="002060"/>
            </a:solidFill>
            <a:latin typeface="+mj-lt"/>
          </a:endParaRPr>
        </a:p>
      </xdr:txBody>
    </xdr:sp>
    <xdr:clientData/>
  </xdr:twoCellAnchor>
  <xdr:twoCellAnchor>
    <xdr:from>
      <xdr:col>2</xdr:col>
      <xdr:colOff>412750</xdr:colOff>
      <xdr:row>16</xdr:row>
      <xdr:rowOff>50800</xdr:rowOff>
    </xdr:from>
    <xdr:to>
      <xdr:col>4</xdr:col>
      <xdr:colOff>273050</xdr:colOff>
      <xdr:row>17</xdr:row>
      <xdr:rowOff>127000</xdr:rowOff>
    </xdr:to>
    <xdr:sp macro="" textlink="">
      <xdr:nvSpPr>
        <xdr:cNvPr id="20" name="Proceso alternativo 19"/>
        <xdr:cNvSpPr/>
      </xdr:nvSpPr>
      <xdr:spPr>
        <a:xfrm>
          <a:off x="2159000" y="2997200"/>
          <a:ext cx="1790700" cy="260350"/>
        </a:xfrm>
        <a:prstGeom prst="flowChartAlternateProcess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MX" sz="1200">
              <a:solidFill>
                <a:srgbClr val="002060"/>
              </a:solidFill>
              <a:latin typeface="+mj-lt"/>
            </a:rPr>
            <a:t>5.</a:t>
          </a:r>
          <a:r>
            <a:rPr lang="es-MX" sz="1200" baseline="0">
              <a:solidFill>
                <a:srgbClr val="002060"/>
              </a:solidFill>
              <a:latin typeface="+mj-lt"/>
            </a:rPr>
            <a:t> Enviar a Libro Principal</a:t>
          </a:r>
          <a:endParaRPr lang="es-MX" sz="1200">
            <a:solidFill>
              <a:srgbClr val="002060"/>
            </a:solidFill>
            <a:latin typeface="+mj-lt"/>
          </a:endParaRPr>
        </a:p>
      </xdr:txBody>
    </xdr:sp>
    <xdr:clientData/>
  </xdr:twoCellAnchor>
  <xdr:twoCellAnchor>
    <xdr:from>
      <xdr:col>2</xdr:col>
      <xdr:colOff>225424</xdr:colOff>
      <xdr:row>5</xdr:row>
      <xdr:rowOff>87527</xdr:rowOff>
    </xdr:from>
    <xdr:to>
      <xdr:col>2</xdr:col>
      <xdr:colOff>412749</xdr:colOff>
      <xdr:row>8</xdr:row>
      <xdr:rowOff>73024</xdr:rowOff>
    </xdr:to>
    <xdr:cxnSp macro="">
      <xdr:nvCxnSpPr>
        <xdr:cNvPr id="27" name="Conector angular 26"/>
        <xdr:cNvCxnSpPr>
          <a:stCxn id="3" idx="5"/>
          <a:endCxn id="2" idx="1"/>
        </xdr:cNvCxnSpPr>
      </xdr:nvCxnSpPr>
      <xdr:spPr>
        <a:xfrm rot="10800000" flipH="1" flipV="1">
          <a:off x="1971674" y="1008277"/>
          <a:ext cx="187325" cy="537947"/>
        </a:xfrm>
        <a:prstGeom prst="bentConnector3">
          <a:avLst>
            <a:gd name="adj1" fmla="val -71186"/>
          </a:avLst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165100</xdr:colOff>
      <xdr:row>8</xdr:row>
      <xdr:rowOff>73025</xdr:rowOff>
    </xdr:from>
    <xdr:to>
      <xdr:col>4</xdr:col>
      <xdr:colOff>171450</xdr:colOff>
      <xdr:row>10</xdr:row>
      <xdr:rowOff>123825</xdr:rowOff>
    </xdr:to>
    <xdr:cxnSp macro="">
      <xdr:nvCxnSpPr>
        <xdr:cNvPr id="21" name="Conector angular 20"/>
        <xdr:cNvCxnSpPr>
          <a:stCxn id="2" idx="3"/>
          <a:endCxn id="17" idx="3"/>
        </xdr:cNvCxnSpPr>
      </xdr:nvCxnSpPr>
      <xdr:spPr>
        <a:xfrm flipH="1">
          <a:off x="3841750" y="1546225"/>
          <a:ext cx="6350" cy="419100"/>
        </a:xfrm>
        <a:prstGeom prst="bentConnector3">
          <a:avLst>
            <a:gd name="adj1" fmla="val -3600000"/>
          </a:avLst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412750</xdr:colOff>
      <xdr:row>10</xdr:row>
      <xdr:rowOff>123825</xdr:rowOff>
    </xdr:from>
    <xdr:to>
      <xdr:col>2</xdr:col>
      <xdr:colOff>425450</xdr:colOff>
      <xdr:row>12</xdr:row>
      <xdr:rowOff>155575</xdr:rowOff>
    </xdr:to>
    <xdr:cxnSp macro="">
      <xdr:nvCxnSpPr>
        <xdr:cNvPr id="22" name="Conector angular 21"/>
        <xdr:cNvCxnSpPr>
          <a:stCxn id="17" idx="1"/>
          <a:endCxn id="18" idx="1"/>
        </xdr:cNvCxnSpPr>
      </xdr:nvCxnSpPr>
      <xdr:spPr>
        <a:xfrm rot="10800000" flipV="1">
          <a:off x="2159000" y="1965325"/>
          <a:ext cx="12700" cy="400050"/>
        </a:xfrm>
        <a:prstGeom prst="bentConnector3">
          <a:avLst>
            <a:gd name="adj1" fmla="val 1800000"/>
          </a:avLst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412750</xdr:colOff>
      <xdr:row>14</xdr:row>
      <xdr:rowOff>174625</xdr:rowOff>
    </xdr:from>
    <xdr:to>
      <xdr:col>2</xdr:col>
      <xdr:colOff>425450</xdr:colOff>
      <xdr:row>16</xdr:row>
      <xdr:rowOff>180975</xdr:rowOff>
    </xdr:to>
    <xdr:cxnSp macro="">
      <xdr:nvCxnSpPr>
        <xdr:cNvPr id="23" name="Conector angular 22"/>
        <xdr:cNvCxnSpPr>
          <a:stCxn id="19" idx="1"/>
          <a:endCxn id="20" idx="1"/>
        </xdr:cNvCxnSpPr>
      </xdr:nvCxnSpPr>
      <xdr:spPr>
        <a:xfrm rot="10800000" flipV="1">
          <a:off x="2159000" y="2752725"/>
          <a:ext cx="12700" cy="374650"/>
        </a:xfrm>
        <a:prstGeom prst="bentConnector3">
          <a:avLst>
            <a:gd name="adj1" fmla="val 1800000"/>
          </a:avLst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927100</xdr:colOff>
      <xdr:row>12</xdr:row>
      <xdr:rowOff>155575</xdr:rowOff>
    </xdr:from>
    <xdr:to>
      <xdr:col>4</xdr:col>
      <xdr:colOff>171450</xdr:colOff>
      <xdr:row>14</xdr:row>
      <xdr:rowOff>174625</xdr:rowOff>
    </xdr:to>
    <xdr:cxnSp macro="">
      <xdr:nvCxnSpPr>
        <xdr:cNvPr id="29" name="Conector angular 28"/>
        <xdr:cNvCxnSpPr>
          <a:stCxn id="18" idx="3"/>
          <a:endCxn id="19" idx="3"/>
        </xdr:cNvCxnSpPr>
      </xdr:nvCxnSpPr>
      <xdr:spPr>
        <a:xfrm flipH="1">
          <a:off x="3638550" y="2365375"/>
          <a:ext cx="209550" cy="387350"/>
        </a:xfrm>
        <a:prstGeom prst="bentConnector3">
          <a:avLst>
            <a:gd name="adj1" fmla="val -109091"/>
          </a:avLst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127000</xdr:colOff>
      <xdr:row>7</xdr:row>
      <xdr:rowOff>127000</xdr:rowOff>
    </xdr:from>
    <xdr:to>
      <xdr:col>6</xdr:col>
      <xdr:colOff>838200</xdr:colOff>
      <xdr:row>9</xdr:row>
      <xdr:rowOff>19050</xdr:rowOff>
    </xdr:to>
    <xdr:sp macro="[0]!alta_concepto" textlink="">
      <xdr:nvSpPr>
        <xdr:cNvPr id="24" name="Proceso alternativo 23"/>
        <xdr:cNvSpPr/>
      </xdr:nvSpPr>
      <xdr:spPr>
        <a:xfrm>
          <a:off x="4768850" y="1416050"/>
          <a:ext cx="1676400" cy="260350"/>
        </a:xfrm>
        <a:prstGeom prst="flowChartAlternateProcess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MX" sz="1200">
              <a:solidFill>
                <a:srgbClr val="002060"/>
              </a:solidFill>
              <a:latin typeface="+mj-lt"/>
            </a:rPr>
            <a:t>1.</a:t>
          </a:r>
          <a:r>
            <a:rPr lang="es-MX" sz="1200" baseline="0">
              <a:solidFill>
                <a:srgbClr val="002060"/>
              </a:solidFill>
              <a:latin typeface="+mj-lt"/>
            </a:rPr>
            <a:t> Alta de un Concepto</a:t>
          </a:r>
          <a:endParaRPr lang="es-MX" sz="1200">
            <a:solidFill>
              <a:srgbClr val="002060"/>
            </a:solidFill>
            <a:latin typeface="+mj-lt"/>
          </a:endParaRPr>
        </a:p>
      </xdr:txBody>
    </xdr:sp>
    <xdr:clientData/>
  </xdr:twoCellAnchor>
  <xdr:twoCellAnchor>
    <xdr:from>
      <xdr:col>5</xdr:col>
      <xdr:colOff>127000</xdr:colOff>
      <xdr:row>9</xdr:row>
      <xdr:rowOff>171450</xdr:rowOff>
    </xdr:from>
    <xdr:to>
      <xdr:col>6</xdr:col>
      <xdr:colOff>863600</xdr:colOff>
      <xdr:row>11</xdr:row>
      <xdr:rowOff>63500</xdr:rowOff>
    </xdr:to>
    <xdr:sp macro="" textlink="">
      <xdr:nvSpPr>
        <xdr:cNvPr id="25" name="Proceso alternativo 24"/>
        <xdr:cNvSpPr/>
      </xdr:nvSpPr>
      <xdr:spPr>
        <a:xfrm>
          <a:off x="4768850" y="1828800"/>
          <a:ext cx="1701800" cy="260350"/>
        </a:xfrm>
        <a:prstGeom prst="flowChartAlternateProcess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MX" sz="1200">
              <a:solidFill>
                <a:srgbClr val="002060"/>
              </a:solidFill>
              <a:latin typeface="+mj-lt"/>
            </a:rPr>
            <a:t>2.</a:t>
          </a:r>
          <a:r>
            <a:rPr lang="es-MX" sz="1200" baseline="0">
              <a:solidFill>
                <a:srgbClr val="002060"/>
              </a:solidFill>
              <a:latin typeface="+mj-lt"/>
            </a:rPr>
            <a:t> Baja de un Concepto</a:t>
          </a:r>
          <a:endParaRPr lang="es-MX" sz="1200">
            <a:solidFill>
              <a:srgbClr val="002060"/>
            </a:solidFill>
            <a:latin typeface="+mj-lt"/>
          </a:endParaRPr>
        </a:p>
      </xdr:txBody>
    </xdr:sp>
    <xdr:clientData/>
  </xdr:twoCellAnchor>
  <xdr:twoCellAnchor>
    <xdr:from>
      <xdr:col>5</xdr:col>
      <xdr:colOff>127000</xdr:colOff>
      <xdr:row>12</xdr:row>
      <xdr:rowOff>25400</xdr:rowOff>
    </xdr:from>
    <xdr:to>
      <xdr:col>6</xdr:col>
      <xdr:colOff>1054100</xdr:colOff>
      <xdr:row>13</xdr:row>
      <xdr:rowOff>101600</xdr:rowOff>
    </xdr:to>
    <xdr:sp macro="" textlink="">
      <xdr:nvSpPr>
        <xdr:cNvPr id="26" name="Proceso alternativo 25"/>
        <xdr:cNvSpPr/>
      </xdr:nvSpPr>
      <xdr:spPr>
        <a:xfrm>
          <a:off x="4768850" y="2235200"/>
          <a:ext cx="1892300" cy="260350"/>
        </a:xfrm>
        <a:prstGeom prst="flowChartAlternateProcess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MX" sz="1200">
              <a:solidFill>
                <a:srgbClr val="002060"/>
              </a:solidFill>
              <a:latin typeface="+mj-lt"/>
            </a:rPr>
            <a:t>3.</a:t>
          </a:r>
          <a:r>
            <a:rPr lang="es-MX" sz="1200" baseline="0">
              <a:solidFill>
                <a:srgbClr val="002060"/>
              </a:solidFill>
              <a:latin typeface="+mj-lt"/>
            </a:rPr>
            <a:t> Cambio de un Concepto</a:t>
          </a:r>
          <a:endParaRPr lang="es-MX" sz="1200">
            <a:solidFill>
              <a:srgbClr val="002060"/>
            </a:solidFill>
            <a:latin typeface="+mj-lt"/>
          </a:endParaRPr>
        </a:p>
      </xdr:txBody>
    </xdr:sp>
    <xdr:clientData/>
  </xdr:twoCellAnchor>
  <xdr:twoCellAnchor>
    <xdr:from>
      <xdr:col>5</xdr:col>
      <xdr:colOff>127000</xdr:colOff>
      <xdr:row>14</xdr:row>
      <xdr:rowOff>38100</xdr:rowOff>
    </xdr:from>
    <xdr:to>
      <xdr:col>6</xdr:col>
      <xdr:colOff>311150</xdr:colOff>
      <xdr:row>15</xdr:row>
      <xdr:rowOff>114300</xdr:rowOff>
    </xdr:to>
    <xdr:sp macro="" textlink="">
      <xdr:nvSpPr>
        <xdr:cNvPr id="28" name="Proceso alternativo 27"/>
        <xdr:cNvSpPr/>
      </xdr:nvSpPr>
      <xdr:spPr>
        <a:xfrm>
          <a:off x="4768850" y="2616200"/>
          <a:ext cx="1149350" cy="260350"/>
        </a:xfrm>
        <a:prstGeom prst="flowChartAlternateProcess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MX" sz="1200">
              <a:solidFill>
                <a:srgbClr val="002060"/>
              </a:solidFill>
              <a:latin typeface="+mj-lt"/>
            </a:rPr>
            <a:t>4.</a:t>
          </a:r>
          <a:r>
            <a:rPr lang="es-MX" sz="1200" baseline="0">
              <a:solidFill>
                <a:srgbClr val="002060"/>
              </a:solidFill>
              <a:latin typeface="+mj-lt"/>
            </a:rPr>
            <a:t> Inventario</a:t>
          </a:r>
          <a:endParaRPr lang="es-MX" sz="1200">
            <a:solidFill>
              <a:srgbClr val="002060"/>
            </a:solidFill>
            <a:latin typeface="+mj-lt"/>
          </a:endParaRPr>
        </a:p>
      </xdr:txBody>
    </xdr:sp>
    <xdr:clientData/>
  </xdr:twoCellAnchor>
  <xdr:twoCellAnchor>
    <xdr:from>
      <xdr:col>5</xdr:col>
      <xdr:colOff>127000</xdr:colOff>
      <xdr:row>16</xdr:row>
      <xdr:rowOff>50800</xdr:rowOff>
    </xdr:from>
    <xdr:to>
      <xdr:col>6</xdr:col>
      <xdr:colOff>311150</xdr:colOff>
      <xdr:row>17</xdr:row>
      <xdr:rowOff>127000</xdr:rowOff>
    </xdr:to>
    <xdr:sp macro="" textlink="">
      <xdr:nvSpPr>
        <xdr:cNvPr id="30" name="Proceso alternativo 29"/>
        <xdr:cNvSpPr/>
      </xdr:nvSpPr>
      <xdr:spPr>
        <a:xfrm>
          <a:off x="4768850" y="2997200"/>
          <a:ext cx="1149350" cy="260350"/>
        </a:xfrm>
        <a:prstGeom prst="flowChartAlternateProcess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MX" sz="1200">
              <a:solidFill>
                <a:srgbClr val="002060"/>
              </a:solidFill>
              <a:latin typeface="+mj-lt"/>
            </a:rPr>
            <a:t>5.</a:t>
          </a:r>
          <a:r>
            <a:rPr lang="es-MX" sz="1200" baseline="0">
              <a:solidFill>
                <a:srgbClr val="002060"/>
              </a:solidFill>
              <a:latin typeface="+mj-lt"/>
            </a:rPr>
            <a:t> Inventario</a:t>
          </a:r>
          <a:endParaRPr lang="es-MX" sz="1200">
            <a:solidFill>
              <a:srgbClr val="002060"/>
            </a:solidFill>
            <a:latin typeface="+mj-lt"/>
          </a:endParaRPr>
        </a:p>
      </xdr:txBody>
    </xdr:sp>
    <xdr:clientData/>
  </xdr:twoCellAnchor>
  <xdr:twoCellAnchor>
    <xdr:from>
      <xdr:col>5</xdr:col>
      <xdr:colOff>127000</xdr:colOff>
      <xdr:row>18</xdr:row>
      <xdr:rowOff>88900</xdr:rowOff>
    </xdr:from>
    <xdr:to>
      <xdr:col>6</xdr:col>
      <xdr:colOff>311150</xdr:colOff>
      <xdr:row>19</xdr:row>
      <xdr:rowOff>165100</xdr:rowOff>
    </xdr:to>
    <xdr:sp macro="" textlink="">
      <xdr:nvSpPr>
        <xdr:cNvPr id="31" name="Proceso alternativo 30"/>
        <xdr:cNvSpPr/>
      </xdr:nvSpPr>
      <xdr:spPr>
        <a:xfrm>
          <a:off x="4768850" y="3403600"/>
          <a:ext cx="1149350" cy="260350"/>
        </a:xfrm>
        <a:prstGeom prst="flowChartAlternateProcess">
          <a:avLst/>
        </a:prstGeom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r>
            <a:rPr lang="es-MX" sz="1200">
              <a:solidFill>
                <a:srgbClr val="002060"/>
              </a:solidFill>
              <a:latin typeface="+mj-lt"/>
            </a:rPr>
            <a:t>6.</a:t>
          </a:r>
          <a:r>
            <a:rPr lang="es-MX" sz="1200" baseline="0">
              <a:solidFill>
                <a:srgbClr val="002060"/>
              </a:solidFill>
              <a:latin typeface="+mj-lt"/>
            </a:rPr>
            <a:t> Inventario</a:t>
          </a:r>
          <a:endParaRPr lang="es-MX" sz="1200">
            <a:solidFill>
              <a:srgbClr val="002060"/>
            </a:solidFill>
            <a:latin typeface="+mj-lt"/>
          </a:endParaRPr>
        </a:p>
      </xdr:txBody>
    </xdr:sp>
    <xdr:clientData/>
  </xdr:twoCellAnchor>
  <xdr:twoCellAnchor>
    <xdr:from>
      <xdr:col>1</xdr:col>
      <xdr:colOff>622300</xdr:colOff>
      <xdr:row>3</xdr:row>
      <xdr:rowOff>69850</xdr:rowOff>
    </xdr:from>
    <xdr:to>
      <xdr:col>9</xdr:col>
      <xdr:colOff>254000</xdr:colOff>
      <xdr:row>22</xdr:row>
      <xdr:rowOff>114300</xdr:rowOff>
    </xdr:to>
    <xdr:sp macro="" textlink="">
      <xdr:nvSpPr>
        <xdr:cNvPr id="8" name="Rectángulo 7"/>
        <xdr:cNvSpPr/>
      </xdr:nvSpPr>
      <xdr:spPr>
        <a:xfrm>
          <a:off x="1504950" y="622300"/>
          <a:ext cx="8420100" cy="3543300"/>
        </a:xfrm>
        <a:prstGeom prst="rect">
          <a:avLst/>
        </a:prstGeom>
        <a:noFill/>
        <a:ln>
          <a:solidFill>
            <a:schemeClr val="tx1"/>
          </a:soli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2</xdr:col>
      <xdr:colOff>6350</xdr:colOff>
      <xdr:row>4</xdr:row>
      <xdr:rowOff>38100</xdr:rowOff>
    </xdr:from>
    <xdr:to>
      <xdr:col>2</xdr:col>
      <xdr:colOff>6350</xdr:colOff>
      <xdr:row>21</xdr:row>
      <xdr:rowOff>177800</xdr:rowOff>
    </xdr:to>
    <xdr:cxnSp macro="">
      <xdr:nvCxnSpPr>
        <xdr:cNvPr id="14" name="Conector recto 13"/>
        <xdr:cNvCxnSpPr/>
      </xdr:nvCxnSpPr>
      <xdr:spPr>
        <a:xfrm>
          <a:off x="1752600" y="774700"/>
          <a:ext cx="0" cy="3270250"/>
        </a:xfrm>
        <a:prstGeom prst="line">
          <a:avLst/>
        </a:prstGeom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784224</xdr:colOff>
      <xdr:row>5</xdr:row>
      <xdr:rowOff>87527</xdr:rowOff>
    </xdr:from>
    <xdr:to>
      <xdr:col>5</xdr:col>
      <xdr:colOff>127000</xdr:colOff>
      <xdr:row>8</xdr:row>
      <xdr:rowOff>73024</xdr:rowOff>
    </xdr:to>
    <xdr:cxnSp macro="">
      <xdr:nvCxnSpPr>
        <xdr:cNvPr id="32" name="Conector angular 31"/>
        <xdr:cNvCxnSpPr>
          <a:stCxn id="5" idx="5"/>
          <a:endCxn id="24" idx="1"/>
        </xdr:cNvCxnSpPr>
      </xdr:nvCxnSpPr>
      <xdr:spPr>
        <a:xfrm rot="10800000" flipH="1" flipV="1">
          <a:off x="4460874" y="1008277"/>
          <a:ext cx="307976" cy="537947"/>
        </a:xfrm>
        <a:prstGeom prst="bentConnector3">
          <a:avLst>
            <a:gd name="adj1" fmla="val -39175"/>
          </a:avLst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838200</xdr:colOff>
      <xdr:row>8</xdr:row>
      <xdr:rowOff>73025</xdr:rowOff>
    </xdr:from>
    <xdr:to>
      <xdr:col>6</xdr:col>
      <xdr:colOff>863600</xdr:colOff>
      <xdr:row>10</xdr:row>
      <xdr:rowOff>117475</xdr:rowOff>
    </xdr:to>
    <xdr:cxnSp macro="">
      <xdr:nvCxnSpPr>
        <xdr:cNvPr id="33" name="Conector angular 32"/>
        <xdr:cNvCxnSpPr>
          <a:stCxn id="24" idx="3"/>
          <a:endCxn id="25" idx="3"/>
        </xdr:cNvCxnSpPr>
      </xdr:nvCxnSpPr>
      <xdr:spPr>
        <a:xfrm>
          <a:off x="6445250" y="1546225"/>
          <a:ext cx="25400" cy="412750"/>
        </a:xfrm>
        <a:prstGeom prst="bentConnector3">
          <a:avLst>
            <a:gd name="adj1" fmla="val 725000"/>
          </a:avLst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127000</xdr:colOff>
      <xdr:row>10</xdr:row>
      <xdr:rowOff>117475</xdr:rowOff>
    </xdr:from>
    <xdr:to>
      <xdr:col>5</xdr:col>
      <xdr:colOff>139700</xdr:colOff>
      <xdr:row>12</xdr:row>
      <xdr:rowOff>155575</xdr:rowOff>
    </xdr:to>
    <xdr:cxnSp macro="">
      <xdr:nvCxnSpPr>
        <xdr:cNvPr id="37" name="Conector angular 36"/>
        <xdr:cNvCxnSpPr>
          <a:stCxn id="25" idx="1"/>
          <a:endCxn id="26" idx="1"/>
        </xdr:cNvCxnSpPr>
      </xdr:nvCxnSpPr>
      <xdr:spPr>
        <a:xfrm rot="10800000" flipV="1">
          <a:off x="4768850" y="1958975"/>
          <a:ext cx="12700" cy="406400"/>
        </a:xfrm>
        <a:prstGeom prst="bentConnector3">
          <a:avLst>
            <a:gd name="adj1" fmla="val 1450000"/>
          </a:avLst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127000</xdr:colOff>
      <xdr:row>14</xdr:row>
      <xdr:rowOff>168275</xdr:rowOff>
    </xdr:from>
    <xdr:to>
      <xdr:col>5</xdr:col>
      <xdr:colOff>139700</xdr:colOff>
      <xdr:row>16</xdr:row>
      <xdr:rowOff>180975</xdr:rowOff>
    </xdr:to>
    <xdr:cxnSp macro="">
      <xdr:nvCxnSpPr>
        <xdr:cNvPr id="39" name="Conector angular 38"/>
        <xdr:cNvCxnSpPr>
          <a:stCxn id="28" idx="1"/>
          <a:endCxn id="30" idx="1"/>
        </xdr:cNvCxnSpPr>
      </xdr:nvCxnSpPr>
      <xdr:spPr>
        <a:xfrm rot="10800000" flipV="1">
          <a:off x="4768850" y="2746375"/>
          <a:ext cx="12700" cy="381000"/>
        </a:xfrm>
        <a:prstGeom prst="bentConnector3">
          <a:avLst>
            <a:gd name="adj1" fmla="val 1550000"/>
          </a:avLst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311150</xdr:colOff>
      <xdr:row>12</xdr:row>
      <xdr:rowOff>155575</xdr:rowOff>
    </xdr:from>
    <xdr:to>
      <xdr:col>6</xdr:col>
      <xdr:colOff>1054100</xdr:colOff>
      <xdr:row>14</xdr:row>
      <xdr:rowOff>168275</xdr:rowOff>
    </xdr:to>
    <xdr:cxnSp macro="">
      <xdr:nvCxnSpPr>
        <xdr:cNvPr id="41" name="Conector angular 40"/>
        <xdr:cNvCxnSpPr>
          <a:stCxn id="26" idx="3"/>
          <a:endCxn id="28" idx="3"/>
        </xdr:cNvCxnSpPr>
      </xdr:nvCxnSpPr>
      <xdr:spPr>
        <a:xfrm flipH="1">
          <a:off x="5918200" y="2365375"/>
          <a:ext cx="742950" cy="381000"/>
        </a:xfrm>
        <a:prstGeom prst="bentConnector3">
          <a:avLst>
            <a:gd name="adj1" fmla="val -24786"/>
          </a:avLst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311150</xdr:colOff>
      <xdr:row>16</xdr:row>
      <xdr:rowOff>180975</xdr:rowOff>
    </xdr:from>
    <xdr:to>
      <xdr:col>6</xdr:col>
      <xdr:colOff>323850</xdr:colOff>
      <xdr:row>19</xdr:row>
      <xdr:rowOff>34925</xdr:rowOff>
    </xdr:to>
    <xdr:cxnSp macro="">
      <xdr:nvCxnSpPr>
        <xdr:cNvPr id="42" name="Conector angular 41"/>
        <xdr:cNvCxnSpPr>
          <a:stCxn id="30" idx="3"/>
          <a:endCxn id="31" idx="3"/>
        </xdr:cNvCxnSpPr>
      </xdr:nvCxnSpPr>
      <xdr:spPr>
        <a:xfrm>
          <a:off x="5918200" y="3127375"/>
          <a:ext cx="12700" cy="406400"/>
        </a:xfrm>
        <a:prstGeom prst="bentConnector3">
          <a:avLst>
            <a:gd name="adj1" fmla="val 1450000"/>
          </a:avLst>
        </a:prstGeom>
        <a:ln>
          <a:tailEnd type="triangle"/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45861</xdr:colOff>
      <xdr:row>0</xdr:row>
      <xdr:rowOff>261055</xdr:rowOff>
    </xdr:from>
    <xdr:to>
      <xdr:col>5</xdr:col>
      <xdr:colOff>0</xdr:colOff>
      <xdr:row>4</xdr:row>
      <xdr:rowOff>0</xdr:rowOff>
    </xdr:to>
    <xdr:sp macro="" textlink="">
      <xdr:nvSpPr>
        <xdr:cNvPr id="2" name="Flecha izquierda 1">
          <a:hlinkClick xmlns:r="http://schemas.openxmlformats.org/officeDocument/2006/relationships" r:id="rId1" tooltip="Regresa a la hoja principal"/>
        </xdr:cNvPr>
        <xdr:cNvSpPr/>
      </xdr:nvSpPr>
      <xdr:spPr>
        <a:xfrm>
          <a:off x="3319639" y="261055"/>
          <a:ext cx="1442861" cy="515056"/>
        </a:xfrm>
        <a:prstGeom prst="leftArrow">
          <a:avLst>
            <a:gd name="adj1" fmla="val 50000"/>
            <a:gd name="adj2" fmla="val 63208"/>
          </a:avLst>
        </a:prstGeom>
        <a:solidFill>
          <a:srgbClr val="0070C0"/>
        </a:solidFill>
        <a:effectLst>
          <a:outerShdw blurRad="50800" dist="38100" dir="8100000" algn="tr" rotWithShape="0">
            <a:prstClr val="black">
              <a:alpha val="40000"/>
            </a:prstClr>
          </a:outerShdw>
        </a:effectLst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400" b="1">
              <a:latin typeface="+mj-lt"/>
            </a:rPr>
            <a:t>Regresar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742950</xdr:colOff>
      <xdr:row>8</xdr:row>
      <xdr:rowOff>47625</xdr:rowOff>
    </xdr:from>
    <xdr:to>
      <xdr:col>4</xdr:col>
      <xdr:colOff>1066800</xdr:colOff>
      <xdr:row>11</xdr:row>
      <xdr:rowOff>19050</xdr:rowOff>
    </xdr:to>
    <xdr:sp macro="" textlink="">
      <xdr:nvSpPr>
        <xdr:cNvPr id="2" name="19 Rectángulo redondeado"/>
        <xdr:cNvSpPr/>
      </xdr:nvSpPr>
      <xdr:spPr>
        <a:xfrm>
          <a:off x="123825" y="1714500"/>
          <a:ext cx="4686300" cy="590550"/>
        </a:xfrm>
        <a:prstGeom prst="roundRect">
          <a:avLst/>
        </a:prstGeom>
        <a:noFill/>
        <a:ln w="952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MX" sz="1100">
            <a:ln w="9525">
              <a:solidFill>
                <a:schemeClr val="tx1"/>
              </a:solidFill>
            </a:ln>
          </a:endParaRPr>
        </a:p>
      </xdr:txBody>
    </xdr:sp>
    <xdr:clientData/>
  </xdr:twoCellAnchor>
  <xdr:twoCellAnchor>
    <xdr:from>
      <xdr:col>3</xdr:col>
      <xdr:colOff>1228725</xdr:colOff>
      <xdr:row>26</xdr:row>
      <xdr:rowOff>104775</xdr:rowOff>
    </xdr:from>
    <xdr:to>
      <xdr:col>4</xdr:col>
      <xdr:colOff>600075</xdr:colOff>
      <xdr:row>27</xdr:row>
      <xdr:rowOff>66675</xdr:rowOff>
    </xdr:to>
    <xdr:sp macro="" textlink="">
      <xdr:nvSpPr>
        <xdr:cNvPr id="3" name="Rectangle 3"/>
        <xdr:cNvSpPr>
          <a:spLocks noChangeArrowheads="1"/>
        </xdr:cNvSpPr>
      </xdr:nvSpPr>
      <xdr:spPr bwMode="auto">
        <a:xfrm>
          <a:off x="3743325" y="5276850"/>
          <a:ext cx="600075" cy="161925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2209800</xdr:colOff>
      <xdr:row>26</xdr:row>
      <xdr:rowOff>66675</xdr:rowOff>
    </xdr:from>
    <xdr:to>
      <xdr:col>4</xdr:col>
      <xdr:colOff>2695575</xdr:colOff>
      <xdr:row>27</xdr:row>
      <xdr:rowOff>57150</xdr:rowOff>
    </xdr:to>
    <xdr:sp macro="" textlink="">
      <xdr:nvSpPr>
        <xdr:cNvPr id="4" name="Rectangle 4"/>
        <xdr:cNvSpPr>
          <a:spLocks noChangeArrowheads="1"/>
        </xdr:cNvSpPr>
      </xdr:nvSpPr>
      <xdr:spPr bwMode="auto">
        <a:xfrm>
          <a:off x="5648325" y="5238750"/>
          <a:ext cx="0" cy="190500"/>
        </a:xfrm>
        <a:prstGeom prst="rect">
          <a:avLst/>
        </a:prstGeom>
        <a:solidFill>
          <a:srgbClr val="FFFFFF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1857375</xdr:colOff>
      <xdr:row>8</xdr:row>
      <xdr:rowOff>38099</xdr:rowOff>
    </xdr:from>
    <xdr:to>
      <xdr:col>8</xdr:col>
      <xdr:colOff>0</xdr:colOff>
      <xdr:row>11</xdr:row>
      <xdr:rowOff>38100</xdr:rowOff>
    </xdr:to>
    <xdr:sp macro="" textlink="">
      <xdr:nvSpPr>
        <xdr:cNvPr id="5" name="22 Rectángulo redondeado"/>
        <xdr:cNvSpPr/>
      </xdr:nvSpPr>
      <xdr:spPr>
        <a:xfrm>
          <a:off x="5600700" y="1704974"/>
          <a:ext cx="2314575" cy="619126"/>
        </a:xfrm>
        <a:prstGeom prst="roundRect">
          <a:avLst/>
        </a:prstGeom>
        <a:noFill/>
        <a:ln w="952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MX" sz="1100"/>
        </a:p>
      </xdr:txBody>
    </xdr:sp>
    <xdr:clientData/>
  </xdr:twoCellAnchor>
  <xdr:twoCellAnchor>
    <xdr:from>
      <xdr:col>6</xdr:col>
      <xdr:colOff>438150</xdr:colOff>
      <xdr:row>1</xdr:row>
      <xdr:rowOff>28575</xdr:rowOff>
    </xdr:from>
    <xdr:to>
      <xdr:col>8</xdr:col>
      <xdr:colOff>0</xdr:colOff>
      <xdr:row>2</xdr:row>
      <xdr:rowOff>142875</xdr:rowOff>
    </xdr:to>
    <xdr:sp macro="" textlink="">
      <xdr:nvSpPr>
        <xdr:cNvPr id="6" name="Text Box 5"/>
        <xdr:cNvSpPr txBox="1">
          <a:spLocks noChangeArrowheads="1"/>
        </xdr:cNvSpPr>
      </xdr:nvSpPr>
      <xdr:spPr bwMode="auto">
        <a:xfrm>
          <a:off x="6724650" y="219075"/>
          <a:ext cx="1190625" cy="34290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7432" rIns="27432" bIns="0" anchor="t" upright="1"/>
        <a:lstStyle/>
        <a:p>
          <a:pPr algn="ctr" rtl="0">
            <a:defRPr sz="1000"/>
          </a:pPr>
          <a:r>
            <a:rPr lang="es-ES" sz="1100" b="1" i="0" strike="noStrike">
              <a:solidFill>
                <a:srgbClr val="FFFFFF"/>
              </a:solidFill>
              <a:latin typeface="Arial"/>
              <a:cs typeface="Arial"/>
            </a:rPr>
            <a:t>PRESUPUEST</a:t>
          </a:r>
          <a:r>
            <a:rPr lang="es-ES" sz="2000" b="1" i="0" strike="noStrike">
              <a:solidFill>
                <a:srgbClr val="FFFFFF"/>
              </a:solidFill>
              <a:latin typeface="Arial"/>
              <a:cs typeface="Arial"/>
            </a:rPr>
            <a:t>O</a:t>
          </a:r>
        </a:p>
      </xdr:txBody>
    </xdr:sp>
    <xdr:clientData/>
  </xdr:twoCellAnchor>
  <xdr:twoCellAnchor>
    <xdr:from>
      <xdr:col>5</xdr:col>
      <xdr:colOff>9525</xdr:colOff>
      <xdr:row>0</xdr:row>
      <xdr:rowOff>180975</xdr:rowOff>
    </xdr:from>
    <xdr:to>
      <xdr:col>8</xdr:col>
      <xdr:colOff>0</xdr:colOff>
      <xdr:row>3</xdr:row>
      <xdr:rowOff>104775</xdr:rowOff>
    </xdr:to>
    <xdr:sp macro="" textlink="">
      <xdr:nvSpPr>
        <xdr:cNvPr id="7" name="WordArt 8"/>
        <xdr:cNvSpPr>
          <a:spLocks noChangeArrowheads="1" noChangeShapeType="1" noTextEdit="1"/>
        </xdr:cNvSpPr>
      </xdr:nvSpPr>
      <xdr:spPr bwMode="auto">
        <a:xfrm>
          <a:off x="5657850" y="180975"/>
          <a:ext cx="2257425" cy="533400"/>
        </a:xfrm>
        <a:prstGeom prst="rect">
          <a:avLst/>
        </a:prstGeom>
      </xdr:spPr>
      <xdr:txBody>
        <a:bodyPr wrap="none" fromWordArt="1">
          <a:prstTxWarp prst="textPlain">
            <a:avLst>
              <a:gd name="adj" fmla="val 50000"/>
            </a:avLst>
          </a:prstTxWarp>
        </a:bodyPr>
        <a:lstStyle/>
        <a:p>
          <a:pPr algn="ctr" rtl="0"/>
          <a:r>
            <a:rPr lang="es-ES" sz="3600" kern="10" spc="0">
              <a:ln w="6350">
                <a:noFill/>
                <a:round/>
                <a:headEnd/>
                <a:tailEnd/>
              </a:ln>
              <a:solidFill>
                <a:sysClr val="windowText" lastClr="000000"/>
              </a:solidFill>
              <a:effectLst/>
              <a:latin typeface="Arial Black"/>
            </a:rPr>
            <a:t>Salida de Material</a:t>
          </a:r>
          <a:r>
            <a:rPr lang="es-ES" sz="3600" kern="10" spc="0" baseline="0">
              <a:ln w="6350">
                <a:noFill/>
                <a:round/>
                <a:headEnd/>
                <a:tailEnd/>
              </a:ln>
              <a:solidFill>
                <a:sysClr val="windowText" lastClr="000000"/>
              </a:solidFill>
              <a:effectLst/>
              <a:latin typeface="Arial Black"/>
            </a:rPr>
            <a:t> y Herramienta</a:t>
          </a:r>
          <a:endParaRPr lang="es-ES" sz="3600" kern="10" spc="0">
            <a:ln w="6350">
              <a:noFill/>
              <a:round/>
              <a:headEnd/>
              <a:tailEnd/>
            </a:ln>
            <a:solidFill>
              <a:sysClr val="windowText" lastClr="000000"/>
            </a:solidFill>
            <a:effectLst/>
            <a:latin typeface="Arial Black"/>
          </a:endParaRPr>
        </a:p>
      </xdr:txBody>
    </xdr:sp>
    <xdr:clientData/>
  </xdr:twoCellAnchor>
  <xdr:twoCellAnchor>
    <xdr:from>
      <xdr:col>0</xdr:col>
      <xdr:colOff>114300</xdr:colOff>
      <xdr:row>5</xdr:row>
      <xdr:rowOff>190500</xdr:rowOff>
    </xdr:from>
    <xdr:to>
      <xdr:col>2</xdr:col>
      <xdr:colOff>2057401</xdr:colOff>
      <xdr:row>6</xdr:row>
      <xdr:rowOff>228600</xdr:rowOff>
    </xdr:to>
    <xdr:sp macro="" textlink="">
      <xdr:nvSpPr>
        <xdr:cNvPr id="8" name="26 Rectángulo redondeado"/>
        <xdr:cNvSpPr/>
      </xdr:nvSpPr>
      <xdr:spPr>
        <a:xfrm>
          <a:off x="114300" y="1257300"/>
          <a:ext cx="2828926" cy="295275"/>
        </a:xfrm>
        <a:prstGeom prst="roundRect">
          <a:avLst/>
        </a:prstGeom>
        <a:noFill/>
        <a:ln w="9525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s-MX" sz="1100">
            <a:ln w="9525">
              <a:solidFill>
                <a:schemeClr val="tx1"/>
              </a:solidFill>
            </a:ln>
          </a:endParaRPr>
        </a:p>
      </xdr:txBody>
    </xdr:sp>
    <xdr:clientData/>
  </xdr:twoCellAnchor>
  <xdr:twoCellAnchor>
    <xdr:from>
      <xdr:col>5</xdr:col>
      <xdr:colOff>628651</xdr:colOff>
      <xdr:row>3</xdr:row>
      <xdr:rowOff>104776</xdr:rowOff>
    </xdr:from>
    <xdr:to>
      <xdr:col>6</xdr:col>
      <xdr:colOff>733425</xdr:colOff>
      <xdr:row>5</xdr:row>
      <xdr:rowOff>85726</xdr:rowOff>
    </xdr:to>
    <xdr:sp macro="" textlink="">
      <xdr:nvSpPr>
        <xdr:cNvPr id="9" name="27 Rectángulo redondeado"/>
        <xdr:cNvSpPr/>
      </xdr:nvSpPr>
      <xdr:spPr>
        <a:xfrm>
          <a:off x="6276976" y="714376"/>
          <a:ext cx="742949" cy="438150"/>
        </a:xfrm>
        <a:prstGeom prst="roundRect">
          <a:avLst>
            <a:gd name="adj" fmla="val 0"/>
          </a:avLst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MX" sz="1400" b="1" cap="none" spc="0">
              <a:ln w="12700">
                <a:solidFill>
                  <a:schemeClr val="tx2">
                    <a:satMod val="155000"/>
                  </a:schemeClr>
                </a:solidFill>
                <a:prstDash val="solid"/>
              </a:ln>
              <a:solidFill>
                <a:schemeClr val="bg2">
                  <a:tint val="85000"/>
                  <a:satMod val="155000"/>
                </a:schemeClr>
              </a:solidFill>
              <a:effectLst>
                <a:outerShdw blurRad="41275" dist="20320" dir="1800000" algn="tl" rotWithShape="0">
                  <a:srgbClr val="000000">
                    <a:alpha val="40000"/>
                  </a:srgbClr>
                </a:outerShdw>
              </a:effectLst>
            </a:rPr>
            <a:t>No.</a:t>
          </a:r>
          <a:endParaRPr lang="es-MX" sz="1400"/>
        </a:p>
      </xdr:txBody>
    </xdr:sp>
    <xdr:clientData/>
  </xdr:twoCellAnchor>
  <xdr:oneCellAnchor>
    <xdr:from>
      <xdr:col>4</xdr:col>
      <xdr:colOff>1838325</xdr:colOff>
      <xdr:row>5</xdr:row>
      <xdr:rowOff>38100</xdr:rowOff>
    </xdr:from>
    <xdr:ext cx="775149" cy="217560"/>
    <xdr:sp macro="" textlink="">
      <xdr:nvSpPr>
        <xdr:cNvPr id="10" name="29 CuadroTexto"/>
        <xdr:cNvSpPr txBox="1"/>
      </xdr:nvSpPr>
      <xdr:spPr>
        <a:xfrm>
          <a:off x="5581650" y="1104900"/>
          <a:ext cx="775149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800"/>
            <a:t>         consumo</a:t>
          </a:r>
        </a:p>
      </xdr:txBody>
    </xdr:sp>
    <xdr:clientData/>
  </xdr:oneCellAnchor>
  <xdr:twoCellAnchor>
    <xdr:from>
      <xdr:col>7</xdr:col>
      <xdr:colOff>28575</xdr:colOff>
      <xdr:row>5</xdr:row>
      <xdr:rowOff>47625</xdr:rowOff>
    </xdr:from>
    <xdr:to>
      <xdr:col>7</xdr:col>
      <xdr:colOff>152400</xdr:colOff>
      <xdr:row>5</xdr:row>
      <xdr:rowOff>228600</xdr:rowOff>
    </xdr:to>
    <xdr:sp macro="" textlink="">
      <xdr:nvSpPr>
        <xdr:cNvPr id="11" name="35 Rectángulo"/>
        <xdr:cNvSpPr/>
      </xdr:nvSpPr>
      <xdr:spPr>
        <a:xfrm>
          <a:off x="7077075" y="1114425"/>
          <a:ext cx="123825" cy="180975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s-MX" sz="1100"/>
        </a:p>
      </xdr:txBody>
    </xdr:sp>
    <xdr:clientData/>
  </xdr:twoCellAnchor>
  <xdr:twoCellAnchor>
    <xdr:from>
      <xdr:col>6</xdr:col>
      <xdr:colOff>47625</xdr:colOff>
      <xdr:row>5</xdr:row>
      <xdr:rowOff>38100</xdr:rowOff>
    </xdr:from>
    <xdr:to>
      <xdr:col>6</xdr:col>
      <xdr:colOff>171450</xdr:colOff>
      <xdr:row>5</xdr:row>
      <xdr:rowOff>219075</xdr:rowOff>
    </xdr:to>
    <xdr:sp macro="" textlink="">
      <xdr:nvSpPr>
        <xdr:cNvPr id="12" name="37 Rectángulo"/>
        <xdr:cNvSpPr/>
      </xdr:nvSpPr>
      <xdr:spPr>
        <a:xfrm>
          <a:off x="6334125" y="1104900"/>
          <a:ext cx="123825" cy="180975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s-MX" sz="1100"/>
        </a:p>
      </xdr:txBody>
    </xdr:sp>
    <xdr:clientData/>
  </xdr:twoCellAnchor>
  <xdr:twoCellAnchor>
    <xdr:from>
      <xdr:col>2</xdr:col>
      <xdr:colOff>57150</xdr:colOff>
      <xdr:row>0</xdr:row>
      <xdr:rowOff>66675</xdr:rowOff>
    </xdr:from>
    <xdr:to>
      <xdr:col>3</xdr:col>
      <xdr:colOff>752475</xdr:colOff>
      <xdr:row>5</xdr:row>
      <xdr:rowOff>85725</xdr:rowOff>
    </xdr:to>
    <xdr:sp macro="" textlink="">
      <xdr:nvSpPr>
        <xdr:cNvPr id="13" name="Text Box 10"/>
        <xdr:cNvSpPr txBox="1">
          <a:spLocks noChangeArrowheads="1"/>
        </xdr:cNvSpPr>
      </xdr:nvSpPr>
      <xdr:spPr bwMode="auto">
        <a:xfrm>
          <a:off x="942975" y="66675"/>
          <a:ext cx="2781300" cy="108585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s-ES" sz="1200" b="1" i="0" strike="noStrike">
              <a:solidFill>
                <a:sysClr val="windowText" lastClr="000000"/>
              </a:solidFill>
              <a:latin typeface="Arial"/>
              <a:cs typeface="Arial"/>
            </a:rPr>
            <a:t>Desarrolladora M, SA</a:t>
          </a:r>
          <a:r>
            <a:rPr lang="es-ES" sz="1200" b="1" i="0" strike="noStrike" baseline="0">
              <a:solidFill>
                <a:sysClr val="windowText" lastClr="000000"/>
              </a:solidFill>
              <a:latin typeface="Arial"/>
              <a:cs typeface="Arial"/>
            </a:rPr>
            <a:t> de CV</a:t>
          </a:r>
          <a:endParaRPr lang="es-ES" sz="1200" b="1" i="0" strike="noStrike">
            <a:solidFill>
              <a:sysClr val="windowText" lastClr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s-ES" sz="1000" b="0" i="0" strike="noStrike">
            <a:solidFill>
              <a:sysClr val="windowText" lastClr="000000"/>
            </a:solidFill>
            <a:latin typeface="Arial"/>
            <a:cs typeface="Arial"/>
          </a:endParaRPr>
        </a:p>
        <a:p>
          <a:pPr algn="l" rtl="0">
            <a:defRPr sz="1000"/>
          </a:pPr>
          <a:r>
            <a:rPr lang="es-ES" sz="1000" b="0" i="0" strike="noStrike">
              <a:solidFill>
                <a:sysClr val="windowText" lastClr="000000"/>
              </a:solidFill>
              <a:latin typeface="Arial"/>
              <a:cs typeface="Arial"/>
            </a:rPr>
            <a:t>Dirección:</a:t>
          </a:r>
        </a:p>
        <a:p>
          <a:pPr algn="l" rtl="0">
            <a:defRPr sz="1000"/>
          </a:pPr>
          <a:r>
            <a:rPr lang="es-ES" sz="1000" b="0" i="0" strike="noStrike" baseline="0">
              <a:solidFill>
                <a:sysClr val="windowText" lastClr="000000"/>
              </a:solidFill>
              <a:latin typeface="Arial"/>
              <a:cs typeface="Arial"/>
            </a:rPr>
            <a:t>Ruiz Cortinez km 2  bodega 32</a:t>
          </a:r>
        </a:p>
        <a:p>
          <a:pPr algn="l" rtl="0">
            <a:defRPr sz="1000"/>
          </a:pPr>
          <a:r>
            <a:rPr lang="es-ES" sz="1000" b="0" i="0" strike="noStrike" baseline="0">
              <a:solidFill>
                <a:sysClr val="windowText" lastClr="000000"/>
              </a:solidFill>
              <a:latin typeface="Arial"/>
              <a:cs typeface="Arial"/>
            </a:rPr>
            <a:t>Col. Villa de San Antonio, Gpe, N.L.</a:t>
          </a:r>
        </a:p>
        <a:p>
          <a:pPr algn="l" rtl="0">
            <a:defRPr sz="1000"/>
          </a:pPr>
          <a:r>
            <a:rPr lang="es-ES" sz="1000" b="0" i="0" strike="noStrike" baseline="0">
              <a:solidFill>
                <a:sysClr val="windowText" lastClr="000000"/>
              </a:solidFill>
              <a:latin typeface="Arial"/>
              <a:cs typeface="Arial"/>
            </a:rPr>
            <a:t>Tel. (0181) 81408962 </a:t>
          </a:r>
        </a:p>
        <a:p>
          <a:pPr algn="l" rtl="0">
            <a:defRPr sz="1000"/>
          </a:pPr>
          <a:endParaRPr lang="es-ES" sz="1000" b="0" i="0" strike="noStrike">
            <a:solidFill>
              <a:srgbClr val="002060"/>
            </a:solidFill>
            <a:latin typeface="Arial"/>
            <a:cs typeface="Arial"/>
          </a:endParaRPr>
        </a:p>
      </xdr:txBody>
    </xdr:sp>
    <xdr:clientData/>
  </xdr:twoCellAnchor>
  <xdr:twoCellAnchor editAs="oneCell">
    <xdr:from>
      <xdr:col>1</xdr:col>
      <xdr:colOff>9525</xdr:colOff>
      <xdr:row>0</xdr:row>
      <xdr:rowOff>104774</xdr:rowOff>
    </xdr:from>
    <xdr:to>
      <xdr:col>2</xdr:col>
      <xdr:colOff>47625</xdr:colOff>
      <xdr:row>4</xdr:row>
      <xdr:rowOff>190499</xdr:rowOff>
    </xdr:to>
    <xdr:pic>
      <xdr:nvPicPr>
        <xdr:cNvPr id="14" name="40 Image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104774"/>
          <a:ext cx="800100" cy="885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1514475</xdr:colOff>
      <xdr:row>193</xdr:row>
      <xdr:rowOff>180975</xdr:rowOff>
    </xdr:from>
    <xdr:to>
      <xdr:col>3</xdr:col>
      <xdr:colOff>238125</xdr:colOff>
      <xdr:row>193</xdr:row>
      <xdr:rowOff>180975</xdr:rowOff>
    </xdr:to>
    <xdr:cxnSp macro="">
      <xdr:nvCxnSpPr>
        <xdr:cNvPr id="15" name="11 Conector recto"/>
        <xdr:cNvCxnSpPr/>
      </xdr:nvCxnSpPr>
      <xdr:spPr>
        <a:xfrm>
          <a:off x="2400300" y="37052250"/>
          <a:ext cx="80962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428625</xdr:colOff>
      <xdr:row>193</xdr:row>
      <xdr:rowOff>171450</xdr:rowOff>
    </xdr:from>
    <xdr:to>
      <xdr:col>4</xdr:col>
      <xdr:colOff>733425</xdr:colOff>
      <xdr:row>193</xdr:row>
      <xdr:rowOff>171450</xdr:rowOff>
    </xdr:to>
    <xdr:cxnSp macro="">
      <xdr:nvCxnSpPr>
        <xdr:cNvPr id="16" name="43 Conector recto"/>
        <xdr:cNvCxnSpPr/>
      </xdr:nvCxnSpPr>
      <xdr:spPr>
        <a:xfrm>
          <a:off x="4171950" y="37042725"/>
          <a:ext cx="30480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723900</xdr:colOff>
      <xdr:row>195</xdr:row>
      <xdr:rowOff>38100</xdr:rowOff>
    </xdr:from>
    <xdr:to>
      <xdr:col>3</xdr:col>
      <xdr:colOff>723900</xdr:colOff>
      <xdr:row>196</xdr:row>
      <xdr:rowOff>171450</xdr:rowOff>
    </xdr:to>
    <xdr:cxnSp macro="">
      <xdr:nvCxnSpPr>
        <xdr:cNvPr id="17" name="45 Conector recto"/>
        <xdr:cNvCxnSpPr/>
      </xdr:nvCxnSpPr>
      <xdr:spPr>
        <a:xfrm flipV="1">
          <a:off x="3695700" y="37290375"/>
          <a:ext cx="0" cy="32385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695325</xdr:colOff>
      <xdr:row>207</xdr:row>
      <xdr:rowOff>28575</xdr:rowOff>
    </xdr:from>
    <xdr:to>
      <xdr:col>4</xdr:col>
      <xdr:colOff>1000125</xdr:colOff>
      <xdr:row>207</xdr:row>
      <xdr:rowOff>28575</xdr:rowOff>
    </xdr:to>
    <xdr:cxnSp macro="">
      <xdr:nvCxnSpPr>
        <xdr:cNvPr id="18" name="47 Conector recto"/>
        <xdr:cNvCxnSpPr/>
      </xdr:nvCxnSpPr>
      <xdr:spPr>
        <a:xfrm>
          <a:off x="4438650" y="39566850"/>
          <a:ext cx="304800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695325</xdr:colOff>
      <xdr:row>199</xdr:row>
      <xdr:rowOff>104775</xdr:rowOff>
    </xdr:from>
    <xdr:to>
      <xdr:col>3</xdr:col>
      <xdr:colOff>695325</xdr:colOff>
      <xdr:row>201</xdr:row>
      <xdr:rowOff>47625</xdr:rowOff>
    </xdr:to>
    <xdr:cxnSp macro="">
      <xdr:nvCxnSpPr>
        <xdr:cNvPr id="19" name="49 Conector recto"/>
        <xdr:cNvCxnSpPr/>
      </xdr:nvCxnSpPr>
      <xdr:spPr>
        <a:xfrm flipV="1">
          <a:off x="3667125" y="38119050"/>
          <a:ext cx="0" cy="32385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714375</xdr:colOff>
      <xdr:row>203</xdr:row>
      <xdr:rowOff>180975</xdr:rowOff>
    </xdr:from>
    <xdr:to>
      <xdr:col>3</xdr:col>
      <xdr:colOff>714375</xdr:colOff>
      <xdr:row>205</xdr:row>
      <xdr:rowOff>123825</xdr:rowOff>
    </xdr:to>
    <xdr:cxnSp macro="">
      <xdr:nvCxnSpPr>
        <xdr:cNvPr id="20" name="50 Conector recto"/>
        <xdr:cNvCxnSpPr/>
      </xdr:nvCxnSpPr>
      <xdr:spPr>
        <a:xfrm flipV="1">
          <a:off x="3686175" y="38957250"/>
          <a:ext cx="0" cy="32385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400050</xdr:colOff>
      <xdr:row>190</xdr:row>
      <xdr:rowOff>161926</xdr:rowOff>
    </xdr:from>
    <xdr:to>
      <xdr:col>3</xdr:col>
      <xdr:colOff>0</xdr:colOff>
      <xdr:row>195</xdr:row>
      <xdr:rowOff>142876</xdr:rowOff>
    </xdr:to>
    <xdr:sp macro="" textlink="">
      <xdr:nvSpPr>
        <xdr:cNvPr id="21" name="1 Rectángulo redondeado"/>
        <xdr:cNvSpPr/>
      </xdr:nvSpPr>
      <xdr:spPr>
        <a:xfrm>
          <a:off x="1285875" y="36461701"/>
          <a:ext cx="1685925" cy="933450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REPORTE</a:t>
          </a:r>
        </a:p>
        <a:p>
          <a:pPr algn="ctr"/>
          <a:r>
            <a:rPr lang="es-MX" sz="1100"/>
            <a:t>SUPERVISOR</a:t>
          </a:r>
        </a:p>
        <a:p>
          <a:pPr algn="ctr"/>
          <a:endParaRPr lang="es-MX" sz="1100"/>
        </a:p>
      </xdr:txBody>
    </xdr:sp>
    <xdr:clientData/>
  </xdr:twoCellAnchor>
  <xdr:twoCellAnchor>
    <xdr:from>
      <xdr:col>3</xdr:col>
      <xdr:colOff>104775</xdr:colOff>
      <xdr:row>190</xdr:row>
      <xdr:rowOff>161926</xdr:rowOff>
    </xdr:from>
    <xdr:to>
      <xdr:col>4</xdr:col>
      <xdr:colOff>561975</xdr:colOff>
      <xdr:row>195</xdr:row>
      <xdr:rowOff>161926</xdr:rowOff>
    </xdr:to>
    <xdr:sp macro="" textlink="">
      <xdr:nvSpPr>
        <xdr:cNvPr id="22" name="25 Rectángulo redondeado"/>
        <xdr:cNvSpPr/>
      </xdr:nvSpPr>
      <xdr:spPr>
        <a:xfrm>
          <a:off x="3076575" y="36461701"/>
          <a:ext cx="1228725" cy="952500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LLENAR</a:t>
          </a:r>
          <a:r>
            <a:rPr lang="es-MX" sz="1100" baseline="0"/>
            <a:t> FORMATO REQUISICIÓN</a:t>
          </a:r>
        </a:p>
        <a:p>
          <a:pPr algn="ctr"/>
          <a:endParaRPr lang="es-MX" sz="1100"/>
        </a:p>
      </xdr:txBody>
    </xdr:sp>
    <xdr:clientData/>
  </xdr:twoCellAnchor>
  <xdr:twoCellAnchor>
    <xdr:from>
      <xdr:col>4</xdr:col>
      <xdr:colOff>676274</xdr:colOff>
      <xdr:row>191</xdr:row>
      <xdr:rowOff>0</xdr:rowOff>
    </xdr:from>
    <xdr:to>
      <xdr:col>5</xdr:col>
      <xdr:colOff>180975</xdr:colOff>
      <xdr:row>195</xdr:row>
      <xdr:rowOff>142875</xdr:rowOff>
    </xdr:to>
    <xdr:sp macro="" textlink="">
      <xdr:nvSpPr>
        <xdr:cNvPr id="23" name="28 Rectángulo redondeado"/>
        <xdr:cNvSpPr/>
      </xdr:nvSpPr>
      <xdr:spPr>
        <a:xfrm>
          <a:off x="4419599" y="36490275"/>
          <a:ext cx="1409701" cy="904875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FIRMA REQUISICION</a:t>
          </a:r>
        </a:p>
        <a:p>
          <a:pPr algn="ctr"/>
          <a:r>
            <a:rPr lang="es-MX" sz="1100"/>
            <a:t>AUT.</a:t>
          </a:r>
          <a:r>
            <a:rPr lang="es-MX" sz="1100" baseline="0"/>
            <a:t> JEFE DEPT.</a:t>
          </a:r>
        </a:p>
        <a:p>
          <a:pPr algn="ctr"/>
          <a:endParaRPr lang="es-MX" sz="1100"/>
        </a:p>
      </xdr:txBody>
    </xdr:sp>
    <xdr:clientData/>
  </xdr:twoCellAnchor>
  <xdr:twoCellAnchor>
    <xdr:from>
      <xdr:col>2</xdr:col>
      <xdr:colOff>1524000</xdr:colOff>
      <xdr:row>196</xdr:row>
      <xdr:rowOff>28575</xdr:rowOff>
    </xdr:from>
    <xdr:to>
      <xdr:col>4</xdr:col>
      <xdr:colOff>676275</xdr:colOff>
      <xdr:row>200</xdr:row>
      <xdr:rowOff>133350</xdr:rowOff>
    </xdr:to>
    <xdr:sp macro="" textlink="">
      <xdr:nvSpPr>
        <xdr:cNvPr id="24" name="31 Rectángulo redondeado"/>
        <xdr:cNvSpPr/>
      </xdr:nvSpPr>
      <xdr:spPr>
        <a:xfrm>
          <a:off x="2409825" y="37471350"/>
          <a:ext cx="2009775" cy="866775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ENTREGA DE REQUISICION</a:t>
          </a:r>
          <a:r>
            <a:rPr lang="es-MX" sz="1100" baseline="0"/>
            <a:t> EN ALMACEN</a:t>
          </a:r>
        </a:p>
        <a:p>
          <a:pPr algn="ctr"/>
          <a:r>
            <a:rPr lang="es-MX" sz="1100"/>
            <a:t>CARLOS</a:t>
          </a:r>
        </a:p>
      </xdr:txBody>
    </xdr:sp>
    <xdr:clientData/>
  </xdr:twoCellAnchor>
  <xdr:twoCellAnchor>
    <xdr:from>
      <xdr:col>2</xdr:col>
      <xdr:colOff>1562100</xdr:colOff>
      <xdr:row>201</xdr:row>
      <xdr:rowOff>9525</xdr:rowOff>
    </xdr:from>
    <xdr:to>
      <xdr:col>4</xdr:col>
      <xdr:colOff>714375</xdr:colOff>
      <xdr:row>204</xdr:row>
      <xdr:rowOff>114300</xdr:rowOff>
    </xdr:to>
    <xdr:sp macro="" textlink="">
      <xdr:nvSpPr>
        <xdr:cNvPr id="25" name="32 Rectángulo redondeado"/>
        <xdr:cNvSpPr/>
      </xdr:nvSpPr>
      <xdr:spPr>
        <a:xfrm>
          <a:off x="2447925" y="38404800"/>
          <a:ext cx="2009775" cy="676275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ELABORACION</a:t>
          </a:r>
          <a:r>
            <a:rPr lang="es-MX" sz="1100" baseline="0"/>
            <a:t> DE ORDEN DE COMPRA</a:t>
          </a:r>
        </a:p>
        <a:p>
          <a:pPr algn="ctr"/>
          <a:r>
            <a:rPr lang="es-MX" sz="1100" baseline="0"/>
            <a:t>LAURA</a:t>
          </a:r>
          <a:endParaRPr lang="es-MX" sz="1100"/>
        </a:p>
      </xdr:txBody>
    </xdr:sp>
    <xdr:clientData/>
  </xdr:twoCellAnchor>
  <xdr:twoCellAnchor>
    <xdr:from>
      <xdr:col>3</xdr:col>
      <xdr:colOff>0</xdr:colOff>
      <xdr:row>205</xdr:row>
      <xdr:rowOff>28575</xdr:rowOff>
    </xdr:from>
    <xdr:to>
      <xdr:col>4</xdr:col>
      <xdr:colOff>733425</xdr:colOff>
      <xdr:row>209</xdr:row>
      <xdr:rowOff>171450</xdr:rowOff>
    </xdr:to>
    <xdr:sp macro="" textlink="">
      <xdr:nvSpPr>
        <xdr:cNvPr id="26" name="33 Rectángulo redondeado"/>
        <xdr:cNvSpPr/>
      </xdr:nvSpPr>
      <xdr:spPr>
        <a:xfrm>
          <a:off x="2971800" y="39185850"/>
          <a:ext cx="1504950" cy="904875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MX" sz="1100"/>
            <a:t>SEGUIMIENTO</a:t>
          </a:r>
          <a:r>
            <a:rPr lang="es-MX" sz="1100" baseline="0"/>
            <a:t> DE ORDEN DE COMPRA</a:t>
          </a:r>
        </a:p>
        <a:p>
          <a:pPr algn="ctr"/>
          <a:r>
            <a:rPr lang="es-MX" sz="1100" baseline="0"/>
            <a:t>ING. LUIS / REYNALDO</a:t>
          </a:r>
          <a:endParaRPr lang="es-MX" sz="1100"/>
        </a:p>
      </xdr:txBody>
    </xdr:sp>
    <xdr:clientData/>
  </xdr:twoCellAnchor>
  <xdr:twoCellAnchor>
    <xdr:from>
      <xdr:col>4</xdr:col>
      <xdr:colOff>933450</xdr:colOff>
      <xdr:row>204</xdr:row>
      <xdr:rowOff>152400</xdr:rowOff>
    </xdr:from>
    <xdr:to>
      <xdr:col>5</xdr:col>
      <xdr:colOff>523875</xdr:colOff>
      <xdr:row>209</xdr:row>
      <xdr:rowOff>19049</xdr:rowOff>
    </xdr:to>
    <xdr:sp macro="" textlink="">
      <xdr:nvSpPr>
        <xdr:cNvPr id="27" name="34 Rectángulo redondeado"/>
        <xdr:cNvSpPr/>
      </xdr:nvSpPr>
      <xdr:spPr>
        <a:xfrm>
          <a:off x="4676775" y="39119175"/>
          <a:ext cx="1495425" cy="819149"/>
        </a:xfrm>
        <a:prstGeom prst="roundRect">
          <a:avLst/>
        </a:prstGeom>
        <a:ln>
          <a:solidFill>
            <a:schemeClr val="tx1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MX" sz="1000"/>
            <a:t>ENTREGA DE MATERIAL EN BODEGA Y/O</a:t>
          </a:r>
          <a:r>
            <a:rPr lang="es-MX" sz="1000" baseline="0"/>
            <a:t> SUPERVISOR  </a:t>
          </a:r>
          <a:endParaRPr lang="es-MX" sz="1000"/>
        </a:p>
      </xdr:txBody>
    </xdr:sp>
    <xdr:clientData/>
  </xdr:twoCellAnchor>
  <xdr:twoCellAnchor>
    <xdr:from>
      <xdr:col>5</xdr:col>
      <xdr:colOff>47625</xdr:colOff>
      <xdr:row>5</xdr:row>
      <xdr:rowOff>47625</xdr:rowOff>
    </xdr:from>
    <xdr:to>
      <xdr:col>5</xdr:col>
      <xdr:colOff>171450</xdr:colOff>
      <xdr:row>5</xdr:row>
      <xdr:rowOff>228600</xdr:rowOff>
    </xdr:to>
    <xdr:sp macro="" textlink="">
      <xdr:nvSpPr>
        <xdr:cNvPr id="28" name="37 Rectángulo"/>
        <xdr:cNvSpPr/>
      </xdr:nvSpPr>
      <xdr:spPr>
        <a:xfrm>
          <a:off x="5695950" y="1114425"/>
          <a:ext cx="123825" cy="180975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s-MX" sz="1100"/>
        </a:p>
      </xdr:txBody>
    </xdr:sp>
    <xdr:clientData/>
  </xdr:twoCellAnchor>
  <xdr:twoCellAnchor>
    <xdr:from>
      <xdr:col>5</xdr:col>
      <xdr:colOff>38100</xdr:colOff>
      <xdr:row>6</xdr:row>
      <xdr:rowOff>47625</xdr:rowOff>
    </xdr:from>
    <xdr:to>
      <xdr:col>5</xdr:col>
      <xdr:colOff>161925</xdr:colOff>
      <xdr:row>6</xdr:row>
      <xdr:rowOff>228600</xdr:rowOff>
    </xdr:to>
    <xdr:sp macro="" textlink="">
      <xdr:nvSpPr>
        <xdr:cNvPr id="29" name="37 Rectángulo"/>
        <xdr:cNvSpPr/>
      </xdr:nvSpPr>
      <xdr:spPr>
        <a:xfrm>
          <a:off x="5686425" y="1371600"/>
          <a:ext cx="123825" cy="180975"/>
        </a:xfrm>
        <a:prstGeom prst="rect">
          <a:avLst/>
        </a:prstGeom>
        <a:noFill/>
        <a:ln w="3175"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s-MX" sz="1100"/>
        </a:p>
      </xdr:txBody>
    </xdr:sp>
    <xdr:clientData/>
  </xdr:twoCellAnchor>
  <xdr:oneCellAnchor>
    <xdr:from>
      <xdr:col>5</xdr:col>
      <xdr:colOff>619125</xdr:colOff>
      <xdr:row>5</xdr:row>
      <xdr:rowOff>38100</xdr:rowOff>
    </xdr:from>
    <xdr:ext cx="794000" cy="217560"/>
    <xdr:sp macro="" textlink="">
      <xdr:nvSpPr>
        <xdr:cNvPr id="30" name="29 CuadroTexto"/>
        <xdr:cNvSpPr txBox="1"/>
      </xdr:nvSpPr>
      <xdr:spPr>
        <a:xfrm>
          <a:off x="6267450" y="1104900"/>
          <a:ext cx="794000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800"/>
            <a:t>         prestamo</a:t>
          </a:r>
        </a:p>
      </xdr:txBody>
    </xdr:sp>
    <xdr:clientData/>
  </xdr:oneCellAnchor>
  <xdr:oneCellAnchor>
    <xdr:from>
      <xdr:col>4</xdr:col>
      <xdr:colOff>1866900</xdr:colOff>
      <xdr:row>6</xdr:row>
      <xdr:rowOff>57150</xdr:rowOff>
    </xdr:from>
    <xdr:ext cx="1005660" cy="468013"/>
    <xdr:sp macro="" textlink="">
      <xdr:nvSpPr>
        <xdr:cNvPr id="31" name="29 CuadroTexto"/>
        <xdr:cNvSpPr txBox="1"/>
      </xdr:nvSpPr>
      <xdr:spPr>
        <a:xfrm>
          <a:off x="5610225" y="1381125"/>
          <a:ext cx="100566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800"/>
            <a:t>         descompuesto</a:t>
          </a:r>
        </a:p>
        <a:p>
          <a:endParaRPr lang="es-MX" sz="800" baseline="0"/>
        </a:p>
        <a:p>
          <a:endParaRPr lang="es-MX" sz="800"/>
        </a:p>
      </xdr:txBody>
    </xdr:sp>
    <xdr:clientData/>
  </xdr:oneCellAnchor>
  <xdr:oneCellAnchor>
    <xdr:from>
      <xdr:col>6</xdr:col>
      <xdr:colOff>752475</xdr:colOff>
      <xdr:row>5</xdr:row>
      <xdr:rowOff>28575</xdr:rowOff>
    </xdr:from>
    <xdr:ext cx="969240" cy="217560"/>
    <xdr:sp macro="" textlink="">
      <xdr:nvSpPr>
        <xdr:cNvPr id="32" name="29 CuadroTexto"/>
        <xdr:cNvSpPr txBox="1"/>
      </xdr:nvSpPr>
      <xdr:spPr>
        <a:xfrm>
          <a:off x="7038975" y="1095375"/>
          <a:ext cx="969240" cy="217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800"/>
            <a:t>     dev.</a:t>
          </a:r>
          <a:r>
            <a:rPr lang="es-MX" sz="800" baseline="0"/>
            <a:t> x prestamo</a:t>
          </a:r>
          <a:endParaRPr lang="es-MX" sz="800"/>
        </a:p>
      </xdr:txBody>
    </xdr:sp>
    <xdr:clientData/>
  </xdr:oneCellAnchor>
</xdr:wsDr>
</file>

<file path=xl/tables/table1.xml><?xml version="1.0" encoding="utf-8"?>
<table xmlns="http://schemas.openxmlformats.org/spreadsheetml/2006/main" id="1" name="Tabla1" displayName="Tabla1" ref="A3:I8" totalsRowShown="0" headerRowDxfId="36">
  <autoFilter ref="A3:I8"/>
  <sortState ref="A4:I7">
    <sortCondition ref="A3:A7"/>
  </sortState>
  <tableColumns count="9">
    <tableColumn id="1" name="ID" dataDxfId="35">
      <calculatedColumnFormula>ROW()-3</calculatedColumnFormula>
    </tableColumn>
    <tableColumn id="2" name="Nombre del Proyecto / Cliente"/>
    <tableColumn id="3" name="Dirección / Ubicación"/>
    <tableColumn id="4" name="Supervisor de Obra"/>
    <tableColumn id="8" name="Administrador de Obra"/>
    <tableColumn id="5" name="No. De Edificios"/>
    <tableColumn id="6" name="Tipo de Edificio"/>
    <tableColumn id="7" name="Fecha de Inicio"/>
    <tableColumn id="9" name="Fecha de Fin"/>
  </tableColumns>
  <tableStyleInfo name="TableStyleMedium11" showFirstColumn="0" showLastColumn="0" showRowStripes="1" showColumnStripes="0"/>
</table>
</file>

<file path=xl/tables/table2.xml><?xml version="1.0" encoding="utf-8"?>
<table xmlns="http://schemas.openxmlformats.org/spreadsheetml/2006/main" id="2" name="Tabla2" displayName="Tabla2" ref="J3:K44" totalsRowShown="0" headerRowDxfId="34" dataDxfId="33" headerRowCellStyle="Buena">
  <tableColumns count="2">
    <tableColumn id="1" name="ID" dataDxfId="32"/>
    <tableColumn id="2" name="Dormitorios Generales" dataDxfId="31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3" name="Tabla3" displayName="Tabla3" ref="M3:N49" totalsRowShown="0" headerRowDxfId="30" headerRowCellStyle="Buena">
  <tableColumns count="2">
    <tableColumn id="1" name="ID" dataDxfId="29"/>
    <tableColumn id="2" name="Comedor" dataDxfId="28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id="4" name="Tabla4" displayName="Tabla4" ref="P3:Q25" totalsRowShown="0" headerRowDxfId="27" headerRowCellStyle="Buena">
  <tableColumns count="2">
    <tableColumn id="1" name="ID" dataDxfId="26"/>
    <tableColumn id="2" name="Alojamiento De Guardia " dataDxfId="25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id="5" name="Tabla5" displayName="Tabla5" ref="S3:T45" totalsRowShown="0" headerRowDxfId="24" headerRowCellStyle="Buena">
  <tableColumns count="2">
    <tableColumn id="1" name="ID" dataDxfId="23"/>
    <tableColumn id="2" name="Sanidad" dataDxfId="22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id="6" name="Tabla6" displayName="Tabla6" ref="V3:W23" totalsRowShown="0" headerRowDxfId="21" headerRowCellStyle="Buena">
  <tableColumns count="2">
    <tableColumn id="1" name="ID" dataDxfId="20"/>
    <tableColumn id="2" name="Servicios" dataDxfId="19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id="7" name="Tabla7" displayName="Tabla7" ref="Y3:Z41" totalsRowShown="0">
  <tableColumns count="2">
    <tableColumn id="1" name="ID" dataDxfId="18"/>
    <tableColumn id="2" name="Comedor Y Alojamiento Escolta " dataDxfId="17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id="8" name="Tabla8" displayName="Tabla8" ref="AB3:AC42" totalsRowShown="0" headerRowDxfId="16" headerRowCellStyle="Buena">
  <tableColumns count="2">
    <tableColumn id="1" name="ID" dataDxfId="15"/>
    <tableColumn id="2" name="Comandancia" dataDxfId="14"/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id="9" name="Tabla9" displayName="Tabla9" ref="AE3:AF19" totalsRowShown="0" headerRowDxfId="13" headerRowCellStyle="Buena">
  <tableColumns count="2">
    <tableColumn id="1" name="ID" dataDxfId="12"/>
    <tableColumn id="2" name="Mantenimiento" dataDxfId="11"/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id="10" name="Tabla10" displayName="Tabla10" ref="AH3:AI16" totalsRowShown="0" headerRowDxfId="10" headerRowCellStyle="Buena">
  <tableColumns count="2">
    <tableColumn id="1" name="ID" dataDxfId="9"/>
    <tableColumn id="2" name="Servicios Estatales" dataDxfId="8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id="11" name="Tabla11" displayName="Tabla11" ref="AK3:AL7" totalsRowShown="0" headerRowDxfId="7" headerRowCellStyle="Buena">
  <tableColumns count="2">
    <tableColumn id="1" name="ID" dataDxfId="6"/>
    <tableColumn id="2" name="Sala De Conferencias" dataDxfId="5"/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id="12" name="Tabla12" displayName="Tabla12" ref="G3:H19" totalsRowShown="0" headerRowDxfId="4" headerRowCellStyle="Neutral">
  <autoFilter ref="G3:H19"/>
  <tableColumns count="2">
    <tableColumn id="1" name="No.">
      <calculatedColumnFormula>ROW()-3</calculatedColumnFormula>
    </tableColumn>
    <tableColumn id="2" name="Conceptos"/>
  </tableColumns>
  <tableStyleInfo name="TableStyleLight19" showFirstColumn="0" showLastColumn="0" showRowStripes="1" showColumnStripes="0"/>
</table>
</file>

<file path=xl/tables/table13.xml><?xml version="1.0" encoding="utf-8"?>
<table xmlns="http://schemas.openxmlformats.org/spreadsheetml/2006/main" id="13" name="Tabla13" displayName="Tabla13" ref="D3:E13" totalsRowShown="0" headerRowDxfId="3" headerRowCellStyle="Incorrecto">
  <autoFilter ref="D3:E13"/>
  <tableColumns count="2">
    <tableColumn id="1" name="No.">
      <calculatedColumnFormula>ROW()-3</calculatedColumnFormula>
    </tableColumn>
    <tableColumn id="2" name="Rangos"/>
  </tableColumns>
  <tableStyleInfo name="TableStyleLight17" showFirstColumn="0" showLastColumn="0" showRowStripes="1" showColumnStripes="0"/>
</table>
</file>

<file path=xl/tables/table14.xml><?xml version="1.0" encoding="utf-8"?>
<table xmlns="http://schemas.openxmlformats.org/spreadsheetml/2006/main" id="14" name="tabla14" displayName="tabla14" ref="A3:A18" totalsRowShown="0" headerRowDxfId="2" dataDxfId="1">
  <tableColumns count="1">
    <tableColumn id="1" name="# por concepto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P46"/>
  <sheetViews>
    <sheetView showGridLines="0" tabSelected="1" workbookViewId="0">
      <selection activeCell="B17" sqref="B17"/>
    </sheetView>
  </sheetViews>
  <sheetFormatPr baseColWidth="10" defaultColWidth="0" defaultRowHeight="14.5" zeroHeight="1" x14ac:dyDescent="0.35"/>
  <cols>
    <col min="1" max="1" width="12.6328125" style="72" customWidth="1"/>
    <col min="2" max="2" width="12.36328125" style="72" customWidth="1"/>
    <col min="3" max="6" width="13.81640625" customWidth="1"/>
    <col min="7" max="7" width="17.81640625" customWidth="1"/>
    <col min="8" max="8" width="19.36328125" customWidth="1"/>
    <col min="9" max="9" width="21" customWidth="1"/>
    <col min="10" max="12" width="13.81640625" style="72" customWidth="1"/>
    <col min="13" max="16" width="13.81640625" hidden="1" customWidth="1"/>
    <col min="17" max="34" width="0" hidden="1" customWidth="1"/>
  </cols>
  <sheetData>
    <row r="1" spans="3:16" ht="14.5" customHeight="1" x14ac:dyDescent="0.35">
      <c r="C1" s="75" t="s">
        <v>1387</v>
      </c>
      <c r="D1" s="75"/>
      <c r="E1" s="75"/>
      <c r="F1" s="75"/>
      <c r="G1" s="75"/>
      <c r="H1" s="75"/>
      <c r="I1" s="75"/>
      <c r="J1" s="73"/>
      <c r="K1" s="74"/>
      <c r="L1" s="74"/>
      <c r="M1" s="74"/>
      <c r="N1" s="74"/>
      <c r="O1" s="74"/>
      <c r="P1" s="5"/>
    </row>
    <row r="2" spans="3:16" ht="14.5" customHeight="1" x14ac:dyDescent="0.35">
      <c r="C2" s="75"/>
      <c r="D2" s="75"/>
      <c r="E2" s="75"/>
      <c r="F2" s="75"/>
      <c r="G2" s="75"/>
      <c r="H2" s="75"/>
      <c r="I2" s="75"/>
      <c r="J2" s="73"/>
      <c r="K2" s="74"/>
      <c r="L2" s="74"/>
      <c r="M2" s="74"/>
      <c r="N2" s="74"/>
      <c r="O2" s="74"/>
      <c r="P2" s="5"/>
    </row>
    <row r="3" spans="3:16" ht="14.5" customHeight="1" x14ac:dyDescent="0.35">
      <c r="C3" s="75"/>
      <c r="D3" s="75"/>
      <c r="E3" s="75"/>
      <c r="F3" s="75"/>
      <c r="G3" s="75"/>
      <c r="H3" s="75"/>
      <c r="I3" s="75"/>
      <c r="J3" s="73"/>
      <c r="K3" s="74"/>
      <c r="L3" s="74"/>
      <c r="M3" s="74"/>
      <c r="N3" s="74"/>
      <c r="O3" s="74"/>
      <c r="P3" s="5"/>
    </row>
    <row r="4" spans="3:16" ht="14.5" customHeight="1" x14ac:dyDescent="0.35">
      <c r="C4" s="75"/>
      <c r="D4" s="75"/>
      <c r="E4" s="75"/>
      <c r="F4" s="75"/>
      <c r="G4" s="75"/>
      <c r="H4" s="75"/>
      <c r="I4" s="75"/>
      <c r="J4" s="73"/>
      <c r="K4" s="74"/>
      <c r="L4" s="74"/>
      <c r="M4" s="74"/>
      <c r="N4" s="74"/>
      <c r="O4" s="74"/>
      <c r="P4" s="5"/>
    </row>
    <row r="5" spans="3:16" x14ac:dyDescent="0.35">
      <c r="C5" s="69"/>
      <c r="D5" s="69"/>
      <c r="E5" s="69"/>
      <c r="F5" s="69"/>
      <c r="G5" s="69"/>
      <c r="H5" s="69"/>
      <c r="I5" s="69"/>
      <c r="M5" s="69"/>
      <c r="N5" s="69"/>
      <c r="O5" s="69"/>
      <c r="P5" s="69"/>
    </row>
    <row r="6" spans="3:16" x14ac:dyDescent="0.35">
      <c r="C6" s="69"/>
      <c r="D6" s="69"/>
      <c r="E6" s="69"/>
      <c r="F6" s="69"/>
      <c r="G6" s="69"/>
      <c r="H6" s="69"/>
      <c r="I6" s="69"/>
      <c r="M6" s="69"/>
      <c r="N6" s="69"/>
      <c r="O6" s="69"/>
      <c r="P6" s="69"/>
    </row>
    <row r="7" spans="3:16" x14ac:dyDescent="0.35">
      <c r="C7" s="69"/>
      <c r="D7" s="69"/>
      <c r="E7" s="69"/>
      <c r="F7" s="69"/>
      <c r="G7" s="69"/>
      <c r="H7" s="69"/>
      <c r="I7" s="69"/>
      <c r="M7" s="69"/>
      <c r="N7" s="69"/>
      <c r="O7" s="69"/>
      <c r="P7" s="69"/>
    </row>
    <row r="8" spans="3:16" x14ac:dyDescent="0.35">
      <c r="C8" s="69"/>
      <c r="D8" s="69"/>
      <c r="E8" s="69"/>
      <c r="F8" s="69"/>
      <c r="G8" s="69"/>
      <c r="H8" s="69"/>
      <c r="I8" s="69"/>
      <c r="M8" s="69"/>
      <c r="N8" s="69"/>
      <c r="O8" s="69"/>
      <c r="P8" s="69"/>
    </row>
    <row r="9" spans="3:16" x14ac:dyDescent="0.35">
      <c r="C9" s="69"/>
      <c r="D9" s="69"/>
      <c r="E9" s="69"/>
      <c r="F9" s="69"/>
      <c r="G9" s="69"/>
      <c r="H9" s="69"/>
      <c r="I9" s="69"/>
      <c r="M9" s="69"/>
      <c r="N9" s="69"/>
      <c r="O9" s="69"/>
      <c r="P9" s="69"/>
    </row>
    <row r="10" spans="3:16" x14ac:dyDescent="0.35">
      <c r="C10" s="69"/>
      <c r="D10" s="69"/>
      <c r="E10" s="69"/>
      <c r="F10" s="69"/>
      <c r="G10" s="69"/>
      <c r="H10" s="69"/>
      <c r="I10" s="69"/>
      <c r="M10" s="69"/>
      <c r="N10" s="69"/>
      <c r="O10" s="69"/>
      <c r="P10" s="69"/>
    </row>
    <row r="11" spans="3:16" x14ac:dyDescent="0.35">
      <c r="C11" s="69"/>
      <c r="D11" s="69"/>
      <c r="E11" s="69"/>
      <c r="F11" s="69"/>
      <c r="G11" s="69"/>
      <c r="H11" s="69"/>
      <c r="I11" s="69"/>
      <c r="M11" s="69"/>
      <c r="N11" s="69"/>
      <c r="O11" s="69"/>
      <c r="P11" s="69"/>
    </row>
    <row r="12" spans="3:16" x14ac:dyDescent="0.35">
      <c r="C12" s="69"/>
      <c r="D12" s="69"/>
      <c r="E12" s="69"/>
      <c r="F12" s="69"/>
      <c r="G12" s="69"/>
      <c r="H12" s="69"/>
      <c r="I12" s="69"/>
      <c r="M12" s="69"/>
      <c r="N12" s="69"/>
      <c r="O12" s="69"/>
      <c r="P12" s="69"/>
    </row>
    <row r="13" spans="3:16" x14ac:dyDescent="0.35">
      <c r="C13" s="69"/>
      <c r="D13" s="69"/>
      <c r="E13" s="69"/>
      <c r="F13" s="69"/>
      <c r="G13" s="69"/>
      <c r="H13" s="69"/>
      <c r="I13" s="69"/>
      <c r="M13" s="69"/>
      <c r="N13" s="69"/>
      <c r="O13" s="69"/>
      <c r="P13" s="69"/>
    </row>
    <row r="14" spans="3:16" x14ac:dyDescent="0.35">
      <c r="C14" s="69"/>
      <c r="D14" s="69"/>
      <c r="E14" s="69"/>
      <c r="F14" s="69"/>
      <c r="G14" s="69"/>
      <c r="H14" s="69"/>
      <c r="I14" s="69"/>
      <c r="M14" s="69"/>
      <c r="N14" s="69"/>
      <c r="O14" s="69"/>
      <c r="P14" s="69"/>
    </row>
    <row r="15" spans="3:16" x14ac:dyDescent="0.35">
      <c r="C15" s="69"/>
      <c r="D15" s="69"/>
      <c r="E15" s="69"/>
      <c r="F15" s="69"/>
      <c r="G15" s="69"/>
      <c r="H15" s="69"/>
      <c r="I15" s="69"/>
      <c r="M15" s="69"/>
      <c r="N15" s="69"/>
      <c r="O15" s="69"/>
      <c r="P15" s="69"/>
    </row>
    <row r="16" spans="3:16" x14ac:dyDescent="0.35">
      <c r="C16" s="69"/>
      <c r="D16" s="69"/>
      <c r="E16" s="69"/>
      <c r="F16" s="69"/>
      <c r="G16" s="69"/>
      <c r="H16" s="69"/>
      <c r="I16" s="69"/>
      <c r="M16" s="69"/>
      <c r="N16" s="69"/>
      <c r="O16" s="69"/>
      <c r="P16" s="69"/>
    </row>
    <row r="17" spans="3:16" x14ac:dyDescent="0.35">
      <c r="C17" s="69"/>
      <c r="D17" s="69"/>
      <c r="E17" s="69"/>
      <c r="F17" s="69"/>
      <c r="G17" s="69"/>
      <c r="H17" s="69"/>
      <c r="I17" s="69"/>
      <c r="M17" s="69"/>
      <c r="N17" s="69"/>
      <c r="O17" s="69"/>
      <c r="P17" s="69"/>
    </row>
    <row r="18" spans="3:16" x14ac:dyDescent="0.35">
      <c r="C18" s="69"/>
      <c r="D18" s="69"/>
      <c r="E18" s="69"/>
      <c r="F18" s="69"/>
      <c r="G18" s="69"/>
      <c r="H18" s="69"/>
      <c r="I18" s="69"/>
      <c r="M18" s="69"/>
      <c r="N18" s="69"/>
      <c r="O18" s="69"/>
      <c r="P18" s="69"/>
    </row>
    <row r="19" spans="3:16" x14ac:dyDescent="0.35">
      <c r="C19" s="69"/>
      <c r="D19" s="69"/>
      <c r="E19" s="69"/>
      <c r="F19" s="69"/>
      <c r="G19" s="69"/>
      <c r="H19" s="69"/>
      <c r="I19" s="69"/>
      <c r="M19" s="69"/>
      <c r="N19" s="69"/>
      <c r="O19" s="69"/>
      <c r="P19" s="69"/>
    </row>
    <row r="20" spans="3:16" x14ac:dyDescent="0.35">
      <c r="C20" s="69"/>
      <c r="D20" s="69"/>
      <c r="E20" s="69"/>
      <c r="F20" s="69"/>
      <c r="G20" s="69"/>
      <c r="H20" s="69"/>
      <c r="I20" s="69"/>
      <c r="M20" s="69"/>
      <c r="N20" s="69"/>
      <c r="O20" s="69"/>
      <c r="P20" s="69"/>
    </row>
    <row r="21" spans="3:16" x14ac:dyDescent="0.35">
      <c r="C21" s="69"/>
      <c r="D21" s="69"/>
      <c r="E21" s="69"/>
      <c r="F21" s="69"/>
      <c r="G21" s="69"/>
      <c r="H21" s="69"/>
      <c r="I21" s="69"/>
      <c r="M21" s="69"/>
      <c r="N21" s="69"/>
      <c r="O21" s="69"/>
      <c r="P21" s="69"/>
    </row>
    <row r="22" spans="3:16" x14ac:dyDescent="0.35">
      <c r="C22" s="69"/>
      <c r="D22" s="69"/>
      <c r="E22" s="69"/>
      <c r="F22" s="69"/>
      <c r="G22" s="69"/>
      <c r="H22" s="69"/>
      <c r="I22" s="69"/>
      <c r="M22" s="69"/>
      <c r="N22" s="69"/>
      <c r="O22" s="69"/>
      <c r="P22" s="69"/>
    </row>
    <row r="23" spans="3:16" s="72" customFormat="1" x14ac:dyDescent="0.35"/>
    <row r="24" spans="3:16" s="72" customFormat="1" x14ac:dyDescent="0.35"/>
    <row r="25" spans="3:16" s="72" customFormat="1" x14ac:dyDescent="0.35"/>
    <row r="26" spans="3:16" s="72" customFormat="1" x14ac:dyDescent="0.35"/>
    <row r="27" spans="3:16" s="72" customFormat="1" hidden="1" x14ac:dyDescent="0.35"/>
    <row r="28" spans="3:16" s="72" customFormat="1" hidden="1" x14ac:dyDescent="0.35"/>
    <row r="29" spans="3:16" s="72" customFormat="1" hidden="1" x14ac:dyDescent="0.35"/>
    <row r="30" spans="3:16" s="72" customFormat="1" hidden="1" x14ac:dyDescent="0.35"/>
    <row r="31" spans="3:16" s="72" customFormat="1" hidden="1" x14ac:dyDescent="0.35"/>
    <row r="32" spans="3:16" s="72" customFormat="1" hidden="1" x14ac:dyDescent="0.35"/>
    <row r="33" s="72" customFormat="1" hidden="1" x14ac:dyDescent="0.35"/>
    <row r="34" s="72" customFormat="1" hidden="1" x14ac:dyDescent="0.35"/>
    <row r="35" s="72" customFormat="1" hidden="1" x14ac:dyDescent="0.35"/>
    <row r="36" s="72" customFormat="1" hidden="1" x14ac:dyDescent="0.35"/>
    <row r="37" s="72" customFormat="1" hidden="1" x14ac:dyDescent="0.35"/>
    <row r="38" s="72" customFormat="1" hidden="1" x14ac:dyDescent="0.35"/>
    <row r="39" s="72" customFormat="1" hidden="1" x14ac:dyDescent="0.35"/>
    <row r="40" s="72" customFormat="1" hidden="1" x14ac:dyDescent="0.35"/>
    <row r="41" s="72" customFormat="1" hidden="1" x14ac:dyDescent="0.35"/>
    <row r="42" s="72" customFormat="1" hidden="1" x14ac:dyDescent="0.35"/>
    <row r="43" s="72" customFormat="1" hidden="1" x14ac:dyDescent="0.35"/>
    <row r="44" s="72" customFormat="1" hidden="1" x14ac:dyDescent="0.35"/>
    <row r="45" s="72" customFormat="1" hidden="1" x14ac:dyDescent="0.35"/>
    <row r="46" s="72" customFormat="1" hidden="1" x14ac:dyDescent="0.35"/>
  </sheetData>
  <mergeCells count="1">
    <mergeCell ref="C1:I4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>
    <pageSetUpPr fitToPage="1"/>
  </sheetPr>
  <dimension ref="A1:AC638"/>
  <sheetViews>
    <sheetView zoomScale="90" zoomScaleNormal="90" zoomScaleSheetLayoutView="80" workbookViewId="0">
      <pane xSplit="10" ySplit="5" topLeftCell="K6" activePane="bottomRight" state="frozen"/>
      <selection pane="topRight" activeCell="J1" sqref="J1"/>
      <selection pane="bottomLeft" activeCell="A4" sqref="A4"/>
      <selection pane="bottomRight" activeCell="E20" sqref="E20"/>
    </sheetView>
  </sheetViews>
  <sheetFormatPr baseColWidth="10" defaultRowHeight="14.5" x14ac:dyDescent="0.35"/>
  <cols>
    <col min="1" max="1" width="14" customWidth="1"/>
    <col min="2" max="2" width="8" customWidth="1"/>
    <col min="3" max="4" width="12.453125" customWidth="1"/>
    <col min="5" max="5" width="21.26953125" customWidth="1"/>
    <col min="6" max="7" width="14.453125" customWidth="1"/>
    <col min="8" max="8" width="7.7265625" customWidth="1"/>
    <col min="9" max="9" width="6.1796875" customWidth="1"/>
    <col min="10" max="10" width="8.26953125" customWidth="1"/>
    <col min="11" max="13" width="22" customWidth="1"/>
    <col min="14" max="14" width="14.90625" customWidth="1"/>
    <col min="15" max="15" width="23.7265625" customWidth="1"/>
    <col min="16" max="16" width="28.36328125" customWidth="1"/>
    <col min="17" max="17" width="14.90625" customWidth="1"/>
    <col min="18" max="18" width="30.6328125" customWidth="1"/>
    <col min="19" max="19" width="16.36328125" customWidth="1"/>
    <col min="20" max="20" width="18.54296875" customWidth="1"/>
    <col min="21" max="21" width="17.6328125" customWidth="1"/>
    <col min="22" max="22" width="20.26953125" customWidth="1"/>
    <col min="23" max="23" width="14.90625" customWidth="1"/>
    <col min="24" max="24" width="16.54296875" customWidth="1"/>
    <col min="25" max="25" width="17.453125" customWidth="1"/>
    <col min="26" max="26" width="18" customWidth="1"/>
    <col min="27" max="27" width="18.6328125" customWidth="1"/>
    <col min="28" max="29" width="14.90625" customWidth="1"/>
  </cols>
  <sheetData>
    <row r="1" spans="1:29" s="3" customFormat="1" ht="21" x14ac:dyDescent="0.35">
      <c r="A1" s="68" t="s">
        <v>1303</v>
      </c>
      <c r="B1" s="76" t="s">
        <v>1409</v>
      </c>
      <c r="C1" s="76"/>
      <c r="D1" s="76"/>
      <c r="E1" s="76"/>
      <c r="K1" s="3" t="s">
        <v>1372</v>
      </c>
      <c r="L1" s="3" t="s">
        <v>1306</v>
      </c>
      <c r="M1" s="3" t="s">
        <v>1307</v>
      </c>
      <c r="N1" s="3" t="s">
        <v>1308</v>
      </c>
      <c r="O1" s="3" t="s">
        <v>1309</v>
      </c>
      <c r="P1" s="3" t="s">
        <v>1310</v>
      </c>
      <c r="Q1" s="3" t="s">
        <v>1311</v>
      </c>
      <c r="R1" s="3" t="s">
        <v>1312</v>
      </c>
      <c r="S1" s="3" t="s">
        <v>1313</v>
      </c>
      <c r="T1" s="3" t="s">
        <v>1314</v>
      </c>
      <c r="U1" s="3" t="s">
        <v>220</v>
      </c>
      <c r="V1" s="3" t="s">
        <v>1315</v>
      </c>
      <c r="W1" s="3" t="s">
        <v>1316</v>
      </c>
      <c r="X1" s="3" t="s">
        <v>1317</v>
      </c>
      <c r="Y1" s="3" t="s">
        <v>1318</v>
      </c>
      <c r="Z1" s="3" t="s">
        <v>1319</v>
      </c>
    </row>
    <row r="2" spans="1:29" x14ac:dyDescent="0.35">
      <c r="K2" s="3" t="s">
        <v>1305</v>
      </c>
      <c r="L2" s="3" t="s">
        <v>1305</v>
      </c>
      <c r="M2" s="3" t="s">
        <v>1305</v>
      </c>
      <c r="N2" s="3" t="s">
        <v>1305</v>
      </c>
      <c r="O2" s="3" t="s">
        <v>1305</v>
      </c>
      <c r="P2" s="3" t="s">
        <v>1305</v>
      </c>
      <c r="Q2" s="3" t="s">
        <v>1305</v>
      </c>
      <c r="R2" s="3" t="s">
        <v>1305</v>
      </c>
      <c r="S2" s="3" t="s">
        <v>1305</v>
      </c>
      <c r="T2" s="3" t="s">
        <v>1305</v>
      </c>
      <c r="U2" s="3" t="s">
        <v>1305</v>
      </c>
      <c r="V2" s="3" t="s">
        <v>1305</v>
      </c>
      <c r="W2" s="3" t="s">
        <v>1305</v>
      </c>
      <c r="X2" s="3" t="s">
        <v>1305</v>
      </c>
      <c r="Y2" s="3" t="s">
        <v>1305</v>
      </c>
      <c r="Z2" s="3" t="s">
        <v>1305</v>
      </c>
      <c r="AA2" s="3" t="s">
        <v>1305</v>
      </c>
      <c r="AB2" s="3" t="s">
        <v>1305</v>
      </c>
      <c r="AC2" s="3" t="s">
        <v>1305</v>
      </c>
    </row>
    <row r="3" spans="1:29" ht="19" customHeight="1" x14ac:dyDescent="0.35">
      <c r="G3" s="77" t="s">
        <v>1393</v>
      </c>
      <c r="H3" s="77"/>
      <c r="I3" s="77"/>
      <c r="J3" s="77"/>
      <c r="K3" s="71">
        <v>3</v>
      </c>
      <c r="L3" s="71">
        <v>6</v>
      </c>
      <c r="M3" s="71">
        <v>4</v>
      </c>
      <c r="N3" s="71"/>
      <c r="O3" s="71"/>
      <c r="P3" s="71"/>
      <c r="Q3" s="71"/>
      <c r="R3" s="71"/>
      <c r="S3" s="71"/>
      <c r="T3" s="71"/>
      <c r="U3" s="71"/>
      <c r="V3" s="71"/>
      <c r="W3" s="71"/>
      <c r="X3" s="71"/>
      <c r="Y3" s="71"/>
      <c r="Z3" s="71"/>
      <c r="AA3" s="71"/>
      <c r="AB3" s="71"/>
    </row>
    <row r="4" spans="1:29" ht="12.5" customHeight="1" x14ac:dyDescent="0.35"/>
    <row r="5" spans="1:29" ht="15.5" x14ac:dyDescent="0.35">
      <c r="A5" s="4" t="s">
        <v>1304</v>
      </c>
      <c r="B5" s="4" t="s">
        <v>1294</v>
      </c>
      <c r="C5" s="4" t="s">
        <v>1295</v>
      </c>
      <c r="D5" s="4" t="s">
        <v>1296</v>
      </c>
      <c r="E5" s="4" t="s">
        <v>1299</v>
      </c>
      <c r="F5" s="4" t="s">
        <v>1297</v>
      </c>
      <c r="G5" s="4" t="s">
        <v>1298</v>
      </c>
      <c r="H5" s="4" t="s">
        <v>1300</v>
      </c>
      <c r="I5" s="4" t="s">
        <v>1301</v>
      </c>
      <c r="J5" s="4" t="s">
        <v>1302</v>
      </c>
      <c r="K5" s="4" t="s">
        <v>1372</v>
      </c>
      <c r="L5" s="4" t="s">
        <v>1307</v>
      </c>
      <c r="M5" s="4" t="s">
        <v>1306</v>
      </c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2" t="s">
        <v>1404</v>
      </c>
    </row>
    <row r="6" spans="1:29" x14ac:dyDescent="0.35">
      <c r="A6">
        <v>1</v>
      </c>
      <c r="B6" t="s">
        <v>11</v>
      </c>
      <c r="C6" t="s">
        <v>63</v>
      </c>
      <c r="D6" t="s">
        <v>219</v>
      </c>
      <c r="E6" t="s">
        <v>1</v>
      </c>
      <c r="F6" t="s">
        <v>889</v>
      </c>
      <c r="G6" t="s">
        <v>9</v>
      </c>
      <c r="H6">
        <v>1.9750000000000001</v>
      </c>
      <c r="I6">
        <v>2.7149999999999999</v>
      </c>
      <c r="J6" t="s">
        <v>6</v>
      </c>
      <c r="K6" t="str">
        <f t="shared" ref="K6:T15" si="0">IFERROR(IFERROR(IF(K$5=$K$1,VLOOKUP($A6,dormitorios,2,0),IF(K$5=$L$1,VLOOKUP($A6,comedor,2,0),IF(K$5=$M$1,VLOOKUP($A6,alojamiento,2,0),IF(K$5=$N$1,VLOOKUP($A6,sanidad,2,0),IF(K$5=$O$1,VLOOKUP($A6,servicios,2,0),IF(K$5=$P$1,VLOOKUP($A6,comyaloj,2,0),IF(K$5=$Q$1,VLOOKUP($A6,comandancia,2,0),IF(K$5=$R$1,VLOOKUP($A6,mantenimiento,2,0),IF(K$5=$S$1,VLOOKUP($A6,serestatal,2,0),IF(K$5=$T$1,VLOOKUP($A6,conferencias,2,0),"")))))))))),"")*K$3,"")</f>
        <v/>
      </c>
      <c r="L6" t="str">
        <f t="shared" si="0"/>
        <v/>
      </c>
      <c r="M6" t="str">
        <f t="shared" si="0"/>
        <v/>
      </c>
      <c r="N6" t="str">
        <f t="shared" si="0"/>
        <v/>
      </c>
      <c r="O6" t="str">
        <f t="shared" si="0"/>
        <v/>
      </c>
      <c r="P6" t="str">
        <f t="shared" si="0"/>
        <v/>
      </c>
      <c r="Q6" t="str">
        <f t="shared" si="0"/>
        <v/>
      </c>
      <c r="R6" t="str">
        <f t="shared" si="0"/>
        <v/>
      </c>
      <c r="S6" t="str">
        <f t="shared" si="0"/>
        <v/>
      </c>
      <c r="T6" t="str">
        <f t="shared" si="0"/>
        <v/>
      </c>
      <c r="U6" t="str">
        <f t="shared" ref="U6:AB15" si="1">IFERROR(IFERROR(IF(U$5=$K$1,VLOOKUP($A6,dormitorios,2,0),IF(U$5=$L$1,VLOOKUP($A6,comedor,2,0),IF(U$5=$M$1,VLOOKUP($A6,alojamiento,2,0),IF(U$5=$N$1,VLOOKUP($A6,sanidad,2,0),IF(U$5=$O$1,VLOOKUP($A6,servicios,2,0),IF(U$5=$P$1,VLOOKUP($A6,comyaloj,2,0),IF(U$5=$Q$1,VLOOKUP($A6,comandancia,2,0),IF(U$5=$R$1,VLOOKUP($A6,mantenimiento,2,0),IF(U$5=$S$1,VLOOKUP($A6,serestatal,2,0),IF(U$5=$T$1,VLOOKUP($A6,conferencias,2,0),"")))))))))),"")*U$3,"")</f>
        <v/>
      </c>
      <c r="V6" t="str">
        <f t="shared" si="1"/>
        <v/>
      </c>
      <c r="W6" t="str">
        <f t="shared" si="1"/>
        <v/>
      </c>
      <c r="X6" t="str">
        <f t="shared" si="1"/>
        <v/>
      </c>
      <c r="Y6" t="str">
        <f t="shared" si="1"/>
        <v/>
      </c>
      <c r="Z6" t="str">
        <f t="shared" si="1"/>
        <v/>
      </c>
      <c r="AA6" t="str">
        <f t="shared" si="1"/>
        <v/>
      </c>
      <c r="AB6" t="str">
        <f t="shared" si="1"/>
        <v/>
      </c>
      <c r="AC6">
        <f>SUM(K6:AB6)</f>
        <v>0</v>
      </c>
    </row>
    <row r="7" spans="1:29" x14ac:dyDescent="0.35">
      <c r="A7">
        <v>2</v>
      </c>
      <c r="B7" t="s">
        <v>11</v>
      </c>
      <c r="C7" t="s">
        <v>64</v>
      </c>
      <c r="D7" t="s">
        <v>220</v>
      </c>
      <c r="E7" t="s">
        <v>1</v>
      </c>
      <c r="F7" t="s">
        <v>889</v>
      </c>
      <c r="G7" t="s">
        <v>0</v>
      </c>
      <c r="H7">
        <v>1.9750000000000001</v>
      </c>
      <c r="I7">
        <v>2.7149999999999999</v>
      </c>
      <c r="J7" t="s">
        <v>6</v>
      </c>
      <c r="K7" t="str">
        <f t="shared" si="0"/>
        <v/>
      </c>
      <c r="L7" t="str">
        <f t="shared" si="0"/>
        <v/>
      </c>
      <c r="M7">
        <f t="shared" si="0"/>
        <v>4</v>
      </c>
      <c r="N7" t="str">
        <f t="shared" si="0"/>
        <v/>
      </c>
      <c r="O7" t="str">
        <f t="shared" si="0"/>
        <v/>
      </c>
      <c r="P7" t="str">
        <f t="shared" si="0"/>
        <v/>
      </c>
      <c r="Q7" t="str">
        <f t="shared" si="0"/>
        <v/>
      </c>
      <c r="R7" t="str">
        <f t="shared" si="0"/>
        <v/>
      </c>
      <c r="S7" t="str">
        <f t="shared" si="0"/>
        <v/>
      </c>
      <c r="T7" t="str">
        <f t="shared" si="0"/>
        <v/>
      </c>
      <c r="U7" t="str">
        <f t="shared" si="1"/>
        <v/>
      </c>
      <c r="V7" t="str">
        <f t="shared" si="1"/>
        <v/>
      </c>
      <c r="W7" t="str">
        <f t="shared" si="1"/>
        <v/>
      </c>
      <c r="X7" t="str">
        <f t="shared" si="1"/>
        <v/>
      </c>
      <c r="Y7" t="str">
        <f t="shared" si="1"/>
        <v/>
      </c>
      <c r="Z7" t="str">
        <f t="shared" si="1"/>
        <v/>
      </c>
      <c r="AA7" t="str">
        <f t="shared" si="1"/>
        <v/>
      </c>
      <c r="AB7" t="str">
        <f t="shared" si="1"/>
        <v/>
      </c>
      <c r="AC7">
        <f t="shared" ref="AC7:AC69" si="2">SUM(K7:AB7)</f>
        <v>4</v>
      </c>
    </row>
    <row r="8" spans="1:29" x14ac:dyDescent="0.35">
      <c r="A8">
        <v>3</v>
      </c>
      <c r="B8" t="s">
        <v>11</v>
      </c>
      <c r="C8" t="s">
        <v>65</v>
      </c>
      <c r="D8" t="s">
        <v>189</v>
      </c>
      <c r="E8" t="s">
        <v>1</v>
      </c>
      <c r="F8" t="s">
        <v>889</v>
      </c>
      <c r="G8" t="s">
        <v>0</v>
      </c>
      <c r="H8">
        <v>2.02</v>
      </c>
      <c r="I8">
        <v>2.7149999999999999</v>
      </c>
      <c r="J8" t="s">
        <v>6</v>
      </c>
      <c r="K8">
        <f t="shared" si="0"/>
        <v>21</v>
      </c>
      <c r="L8" t="str">
        <f t="shared" si="0"/>
        <v/>
      </c>
      <c r="M8">
        <f t="shared" si="0"/>
        <v>4</v>
      </c>
      <c r="N8" t="str">
        <f t="shared" si="0"/>
        <v/>
      </c>
      <c r="O8" t="str">
        <f t="shared" si="0"/>
        <v/>
      </c>
      <c r="P8" t="str">
        <f t="shared" si="0"/>
        <v/>
      </c>
      <c r="Q8" t="str">
        <f t="shared" si="0"/>
        <v/>
      </c>
      <c r="R8" t="str">
        <f t="shared" si="0"/>
        <v/>
      </c>
      <c r="S8" t="str">
        <f t="shared" si="0"/>
        <v/>
      </c>
      <c r="T8" t="str">
        <f t="shared" si="0"/>
        <v/>
      </c>
      <c r="U8" t="str">
        <f t="shared" si="1"/>
        <v/>
      </c>
      <c r="V8" t="str">
        <f t="shared" si="1"/>
        <v/>
      </c>
      <c r="W8" t="str">
        <f t="shared" si="1"/>
        <v/>
      </c>
      <c r="X8" t="str">
        <f t="shared" si="1"/>
        <v/>
      </c>
      <c r="Y8" t="str">
        <f t="shared" si="1"/>
        <v/>
      </c>
      <c r="Z8" t="str">
        <f t="shared" si="1"/>
        <v/>
      </c>
      <c r="AA8" t="str">
        <f t="shared" si="1"/>
        <v/>
      </c>
      <c r="AB8" t="str">
        <f t="shared" si="1"/>
        <v/>
      </c>
      <c r="AC8">
        <f t="shared" si="2"/>
        <v>25</v>
      </c>
    </row>
    <row r="9" spans="1:29" x14ac:dyDescent="0.35">
      <c r="A9">
        <v>4</v>
      </c>
      <c r="B9" t="s">
        <v>11</v>
      </c>
      <c r="C9" t="s">
        <v>66</v>
      </c>
      <c r="D9" t="s">
        <v>190</v>
      </c>
      <c r="E9" t="s">
        <v>1</v>
      </c>
      <c r="F9" t="s">
        <v>889</v>
      </c>
      <c r="G9" t="s">
        <v>2</v>
      </c>
      <c r="H9">
        <v>1.99</v>
      </c>
      <c r="I9">
        <v>2.7149999999999999</v>
      </c>
      <c r="J9" t="s">
        <v>6</v>
      </c>
      <c r="K9" t="str">
        <f t="shared" si="0"/>
        <v/>
      </c>
      <c r="L9" t="str">
        <f t="shared" si="0"/>
        <v/>
      </c>
      <c r="M9">
        <f t="shared" si="0"/>
        <v>8</v>
      </c>
      <c r="N9" t="str">
        <f t="shared" si="0"/>
        <v/>
      </c>
      <c r="O9" t="str">
        <f t="shared" si="0"/>
        <v/>
      </c>
      <c r="P9" t="str">
        <f t="shared" si="0"/>
        <v/>
      </c>
      <c r="Q9" t="str">
        <f t="shared" si="0"/>
        <v/>
      </c>
      <c r="R9" t="str">
        <f t="shared" si="0"/>
        <v/>
      </c>
      <c r="S9" t="str">
        <f t="shared" si="0"/>
        <v/>
      </c>
      <c r="T9" t="str">
        <f t="shared" si="0"/>
        <v/>
      </c>
      <c r="U9" t="str">
        <f t="shared" si="1"/>
        <v/>
      </c>
      <c r="V9" t="str">
        <f t="shared" si="1"/>
        <v/>
      </c>
      <c r="W9" t="str">
        <f t="shared" si="1"/>
        <v/>
      </c>
      <c r="X9" t="str">
        <f t="shared" si="1"/>
        <v/>
      </c>
      <c r="Y9" t="str">
        <f t="shared" si="1"/>
        <v/>
      </c>
      <c r="Z9" t="str">
        <f t="shared" si="1"/>
        <v/>
      </c>
      <c r="AA9" t="str">
        <f t="shared" si="1"/>
        <v/>
      </c>
      <c r="AB9" t="str">
        <f t="shared" si="1"/>
        <v/>
      </c>
      <c r="AC9">
        <f t="shared" si="2"/>
        <v>8</v>
      </c>
    </row>
    <row r="10" spans="1:29" x14ac:dyDescent="0.35">
      <c r="A10">
        <v>5</v>
      </c>
      <c r="B10" t="s">
        <v>11</v>
      </c>
      <c r="C10" t="s">
        <v>67</v>
      </c>
      <c r="D10" t="s">
        <v>191</v>
      </c>
      <c r="E10" t="s">
        <v>1</v>
      </c>
      <c r="F10" t="s">
        <v>889</v>
      </c>
      <c r="G10" t="s">
        <v>2</v>
      </c>
      <c r="H10">
        <v>1.93</v>
      </c>
      <c r="I10">
        <v>2.7149999999999999</v>
      </c>
      <c r="J10" t="s">
        <v>6</v>
      </c>
      <c r="K10" t="str">
        <f t="shared" si="0"/>
        <v/>
      </c>
      <c r="L10" t="str">
        <f t="shared" si="0"/>
        <v/>
      </c>
      <c r="M10" t="str">
        <f t="shared" si="0"/>
        <v/>
      </c>
      <c r="N10" t="str">
        <f t="shared" si="0"/>
        <v/>
      </c>
      <c r="O10" t="str">
        <f t="shared" si="0"/>
        <v/>
      </c>
      <c r="P10" t="str">
        <f t="shared" si="0"/>
        <v/>
      </c>
      <c r="Q10" t="str">
        <f t="shared" si="0"/>
        <v/>
      </c>
      <c r="R10" t="str">
        <f t="shared" si="0"/>
        <v/>
      </c>
      <c r="S10" t="str">
        <f t="shared" si="0"/>
        <v/>
      </c>
      <c r="T10" t="str">
        <f t="shared" si="0"/>
        <v/>
      </c>
      <c r="U10" t="str">
        <f t="shared" si="1"/>
        <v/>
      </c>
      <c r="V10" t="str">
        <f t="shared" si="1"/>
        <v/>
      </c>
      <c r="W10" t="str">
        <f t="shared" si="1"/>
        <v/>
      </c>
      <c r="X10" t="str">
        <f t="shared" si="1"/>
        <v/>
      </c>
      <c r="Y10" t="str">
        <f t="shared" si="1"/>
        <v/>
      </c>
      <c r="Z10" t="str">
        <f t="shared" si="1"/>
        <v/>
      </c>
      <c r="AA10" t="str">
        <f t="shared" si="1"/>
        <v/>
      </c>
      <c r="AB10" t="str">
        <f t="shared" si="1"/>
        <v/>
      </c>
      <c r="AC10">
        <f t="shared" si="2"/>
        <v>0</v>
      </c>
    </row>
    <row r="11" spans="1:29" x14ac:dyDescent="0.35">
      <c r="A11">
        <v>6</v>
      </c>
      <c r="B11" t="s">
        <v>11</v>
      </c>
      <c r="C11" t="s">
        <v>68</v>
      </c>
      <c r="D11" t="s">
        <v>192</v>
      </c>
      <c r="E11" t="s">
        <v>1</v>
      </c>
      <c r="F11" t="s">
        <v>889</v>
      </c>
      <c r="G11" t="s">
        <v>2</v>
      </c>
      <c r="H11">
        <v>1.95</v>
      </c>
      <c r="I11">
        <v>2.7149999999999999</v>
      </c>
      <c r="J11" t="s">
        <v>6</v>
      </c>
      <c r="K11" t="str">
        <f t="shared" si="0"/>
        <v/>
      </c>
      <c r="L11" t="str">
        <f t="shared" si="0"/>
        <v/>
      </c>
      <c r="M11">
        <f t="shared" si="0"/>
        <v>4</v>
      </c>
      <c r="N11" t="str">
        <f t="shared" si="0"/>
        <v/>
      </c>
      <c r="O11" t="str">
        <f t="shared" si="0"/>
        <v/>
      </c>
      <c r="P11" t="str">
        <f t="shared" si="0"/>
        <v/>
      </c>
      <c r="Q11" t="str">
        <f t="shared" si="0"/>
        <v/>
      </c>
      <c r="R11" t="str">
        <f t="shared" si="0"/>
        <v/>
      </c>
      <c r="S11" t="str">
        <f t="shared" si="0"/>
        <v/>
      </c>
      <c r="T11" t="str">
        <f t="shared" si="0"/>
        <v/>
      </c>
      <c r="U11" t="str">
        <f t="shared" si="1"/>
        <v/>
      </c>
      <c r="V11" t="str">
        <f t="shared" si="1"/>
        <v/>
      </c>
      <c r="W11" t="str">
        <f t="shared" si="1"/>
        <v/>
      </c>
      <c r="X11" t="str">
        <f t="shared" si="1"/>
        <v/>
      </c>
      <c r="Y11" t="str">
        <f t="shared" si="1"/>
        <v/>
      </c>
      <c r="Z11" t="str">
        <f t="shared" si="1"/>
        <v/>
      </c>
      <c r="AA11" t="str">
        <f t="shared" si="1"/>
        <v/>
      </c>
      <c r="AB11" t="str">
        <f t="shared" si="1"/>
        <v/>
      </c>
      <c r="AC11">
        <f t="shared" si="2"/>
        <v>4</v>
      </c>
    </row>
    <row r="12" spans="1:29" x14ac:dyDescent="0.35">
      <c r="A12">
        <v>7</v>
      </c>
      <c r="B12" t="s">
        <v>11</v>
      </c>
      <c r="C12" t="s">
        <v>69</v>
      </c>
      <c r="D12" t="s">
        <v>193</v>
      </c>
      <c r="E12" t="s">
        <v>1</v>
      </c>
      <c r="F12" t="s">
        <v>889</v>
      </c>
      <c r="G12" t="s">
        <v>0</v>
      </c>
      <c r="H12">
        <v>1.95</v>
      </c>
      <c r="I12">
        <v>2.7149999999999999</v>
      </c>
      <c r="J12" t="s">
        <v>6</v>
      </c>
      <c r="K12" t="str">
        <f t="shared" si="0"/>
        <v/>
      </c>
      <c r="L12" t="str">
        <f t="shared" si="0"/>
        <v/>
      </c>
      <c r="M12" t="str">
        <f t="shared" si="0"/>
        <v/>
      </c>
      <c r="N12" t="str">
        <f t="shared" si="0"/>
        <v/>
      </c>
      <c r="O12" t="str">
        <f t="shared" si="0"/>
        <v/>
      </c>
      <c r="P12" t="str">
        <f t="shared" si="0"/>
        <v/>
      </c>
      <c r="Q12" t="str">
        <f t="shared" si="0"/>
        <v/>
      </c>
      <c r="R12" t="str">
        <f t="shared" si="0"/>
        <v/>
      </c>
      <c r="S12" t="str">
        <f t="shared" si="0"/>
        <v/>
      </c>
      <c r="T12" t="str">
        <f t="shared" si="0"/>
        <v/>
      </c>
      <c r="U12" t="str">
        <f t="shared" si="1"/>
        <v/>
      </c>
      <c r="V12" t="str">
        <f t="shared" si="1"/>
        <v/>
      </c>
      <c r="W12" t="str">
        <f t="shared" si="1"/>
        <v/>
      </c>
      <c r="X12" t="str">
        <f t="shared" si="1"/>
        <v/>
      </c>
      <c r="Y12" t="str">
        <f t="shared" si="1"/>
        <v/>
      </c>
      <c r="Z12" t="str">
        <f t="shared" si="1"/>
        <v/>
      </c>
      <c r="AA12" t="str">
        <f t="shared" si="1"/>
        <v/>
      </c>
      <c r="AB12" t="str">
        <f t="shared" si="1"/>
        <v/>
      </c>
      <c r="AC12">
        <f t="shared" si="2"/>
        <v>0</v>
      </c>
    </row>
    <row r="13" spans="1:29" x14ac:dyDescent="0.35">
      <c r="A13">
        <v>8</v>
      </c>
      <c r="B13" t="s">
        <v>11</v>
      </c>
      <c r="C13" t="s">
        <v>70</v>
      </c>
      <c r="D13" t="s">
        <v>194</v>
      </c>
      <c r="E13" t="s">
        <v>1</v>
      </c>
      <c r="F13" t="s">
        <v>889</v>
      </c>
      <c r="G13" t="s">
        <v>0</v>
      </c>
      <c r="H13">
        <v>0.88500000000000001</v>
      </c>
      <c r="I13">
        <v>2.7149999999999999</v>
      </c>
      <c r="J13" t="s">
        <v>6</v>
      </c>
      <c r="K13" t="str">
        <f t="shared" si="0"/>
        <v/>
      </c>
      <c r="L13" t="str">
        <f t="shared" si="0"/>
        <v/>
      </c>
      <c r="M13" t="str">
        <f t="shared" si="0"/>
        <v/>
      </c>
      <c r="N13" t="str">
        <f t="shared" si="0"/>
        <v/>
      </c>
      <c r="O13" t="str">
        <f t="shared" si="0"/>
        <v/>
      </c>
      <c r="P13" t="str">
        <f t="shared" si="0"/>
        <v/>
      </c>
      <c r="Q13" t="str">
        <f t="shared" si="0"/>
        <v/>
      </c>
      <c r="R13" t="str">
        <f t="shared" si="0"/>
        <v/>
      </c>
      <c r="S13" t="str">
        <f t="shared" si="0"/>
        <v/>
      </c>
      <c r="T13" t="str">
        <f t="shared" si="0"/>
        <v/>
      </c>
      <c r="U13" t="str">
        <f t="shared" si="1"/>
        <v/>
      </c>
      <c r="V13" t="str">
        <f t="shared" si="1"/>
        <v/>
      </c>
      <c r="W13" t="str">
        <f t="shared" si="1"/>
        <v/>
      </c>
      <c r="X13" t="str">
        <f t="shared" si="1"/>
        <v/>
      </c>
      <c r="Y13" t="str">
        <f t="shared" si="1"/>
        <v/>
      </c>
      <c r="Z13" t="str">
        <f t="shared" si="1"/>
        <v/>
      </c>
      <c r="AA13" t="str">
        <f t="shared" si="1"/>
        <v/>
      </c>
      <c r="AB13" t="str">
        <f t="shared" si="1"/>
        <v/>
      </c>
      <c r="AC13">
        <f t="shared" si="2"/>
        <v>0</v>
      </c>
    </row>
    <row r="14" spans="1:29" x14ac:dyDescent="0.35">
      <c r="A14">
        <v>9</v>
      </c>
      <c r="B14" t="s">
        <v>11</v>
      </c>
      <c r="C14" t="s">
        <v>71</v>
      </c>
      <c r="D14" t="s">
        <v>195</v>
      </c>
      <c r="E14" t="s">
        <v>1</v>
      </c>
      <c r="F14" t="s">
        <v>889</v>
      </c>
      <c r="G14" t="s">
        <v>0</v>
      </c>
      <c r="H14">
        <v>0.57999999999999996</v>
      </c>
      <c r="I14">
        <v>2.7149999999999999</v>
      </c>
      <c r="J14" t="s">
        <v>6</v>
      </c>
      <c r="K14" t="str">
        <f t="shared" si="0"/>
        <v/>
      </c>
      <c r="L14" t="str">
        <f t="shared" si="0"/>
        <v/>
      </c>
      <c r="M14" t="str">
        <f t="shared" si="0"/>
        <v/>
      </c>
      <c r="N14" t="str">
        <f t="shared" si="0"/>
        <v/>
      </c>
      <c r="O14" t="str">
        <f t="shared" si="0"/>
        <v/>
      </c>
      <c r="P14" t="str">
        <f t="shared" si="0"/>
        <v/>
      </c>
      <c r="Q14" t="str">
        <f t="shared" si="0"/>
        <v/>
      </c>
      <c r="R14" t="str">
        <f t="shared" si="0"/>
        <v/>
      </c>
      <c r="S14" t="str">
        <f t="shared" si="0"/>
        <v/>
      </c>
      <c r="T14" t="str">
        <f t="shared" si="0"/>
        <v/>
      </c>
      <c r="U14" t="str">
        <f t="shared" si="1"/>
        <v/>
      </c>
      <c r="V14" t="str">
        <f t="shared" si="1"/>
        <v/>
      </c>
      <c r="W14" t="str">
        <f t="shared" si="1"/>
        <v/>
      </c>
      <c r="X14" t="str">
        <f t="shared" si="1"/>
        <v/>
      </c>
      <c r="Y14" t="str">
        <f t="shared" si="1"/>
        <v/>
      </c>
      <c r="Z14" t="str">
        <f t="shared" si="1"/>
        <v/>
      </c>
      <c r="AA14" t="str">
        <f t="shared" si="1"/>
        <v/>
      </c>
      <c r="AB14" t="str">
        <f t="shared" si="1"/>
        <v/>
      </c>
      <c r="AC14">
        <f t="shared" si="2"/>
        <v>0</v>
      </c>
    </row>
    <row r="15" spans="1:29" x14ac:dyDescent="0.35">
      <c r="A15">
        <v>10</v>
      </c>
      <c r="B15" t="s">
        <v>11</v>
      </c>
      <c r="C15" t="s">
        <v>72</v>
      </c>
      <c r="D15" t="s">
        <v>196</v>
      </c>
      <c r="E15" t="s">
        <v>1</v>
      </c>
      <c r="F15" t="s">
        <v>889</v>
      </c>
      <c r="G15" t="s">
        <v>0</v>
      </c>
      <c r="H15">
        <v>0.94</v>
      </c>
      <c r="I15">
        <v>2.7149999999999999</v>
      </c>
      <c r="J15" t="s">
        <v>6</v>
      </c>
      <c r="K15" t="str">
        <f t="shared" si="0"/>
        <v/>
      </c>
      <c r="L15" t="str">
        <f t="shared" si="0"/>
        <v/>
      </c>
      <c r="M15" t="str">
        <f t="shared" si="0"/>
        <v/>
      </c>
      <c r="N15" t="str">
        <f t="shared" si="0"/>
        <v/>
      </c>
      <c r="O15" t="str">
        <f t="shared" si="0"/>
        <v/>
      </c>
      <c r="P15" t="str">
        <f t="shared" si="0"/>
        <v/>
      </c>
      <c r="Q15" t="str">
        <f t="shared" si="0"/>
        <v/>
      </c>
      <c r="R15" t="str">
        <f t="shared" si="0"/>
        <v/>
      </c>
      <c r="S15" t="str">
        <f t="shared" si="0"/>
        <v/>
      </c>
      <c r="T15" t="str">
        <f t="shared" si="0"/>
        <v/>
      </c>
      <c r="U15" t="str">
        <f t="shared" si="1"/>
        <v/>
      </c>
      <c r="V15" t="str">
        <f t="shared" si="1"/>
        <v/>
      </c>
      <c r="W15" t="str">
        <f t="shared" si="1"/>
        <v/>
      </c>
      <c r="X15" t="str">
        <f t="shared" si="1"/>
        <v/>
      </c>
      <c r="Y15" t="str">
        <f t="shared" si="1"/>
        <v/>
      </c>
      <c r="Z15" t="str">
        <f t="shared" si="1"/>
        <v/>
      </c>
      <c r="AA15" t="str">
        <f t="shared" si="1"/>
        <v/>
      </c>
      <c r="AB15" t="str">
        <f t="shared" si="1"/>
        <v/>
      </c>
      <c r="AC15">
        <f t="shared" si="2"/>
        <v>0</v>
      </c>
    </row>
    <row r="16" spans="1:29" x14ac:dyDescent="0.35">
      <c r="A16">
        <v>11</v>
      </c>
      <c r="B16" t="s">
        <v>11</v>
      </c>
      <c r="C16" t="s">
        <v>73</v>
      </c>
      <c r="D16" t="s">
        <v>197</v>
      </c>
      <c r="E16" t="s">
        <v>1</v>
      </c>
      <c r="F16" t="s">
        <v>889</v>
      </c>
      <c r="G16" t="s">
        <v>2</v>
      </c>
      <c r="H16">
        <v>0.94</v>
      </c>
      <c r="I16">
        <v>2.7149999999999999</v>
      </c>
      <c r="J16" t="s">
        <v>6</v>
      </c>
      <c r="K16" t="str">
        <f t="shared" ref="K16:T25" si="3">IFERROR(IFERROR(IF(K$5=$K$1,VLOOKUP($A16,dormitorios,2,0),IF(K$5=$L$1,VLOOKUP($A16,comedor,2,0),IF(K$5=$M$1,VLOOKUP($A16,alojamiento,2,0),IF(K$5=$N$1,VLOOKUP($A16,sanidad,2,0),IF(K$5=$O$1,VLOOKUP($A16,servicios,2,0),IF(K$5=$P$1,VLOOKUP($A16,comyaloj,2,0),IF(K$5=$Q$1,VLOOKUP($A16,comandancia,2,0),IF(K$5=$R$1,VLOOKUP($A16,mantenimiento,2,0),IF(K$5=$S$1,VLOOKUP($A16,serestatal,2,0),IF(K$5=$T$1,VLOOKUP($A16,conferencias,2,0),"")))))))))),"")*K$3,"")</f>
        <v/>
      </c>
      <c r="L16" t="str">
        <f t="shared" si="3"/>
        <v/>
      </c>
      <c r="M16" t="str">
        <f t="shared" si="3"/>
        <v/>
      </c>
      <c r="N16" t="str">
        <f t="shared" si="3"/>
        <v/>
      </c>
      <c r="O16" t="str">
        <f t="shared" si="3"/>
        <v/>
      </c>
      <c r="P16" t="str">
        <f t="shared" si="3"/>
        <v/>
      </c>
      <c r="Q16" t="str">
        <f t="shared" si="3"/>
        <v/>
      </c>
      <c r="R16" t="str">
        <f t="shared" si="3"/>
        <v/>
      </c>
      <c r="S16" t="str">
        <f t="shared" si="3"/>
        <v/>
      </c>
      <c r="T16" t="str">
        <f t="shared" si="3"/>
        <v/>
      </c>
      <c r="U16" t="str">
        <f t="shared" ref="U16:AB25" si="4">IFERROR(IFERROR(IF(U$5=$K$1,VLOOKUP($A16,dormitorios,2,0),IF(U$5=$L$1,VLOOKUP($A16,comedor,2,0),IF(U$5=$M$1,VLOOKUP($A16,alojamiento,2,0),IF(U$5=$N$1,VLOOKUP($A16,sanidad,2,0),IF(U$5=$O$1,VLOOKUP($A16,servicios,2,0),IF(U$5=$P$1,VLOOKUP($A16,comyaloj,2,0),IF(U$5=$Q$1,VLOOKUP($A16,comandancia,2,0),IF(U$5=$R$1,VLOOKUP($A16,mantenimiento,2,0),IF(U$5=$S$1,VLOOKUP($A16,serestatal,2,0),IF(U$5=$T$1,VLOOKUP($A16,conferencias,2,0),"")))))))))),"")*U$3,"")</f>
        <v/>
      </c>
      <c r="V16" t="str">
        <f t="shared" si="4"/>
        <v/>
      </c>
      <c r="W16" t="str">
        <f t="shared" si="4"/>
        <v/>
      </c>
      <c r="X16" t="str">
        <f t="shared" si="4"/>
        <v/>
      </c>
      <c r="Y16" t="str">
        <f t="shared" si="4"/>
        <v/>
      </c>
      <c r="Z16" t="str">
        <f t="shared" si="4"/>
        <v/>
      </c>
      <c r="AA16" t="str">
        <f t="shared" si="4"/>
        <v/>
      </c>
      <c r="AB16" t="str">
        <f t="shared" si="4"/>
        <v/>
      </c>
      <c r="AC16">
        <f t="shared" si="2"/>
        <v>0</v>
      </c>
    </row>
    <row r="17" spans="1:29" x14ac:dyDescent="0.35">
      <c r="A17">
        <v>12</v>
      </c>
      <c r="B17" t="s">
        <v>11</v>
      </c>
      <c r="C17" t="s">
        <v>74</v>
      </c>
      <c r="D17" t="s">
        <v>198</v>
      </c>
      <c r="E17" t="s">
        <v>1</v>
      </c>
      <c r="F17" t="s">
        <v>889</v>
      </c>
      <c r="G17" t="s">
        <v>2</v>
      </c>
      <c r="H17">
        <v>0.8</v>
      </c>
      <c r="I17">
        <v>2.7149999999999999</v>
      </c>
      <c r="J17" t="s">
        <v>6</v>
      </c>
      <c r="K17" t="str">
        <f t="shared" si="3"/>
        <v/>
      </c>
      <c r="L17" t="str">
        <f t="shared" si="3"/>
        <v/>
      </c>
      <c r="M17" t="str">
        <f t="shared" si="3"/>
        <v/>
      </c>
      <c r="N17" t="str">
        <f t="shared" si="3"/>
        <v/>
      </c>
      <c r="O17" t="str">
        <f t="shared" si="3"/>
        <v/>
      </c>
      <c r="P17" t="str">
        <f t="shared" si="3"/>
        <v/>
      </c>
      <c r="Q17" t="str">
        <f t="shared" si="3"/>
        <v/>
      </c>
      <c r="R17" t="str">
        <f t="shared" si="3"/>
        <v/>
      </c>
      <c r="S17" t="str">
        <f t="shared" si="3"/>
        <v/>
      </c>
      <c r="T17" t="str">
        <f t="shared" si="3"/>
        <v/>
      </c>
      <c r="U17" t="str">
        <f t="shared" si="4"/>
        <v/>
      </c>
      <c r="V17" t="str">
        <f t="shared" si="4"/>
        <v/>
      </c>
      <c r="W17" t="str">
        <f t="shared" si="4"/>
        <v/>
      </c>
      <c r="X17" t="str">
        <f t="shared" si="4"/>
        <v/>
      </c>
      <c r="Y17" t="str">
        <f t="shared" si="4"/>
        <v/>
      </c>
      <c r="Z17" t="str">
        <f t="shared" si="4"/>
        <v/>
      </c>
      <c r="AA17" t="str">
        <f t="shared" si="4"/>
        <v/>
      </c>
      <c r="AB17" t="str">
        <f t="shared" si="4"/>
        <v/>
      </c>
      <c r="AC17">
        <f t="shared" si="2"/>
        <v>0</v>
      </c>
    </row>
    <row r="18" spans="1:29" x14ac:dyDescent="0.35">
      <c r="A18">
        <v>13</v>
      </c>
      <c r="B18" t="s">
        <v>11</v>
      </c>
      <c r="C18" t="s">
        <v>122</v>
      </c>
      <c r="D18" t="s">
        <v>199</v>
      </c>
      <c r="E18" t="s">
        <v>1</v>
      </c>
      <c r="F18" t="s">
        <v>889</v>
      </c>
      <c r="G18" t="s">
        <v>0</v>
      </c>
      <c r="H18">
        <v>1.91</v>
      </c>
      <c r="I18">
        <v>2.7149999999999999</v>
      </c>
      <c r="J18" t="s">
        <v>6</v>
      </c>
      <c r="K18" t="str">
        <f t="shared" si="3"/>
        <v/>
      </c>
      <c r="L18" t="str">
        <f t="shared" si="3"/>
        <v/>
      </c>
      <c r="M18" t="str">
        <f t="shared" si="3"/>
        <v/>
      </c>
      <c r="N18" t="str">
        <f t="shared" si="3"/>
        <v/>
      </c>
      <c r="O18" t="str">
        <f t="shared" si="3"/>
        <v/>
      </c>
      <c r="P18" t="str">
        <f t="shared" si="3"/>
        <v/>
      </c>
      <c r="Q18" t="str">
        <f t="shared" si="3"/>
        <v/>
      </c>
      <c r="R18" t="str">
        <f t="shared" si="3"/>
        <v/>
      </c>
      <c r="S18" t="str">
        <f t="shared" si="3"/>
        <v/>
      </c>
      <c r="T18" t="str">
        <f t="shared" si="3"/>
        <v/>
      </c>
      <c r="U18" t="str">
        <f t="shared" si="4"/>
        <v/>
      </c>
      <c r="V18" t="str">
        <f t="shared" si="4"/>
        <v/>
      </c>
      <c r="W18" t="str">
        <f t="shared" si="4"/>
        <v/>
      </c>
      <c r="X18" t="str">
        <f t="shared" si="4"/>
        <v/>
      </c>
      <c r="Y18" t="str">
        <f t="shared" si="4"/>
        <v/>
      </c>
      <c r="Z18" t="str">
        <f t="shared" si="4"/>
        <v/>
      </c>
      <c r="AA18" t="str">
        <f t="shared" si="4"/>
        <v/>
      </c>
      <c r="AB18" t="str">
        <f t="shared" si="4"/>
        <v/>
      </c>
      <c r="AC18">
        <f t="shared" si="2"/>
        <v>0</v>
      </c>
    </row>
    <row r="19" spans="1:29" x14ac:dyDescent="0.35">
      <c r="A19">
        <v>14</v>
      </c>
      <c r="B19" t="s">
        <v>11</v>
      </c>
      <c r="C19" t="s">
        <v>88</v>
      </c>
      <c r="D19" t="s">
        <v>200</v>
      </c>
      <c r="E19" t="s">
        <v>1</v>
      </c>
      <c r="F19" t="s">
        <v>889</v>
      </c>
      <c r="G19" t="s">
        <v>2</v>
      </c>
      <c r="H19">
        <v>1.06</v>
      </c>
      <c r="I19">
        <v>2.7149999999999999</v>
      </c>
      <c r="J19" t="s">
        <v>6</v>
      </c>
      <c r="K19" t="str">
        <f t="shared" si="3"/>
        <v/>
      </c>
      <c r="L19" t="str">
        <f t="shared" si="3"/>
        <v/>
      </c>
      <c r="M19" t="str">
        <f t="shared" si="3"/>
        <v/>
      </c>
      <c r="N19" t="str">
        <f t="shared" si="3"/>
        <v/>
      </c>
      <c r="O19" t="str">
        <f t="shared" si="3"/>
        <v/>
      </c>
      <c r="P19" t="str">
        <f t="shared" si="3"/>
        <v/>
      </c>
      <c r="Q19" t="str">
        <f t="shared" si="3"/>
        <v/>
      </c>
      <c r="R19" t="str">
        <f t="shared" si="3"/>
        <v/>
      </c>
      <c r="S19" t="str">
        <f t="shared" si="3"/>
        <v/>
      </c>
      <c r="T19" t="str">
        <f t="shared" si="3"/>
        <v/>
      </c>
      <c r="U19" t="str">
        <f t="shared" si="4"/>
        <v/>
      </c>
      <c r="V19" t="str">
        <f t="shared" si="4"/>
        <v/>
      </c>
      <c r="W19" t="str">
        <f t="shared" si="4"/>
        <v/>
      </c>
      <c r="X19" t="str">
        <f t="shared" si="4"/>
        <v/>
      </c>
      <c r="Y19" t="str">
        <f t="shared" si="4"/>
        <v/>
      </c>
      <c r="Z19" t="str">
        <f t="shared" si="4"/>
        <v/>
      </c>
      <c r="AA19" t="str">
        <f t="shared" si="4"/>
        <v/>
      </c>
      <c r="AB19" t="str">
        <f t="shared" si="4"/>
        <v/>
      </c>
      <c r="AC19">
        <f t="shared" si="2"/>
        <v>0</v>
      </c>
    </row>
    <row r="20" spans="1:29" x14ac:dyDescent="0.35">
      <c r="A20">
        <v>15</v>
      </c>
      <c r="B20" t="s">
        <v>11</v>
      </c>
      <c r="C20" t="s">
        <v>89</v>
      </c>
      <c r="D20" t="s">
        <v>201</v>
      </c>
      <c r="E20" t="s">
        <v>1</v>
      </c>
      <c r="F20" t="s">
        <v>889</v>
      </c>
      <c r="G20" t="s">
        <v>0</v>
      </c>
      <c r="H20">
        <v>0.77</v>
      </c>
      <c r="I20">
        <v>2.7149999999999999</v>
      </c>
      <c r="J20" t="s">
        <v>6</v>
      </c>
      <c r="K20" t="str">
        <f t="shared" si="3"/>
        <v/>
      </c>
      <c r="L20" t="str">
        <f t="shared" si="3"/>
        <v/>
      </c>
      <c r="M20" t="str">
        <f t="shared" si="3"/>
        <v/>
      </c>
      <c r="N20" t="str">
        <f t="shared" si="3"/>
        <v/>
      </c>
      <c r="O20" t="str">
        <f t="shared" si="3"/>
        <v/>
      </c>
      <c r="P20" t="str">
        <f t="shared" si="3"/>
        <v/>
      </c>
      <c r="Q20" t="str">
        <f t="shared" si="3"/>
        <v/>
      </c>
      <c r="R20" t="str">
        <f t="shared" si="3"/>
        <v/>
      </c>
      <c r="S20" t="str">
        <f t="shared" si="3"/>
        <v/>
      </c>
      <c r="T20" t="str">
        <f t="shared" si="3"/>
        <v/>
      </c>
      <c r="U20" t="str">
        <f t="shared" si="4"/>
        <v/>
      </c>
      <c r="V20" t="str">
        <f t="shared" si="4"/>
        <v/>
      </c>
      <c r="W20" t="str">
        <f t="shared" si="4"/>
        <v/>
      </c>
      <c r="X20" t="str">
        <f t="shared" si="4"/>
        <v/>
      </c>
      <c r="Y20" t="str">
        <f t="shared" si="4"/>
        <v/>
      </c>
      <c r="Z20" t="str">
        <f t="shared" si="4"/>
        <v/>
      </c>
      <c r="AA20" t="str">
        <f t="shared" si="4"/>
        <v/>
      </c>
      <c r="AB20" t="str">
        <f t="shared" si="4"/>
        <v/>
      </c>
      <c r="AC20">
        <f>SUM(K20:AB20)</f>
        <v>0</v>
      </c>
    </row>
    <row r="21" spans="1:29" x14ac:dyDescent="0.35">
      <c r="A21">
        <v>16</v>
      </c>
      <c r="B21" t="s">
        <v>11</v>
      </c>
      <c r="C21" t="s">
        <v>90</v>
      </c>
      <c r="D21" t="s">
        <v>202</v>
      </c>
      <c r="E21" t="s">
        <v>1</v>
      </c>
      <c r="F21" t="s">
        <v>889</v>
      </c>
      <c r="G21" t="s">
        <v>0</v>
      </c>
      <c r="H21">
        <v>1.38</v>
      </c>
      <c r="I21">
        <v>2.7149999999999999</v>
      </c>
      <c r="J21" t="s">
        <v>6</v>
      </c>
      <c r="K21" t="str">
        <f t="shared" si="3"/>
        <v/>
      </c>
      <c r="L21" t="str">
        <f t="shared" si="3"/>
        <v/>
      </c>
      <c r="M21" t="str">
        <f t="shared" si="3"/>
        <v/>
      </c>
      <c r="N21" t="str">
        <f t="shared" si="3"/>
        <v/>
      </c>
      <c r="O21" t="str">
        <f t="shared" si="3"/>
        <v/>
      </c>
      <c r="P21" t="str">
        <f t="shared" si="3"/>
        <v/>
      </c>
      <c r="Q21" t="str">
        <f t="shared" si="3"/>
        <v/>
      </c>
      <c r="R21" t="str">
        <f t="shared" si="3"/>
        <v/>
      </c>
      <c r="S21" t="str">
        <f t="shared" si="3"/>
        <v/>
      </c>
      <c r="T21" t="str">
        <f t="shared" si="3"/>
        <v/>
      </c>
      <c r="U21" t="str">
        <f t="shared" si="4"/>
        <v/>
      </c>
      <c r="V21" t="str">
        <f t="shared" si="4"/>
        <v/>
      </c>
      <c r="W21" t="str">
        <f t="shared" si="4"/>
        <v/>
      </c>
      <c r="X21" t="str">
        <f t="shared" si="4"/>
        <v/>
      </c>
      <c r="Y21" t="str">
        <f t="shared" si="4"/>
        <v/>
      </c>
      <c r="Z21" t="str">
        <f t="shared" si="4"/>
        <v/>
      </c>
      <c r="AA21" t="str">
        <f t="shared" si="4"/>
        <v/>
      </c>
      <c r="AB21" t="str">
        <f t="shared" si="4"/>
        <v/>
      </c>
      <c r="AC21">
        <f>SUM(K21:AB21)</f>
        <v>0</v>
      </c>
    </row>
    <row r="22" spans="1:29" x14ac:dyDescent="0.35">
      <c r="A22">
        <v>17</v>
      </c>
      <c r="B22" t="s">
        <v>11</v>
      </c>
      <c r="C22" t="s">
        <v>91</v>
      </c>
      <c r="D22" t="s">
        <v>203</v>
      </c>
      <c r="E22" t="s">
        <v>1</v>
      </c>
      <c r="F22" t="s">
        <v>889</v>
      </c>
      <c r="G22" t="s">
        <v>0</v>
      </c>
      <c r="H22">
        <v>1.4</v>
      </c>
      <c r="I22">
        <v>2.7149999999999999</v>
      </c>
      <c r="J22" t="s">
        <v>6</v>
      </c>
      <c r="K22" t="str">
        <f t="shared" si="3"/>
        <v/>
      </c>
      <c r="L22" t="str">
        <f t="shared" si="3"/>
        <v/>
      </c>
      <c r="M22" t="str">
        <f t="shared" si="3"/>
        <v/>
      </c>
      <c r="N22" t="str">
        <f t="shared" si="3"/>
        <v/>
      </c>
      <c r="O22" t="str">
        <f t="shared" si="3"/>
        <v/>
      </c>
      <c r="P22" t="str">
        <f t="shared" si="3"/>
        <v/>
      </c>
      <c r="Q22" t="str">
        <f t="shared" si="3"/>
        <v/>
      </c>
      <c r="R22" t="str">
        <f t="shared" si="3"/>
        <v/>
      </c>
      <c r="S22" t="str">
        <f t="shared" si="3"/>
        <v/>
      </c>
      <c r="T22" t="str">
        <f t="shared" si="3"/>
        <v/>
      </c>
      <c r="U22" t="str">
        <f t="shared" si="4"/>
        <v/>
      </c>
      <c r="V22" t="str">
        <f t="shared" si="4"/>
        <v/>
      </c>
      <c r="W22" t="str">
        <f t="shared" si="4"/>
        <v/>
      </c>
      <c r="X22" t="str">
        <f t="shared" si="4"/>
        <v/>
      </c>
      <c r="Y22" t="str">
        <f t="shared" si="4"/>
        <v/>
      </c>
      <c r="Z22" t="str">
        <f t="shared" si="4"/>
        <v/>
      </c>
      <c r="AA22" t="str">
        <f t="shared" si="4"/>
        <v/>
      </c>
      <c r="AB22" t="str">
        <f t="shared" si="4"/>
        <v/>
      </c>
      <c r="AC22">
        <f>SUM(K22:AB22)</f>
        <v>0</v>
      </c>
    </row>
    <row r="23" spans="1:29" x14ac:dyDescent="0.35">
      <c r="A23">
        <v>18</v>
      </c>
      <c r="B23" t="s">
        <v>11</v>
      </c>
      <c r="C23" t="s">
        <v>92</v>
      </c>
      <c r="D23" t="s">
        <v>204</v>
      </c>
      <c r="E23" t="s">
        <v>1</v>
      </c>
      <c r="F23" t="s">
        <v>889</v>
      </c>
      <c r="G23" t="s">
        <v>2</v>
      </c>
      <c r="H23">
        <v>1.9750000000000001</v>
      </c>
      <c r="I23">
        <v>2.7149999999999999</v>
      </c>
      <c r="J23" t="s">
        <v>6</v>
      </c>
      <c r="K23" t="str">
        <f t="shared" si="3"/>
        <v/>
      </c>
      <c r="L23" t="str">
        <f t="shared" si="3"/>
        <v/>
      </c>
      <c r="M23" t="str">
        <f t="shared" si="3"/>
        <v/>
      </c>
      <c r="N23" t="str">
        <f t="shared" si="3"/>
        <v/>
      </c>
      <c r="O23" t="str">
        <f t="shared" si="3"/>
        <v/>
      </c>
      <c r="P23" t="str">
        <f t="shared" si="3"/>
        <v/>
      </c>
      <c r="Q23" t="str">
        <f t="shared" si="3"/>
        <v/>
      </c>
      <c r="R23" t="str">
        <f t="shared" si="3"/>
        <v/>
      </c>
      <c r="S23" t="str">
        <f t="shared" si="3"/>
        <v/>
      </c>
      <c r="T23" t="str">
        <f t="shared" si="3"/>
        <v/>
      </c>
      <c r="U23" t="str">
        <f t="shared" si="4"/>
        <v/>
      </c>
      <c r="V23" t="str">
        <f t="shared" si="4"/>
        <v/>
      </c>
      <c r="W23" t="str">
        <f t="shared" si="4"/>
        <v/>
      </c>
      <c r="X23" t="str">
        <f t="shared" si="4"/>
        <v/>
      </c>
      <c r="Y23" t="str">
        <f t="shared" si="4"/>
        <v/>
      </c>
      <c r="Z23" t="str">
        <f t="shared" si="4"/>
        <v/>
      </c>
      <c r="AA23" t="str">
        <f t="shared" si="4"/>
        <v/>
      </c>
      <c r="AB23" t="str">
        <f t="shared" si="4"/>
        <v/>
      </c>
      <c r="AC23">
        <f t="shared" si="2"/>
        <v>0</v>
      </c>
    </row>
    <row r="24" spans="1:29" x14ac:dyDescent="0.35">
      <c r="A24">
        <v>19</v>
      </c>
      <c r="B24" t="s">
        <v>11</v>
      </c>
      <c r="C24" t="s">
        <v>93</v>
      </c>
      <c r="D24" t="s">
        <v>205</v>
      </c>
      <c r="E24" t="s">
        <v>1</v>
      </c>
      <c r="F24" t="s">
        <v>889</v>
      </c>
      <c r="G24" t="s">
        <v>0</v>
      </c>
      <c r="H24">
        <v>1.53</v>
      </c>
      <c r="I24">
        <v>2.7149999999999999</v>
      </c>
      <c r="J24" t="s">
        <v>6</v>
      </c>
      <c r="K24" t="str">
        <f t="shared" si="3"/>
        <v/>
      </c>
      <c r="L24" t="str">
        <f t="shared" si="3"/>
        <v/>
      </c>
      <c r="M24" t="str">
        <f t="shared" si="3"/>
        <v/>
      </c>
      <c r="N24" t="str">
        <f t="shared" si="3"/>
        <v/>
      </c>
      <c r="O24" t="str">
        <f t="shared" si="3"/>
        <v/>
      </c>
      <c r="P24" t="str">
        <f t="shared" si="3"/>
        <v/>
      </c>
      <c r="Q24" t="str">
        <f t="shared" si="3"/>
        <v/>
      </c>
      <c r="R24" t="str">
        <f t="shared" si="3"/>
        <v/>
      </c>
      <c r="S24" t="str">
        <f t="shared" si="3"/>
        <v/>
      </c>
      <c r="T24" t="str">
        <f t="shared" si="3"/>
        <v/>
      </c>
      <c r="U24" t="str">
        <f t="shared" si="4"/>
        <v/>
      </c>
      <c r="V24" t="str">
        <f t="shared" si="4"/>
        <v/>
      </c>
      <c r="W24" t="str">
        <f t="shared" si="4"/>
        <v/>
      </c>
      <c r="X24" t="str">
        <f t="shared" si="4"/>
        <v/>
      </c>
      <c r="Y24" t="str">
        <f t="shared" si="4"/>
        <v/>
      </c>
      <c r="Z24" t="str">
        <f t="shared" si="4"/>
        <v/>
      </c>
      <c r="AA24" t="str">
        <f t="shared" si="4"/>
        <v/>
      </c>
      <c r="AB24" t="str">
        <f t="shared" si="4"/>
        <v/>
      </c>
      <c r="AC24">
        <f t="shared" si="2"/>
        <v>0</v>
      </c>
    </row>
    <row r="25" spans="1:29" x14ac:dyDescent="0.35">
      <c r="A25">
        <v>20</v>
      </c>
      <c r="B25" t="s">
        <v>11</v>
      </c>
      <c r="C25" t="s">
        <v>94</v>
      </c>
      <c r="D25" t="s">
        <v>206</v>
      </c>
      <c r="E25" t="s">
        <v>1</v>
      </c>
      <c r="F25" t="s">
        <v>889</v>
      </c>
      <c r="G25" t="s">
        <v>2</v>
      </c>
      <c r="H25">
        <v>0.98</v>
      </c>
      <c r="I25">
        <v>2.7149999999999999</v>
      </c>
      <c r="J25" t="s">
        <v>6</v>
      </c>
      <c r="K25" t="str">
        <f t="shared" si="3"/>
        <v/>
      </c>
      <c r="L25" t="str">
        <f t="shared" si="3"/>
        <v/>
      </c>
      <c r="M25" t="str">
        <f t="shared" si="3"/>
        <v/>
      </c>
      <c r="N25" t="str">
        <f t="shared" si="3"/>
        <v/>
      </c>
      <c r="O25" t="str">
        <f t="shared" si="3"/>
        <v/>
      </c>
      <c r="P25" t="str">
        <f t="shared" si="3"/>
        <v/>
      </c>
      <c r="Q25" t="str">
        <f t="shared" si="3"/>
        <v/>
      </c>
      <c r="R25" t="str">
        <f t="shared" si="3"/>
        <v/>
      </c>
      <c r="S25" t="str">
        <f t="shared" si="3"/>
        <v/>
      </c>
      <c r="T25" t="str">
        <f t="shared" si="3"/>
        <v/>
      </c>
      <c r="U25" t="str">
        <f t="shared" si="4"/>
        <v/>
      </c>
      <c r="V25" t="str">
        <f t="shared" si="4"/>
        <v/>
      </c>
      <c r="W25" t="str">
        <f t="shared" si="4"/>
        <v/>
      </c>
      <c r="X25" t="str">
        <f t="shared" si="4"/>
        <v/>
      </c>
      <c r="Y25" t="str">
        <f t="shared" si="4"/>
        <v/>
      </c>
      <c r="Z25" t="str">
        <f t="shared" si="4"/>
        <v/>
      </c>
      <c r="AA25" t="str">
        <f t="shared" si="4"/>
        <v/>
      </c>
      <c r="AB25" t="str">
        <f t="shared" si="4"/>
        <v/>
      </c>
      <c r="AC25">
        <f t="shared" si="2"/>
        <v>0</v>
      </c>
    </row>
    <row r="26" spans="1:29" x14ac:dyDescent="0.35">
      <c r="A26">
        <v>21</v>
      </c>
      <c r="B26" t="s">
        <v>11</v>
      </c>
      <c r="C26" t="s">
        <v>95</v>
      </c>
      <c r="D26" t="s">
        <v>207</v>
      </c>
      <c r="E26" t="s">
        <v>1</v>
      </c>
      <c r="F26" t="s">
        <v>889</v>
      </c>
      <c r="G26" t="s">
        <v>2</v>
      </c>
      <c r="H26">
        <v>1.7</v>
      </c>
      <c r="I26">
        <v>2.7149999999999999</v>
      </c>
      <c r="J26" t="s">
        <v>6</v>
      </c>
      <c r="K26" t="str">
        <f t="shared" ref="K26:T35" si="5">IFERROR(IFERROR(IF(K$5=$K$1,VLOOKUP($A26,dormitorios,2,0),IF(K$5=$L$1,VLOOKUP($A26,comedor,2,0),IF(K$5=$M$1,VLOOKUP($A26,alojamiento,2,0),IF(K$5=$N$1,VLOOKUP($A26,sanidad,2,0),IF(K$5=$O$1,VLOOKUP($A26,servicios,2,0),IF(K$5=$P$1,VLOOKUP($A26,comyaloj,2,0),IF(K$5=$Q$1,VLOOKUP($A26,comandancia,2,0),IF(K$5=$R$1,VLOOKUP($A26,mantenimiento,2,0),IF(K$5=$S$1,VLOOKUP($A26,serestatal,2,0),IF(K$5=$T$1,VLOOKUP($A26,conferencias,2,0),"")))))))))),"")*K$3,"")</f>
        <v/>
      </c>
      <c r="L26" t="str">
        <f t="shared" si="5"/>
        <v/>
      </c>
      <c r="M26" t="str">
        <f t="shared" si="5"/>
        <v/>
      </c>
      <c r="N26" t="str">
        <f t="shared" si="5"/>
        <v/>
      </c>
      <c r="O26" t="str">
        <f t="shared" si="5"/>
        <v/>
      </c>
      <c r="P26" t="str">
        <f t="shared" si="5"/>
        <v/>
      </c>
      <c r="Q26" t="str">
        <f t="shared" si="5"/>
        <v/>
      </c>
      <c r="R26" t="str">
        <f t="shared" si="5"/>
        <v/>
      </c>
      <c r="S26" t="str">
        <f t="shared" si="5"/>
        <v/>
      </c>
      <c r="T26" t="str">
        <f t="shared" si="5"/>
        <v/>
      </c>
      <c r="U26" t="str">
        <f t="shared" ref="U26:AB35" si="6">IFERROR(IFERROR(IF(U$5=$K$1,VLOOKUP($A26,dormitorios,2,0),IF(U$5=$L$1,VLOOKUP($A26,comedor,2,0),IF(U$5=$M$1,VLOOKUP($A26,alojamiento,2,0),IF(U$5=$N$1,VLOOKUP($A26,sanidad,2,0),IF(U$5=$O$1,VLOOKUP($A26,servicios,2,0),IF(U$5=$P$1,VLOOKUP($A26,comyaloj,2,0),IF(U$5=$Q$1,VLOOKUP($A26,comandancia,2,0),IF(U$5=$R$1,VLOOKUP($A26,mantenimiento,2,0),IF(U$5=$S$1,VLOOKUP($A26,serestatal,2,0),IF(U$5=$T$1,VLOOKUP($A26,conferencias,2,0),"")))))))))),"")*U$3,"")</f>
        <v/>
      </c>
      <c r="V26" t="str">
        <f t="shared" si="6"/>
        <v/>
      </c>
      <c r="W26" t="str">
        <f t="shared" si="6"/>
        <v/>
      </c>
      <c r="X26" t="str">
        <f t="shared" si="6"/>
        <v/>
      </c>
      <c r="Y26" t="str">
        <f t="shared" si="6"/>
        <v/>
      </c>
      <c r="Z26" t="str">
        <f t="shared" si="6"/>
        <v/>
      </c>
      <c r="AA26" t="str">
        <f t="shared" si="6"/>
        <v/>
      </c>
      <c r="AB26" t="str">
        <f t="shared" si="6"/>
        <v/>
      </c>
      <c r="AC26">
        <f t="shared" si="2"/>
        <v>0</v>
      </c>
    </row>
    <row r="27" spans="1:29" x14ac:dyDescent="0.35">
      <c r="A27">
        <v>22</v>
      </c>
      <c r="B27" t="s">
        <v>11</v>
      </c>
      <c r="C27" t="s">
        <v>96</v>
      </c>
      <c r="D27" t="s">
        <v>208</v>
      </c>
      <c r="E27" t="s">
        <v>1</v>
      </c>
      <c r="F27" t="s">
        <v>889</v>
      </c>
      <c r="G27" t="s">
        <v>0</v>
      </c>
      <c r="H27">
        <v>1.05</v>
      </c>
      <c r="I27">
        <v>2.7149999999999999</v>
      </c>
      <c r="J27" t="s">
        <v>6</v>
      </c>
      <c r="K27" t="str">
        <f t="shared" si="5"/>
        <v/>
      </c>
      <c r="L27" t="str">
        <f t="shared" si="5"/>
        <v/>
      </c>
      <c r="M27" t="str">
        <f t="shared" si="5"/>
        <v/>
      </c>
      <c r="N27" t="str">
        <f t="shared" si="5"/>
        <v/>
      </c>
      <c r="O27" t="str">
        <f t="shared" si="5"/>
        <v/>
      </c>
      <c r="P27" t="str">
        <f t="shared" si="5"/>
        <v/>
      </c>
      <c r="Q27" t="str">
        <f t="shared" si="5"/>
        <v/>
      </c>
      <c r="R27" t="str">
        <f t="shared" si="5"/>
        <v/>
      </c>
      <c r="S27" t="str">
        <f t="shared" si="5"/>
        <v/>
      </c>
      <c r="T27" t="str">
        <f t="shared" si="5"/>
        <v/>
      </c>
      <c r="U27" t="str">
        <f t="shared" si="6"/>
        <v/>
      </c>
      <c r="V27" t="str">
        <f t="shared" si="6"/>
        <v/>
      </c>
      <c r="W27" t="str">
        <f t="shared" si="6"/>
        <v/>
      </c>
      <c r="X27" t="str">
        <f t="shared" si="6"/>
        <v/>
      </c>
      <c r="Y27" t="str">
        <f t="shared" si="6"/>
        <v/>
      </c>
      <c r="Z27" t="str">
        <f t="shared" si="6"/>
        <v/>
      </c>
      <c r="AA27" t="str">
        <f t="shared" si="6"/>
        <v/>
      </c>
      <c r="AB27" t="str">
        <f t="shared" si="6"/>
        <v/>
      </c>
      <c r="AC27">
        <f t="shared" si="2"/>
        <v>0</v>
      </c>
    </row>
    <row r="28" spans="1:29" x14ac:dyDescent="0.35">
      <c r="A28">
        <v>23</v>
      </c>
      <c r="B28" t="s">
        <v>11</v>
      </c>
      <c r="C28" t="s">
        <v>97</v>
      </c>
      <c r="D28" t="s">
        <v>209</v>
      </c>
      <c r="E28" t="s">
        <v>1</v>
      </c>
      <c r="F28" t="s">
        <v>889</v>
      </c>
      <c r="G28" t="s">
        <v>0</v>
      </c>
      <c r="H28">
        <v>1.18</v>
      </c>
      <c r="I28">
        <v>2.7149999999999999</v>
      </c>
      <c r="J28" t="s">
        <v>6</v>
      </c>
      <c r="K28" t="str">
        <f t="shared" si="5"/>
        <v/>
      </c>
      <c r="L28" t="str">
        <f t="shared" si="5"/>
        <v/>
      </c>
      <c r="M28" t="str">
        <f t="shared" si="5"/>
        <v/>
      </c>
      <c r="N28" t="str">
        <f t="shared" si="5"/>
        <v/>
      </c>
      <c r="O28" t="str">
        <f t="shared" si="5"/>
        <v/>
      </c>
      <c r="P28" t="str">
        <f t="shared" si="5"/>
        <v/>
      </c>
      <c r="Q28" t="str">
        <f t="shared" si="5"/>
        <v/>
      </c>
      <c r="R28" t="str">
        <f t="shared" si="5"/>
        <v/>
      </c>
      <c r="S28" t="str">
        <f t="shared" si="5"/>
        <v/>
      </c>
      <c r="T28" t="str">
        <f t="shared" si="5"/>
        <v/>
      </c>
      <c r="U28" t="str">
        <f t="shared" si="6"/>
        <v/>
      </c>
      <c r="V28" t="str">
        <f t="shared" si="6"/>
        <v/>
      </c>
      <c r="W28" t="str">
        <f t="shared" si="6"/>
        <v/>
      </c>
      <c r="X28" t="str">
        <f t="shared" si="6"/>
        <v/>
      </c>
      <c r="Y28" t="str">
        <f t="shared" si="6"/>
        <v/>
      </c>
      <c r="Z28" t="str">
        <f t="shared" si="6"/>
        <v/>
      </c>
      <c r="AA28" t="str">
        <f t="shared" si="6"/>
        <v/>
      </c>
      <c r="AB28" t="str">
        <f t="shared" si="6"/>
        <v/>
      </c>
      <c r="AC28">
        <f t="shared" si="2"/>
        <v>0</v>
      </c>
    </row>
    <row r="29" spans="1:29" x14ac:dyDescent="0.35">
      <c r="A29">
        <v>24</v>
      </c>
      <c r="B29" t="s">
        <v>11</v>
      </c>
      <c r="C29" t="s">
        <v>108</v>
      </c>
      <c r="D29" t="s">
        <v>210</v>
      </c>
      <c r="E29" t="s">
        <v>1</v>
      </c>
      <c r="F29" t="s">
        <v>889</v>
      </c>
      <c r="G29" t="s">
        <v>0</v>
      </c>
      <c r="H29">
        <v>1.1599999999999999</v>
      </c>
      <c r="I29">
        <v>2.7149999999999999</v>
      </c>
      <c r="J29" t="s">
        <v>6</v>
      </c>
      <c r="K29" t="str">
        <f t="shared" si="5"/>
        <v/>
      </c>
      <c r="L29" t="str">
        <f t="shared" si="5"/>
        <v/>
      </c>
      <c r="M29" t="str">
        <f t="shared" si="5"/>
        <v/>
      </c>
      <c r="N29" t="str">
        <f t="shared" si="5"/>
        <v/>
      </c>
      <c r="O29" t="str">
        <f t="shared" si="5"/>
        <v/>
      </c>
      <c r="P29" t="str">
        <f t="shared" si="5"/>
        <v/>
      </c>
      <c r="Q29" t="str">
        <f t="shared" si="5"/>
        <v/>
      </c>
      <c r="R29" t="str">
        <f t="shared" si="5"/>
        <v/>
      </c>
      <c r="S29" t="str">
        <f t="shared" si="5"/>
        <v/>
      </c>
      <c r="T29" t="str">
        <f t="shared" si="5"/>
        <v/>
      </c>
      <c r="U29" t="str">
        <f t="shared" si="6"/>
        <v/>
      </c>
      <c r="V29" t="str">
        <f t="shared" si="6"/>
        <v/>
      </c>
      <c r="W29" t="str">
        <f t="shared" si="6"/>
        <v/>
      </c>
      <c r="X29" t="str">
        <f t="shared" si="6"/>
        <v/>
      </c>
      <c r="Y29" t="str">
        <f t="shared" si="6"/>
        <v/>
      </c>
      <c r="Z29" t="str">
        <f t="shared" si="6"/>
        <v/>
      </c>
      <c r="AA29" t="str">
        <f t="shared" si="6"/>
        <v/>
      </c>
      <c r="AB29" t="str">
        <f t="shared" si="6"/>
        <v/>
      </c>
      <c r="AC29">
        <f t="shared" si="2"/>
        <v>0</v>
      </c>
    </row>
    <row r="30" spans="1:29" x14ac:dyDescent="0.35">
      <c r="A30">
        <v>25</v>
      </c>
      <c r="B30" t="s">
        <v>11</v>
      </c>
      <c r="C30" t="s">
        <v>109</v>
      </c>
      <c r="D30" t="s">
        <v>211</v>
      </c>
      <c r="E30" t="s">
        <v>1</v>
      </c>
      <c r="F30" t="s">
        <v>889</v>
      </c>
      <c r="G30" t="s">
        <v>2</v>
      </c>
      <c r="H30">
        <v>0.91</v>
      </c>
      <c r="I30">
        <v>2.7149999999999999</v>
      </c>
      <c r="J30" t="s">
        <v>6</v>
      </c>
      <c r="K30" t="str">
        <f t="shared" si="5"/>
        <v/>
      </c>
      <c r="L30" t="str">
        <f t="shared" si="5"/>
        <v/>
      </c>
      <c r="M30" t="str">
        <f t="shared" si="5"/>
        <v/>
      </c>
      <c r="N30" t="str">
        <f t="shared" si="5"/>
        <v/>
      </c>
      <c r="O30" t="str">
        <f t="shared" si="5"/>
        <v/>
      </c>
      <c r="P30" t="str">
        <f t="shared" si="5"/>
        <v/>
      </c>
      <c r="Q30" t="str">
        <f t="shared" si="5"/>
        <v/>
      </c>
      <c r="R30" t="str">
        <f t="shared" si="5"/>
        <v/>
      </c>
      <c r="S30" t="str">
        <f t="shared" si="5"/>
        <v/>
      </c>
      <c r="T30" t="str">
        <f t="shared" si="5"/>
        <v/>
      </c>
      <c r="U30" t="str">
        <f t="shared" si="6"/>
        <v/>
      </c>
      <c r="V30" t="str">
        <f t="shared" si="6"/>
        <v/>
      </c>
      <c r="W30" t="str">
        <f t="shared" si="6"/>
        <v/>
      </c>
      <c r="X30" t="str">
        <f t="shared" si="6"/>
        <v/>
      </c>
      <c r="Y30" t="str">
        <f t="shared" si="6"/>
        <v/>
      </c>
      <c r="Z30" t="str">
        <f t="shared" si="6"/>
        <v/>
      </c>
      <c r="AA30" t="str">
        <f t="shared" si="6"/>
        <v/>
      </c>
      <c r="AB30" t="str">
        <f t="shared" si="6"/>
        <v/>
      </c>
      <c r="AC30">
        <f t="shared" si="2"/>
        <v>0</v>
      </c>
    </row>
    <row r="31" spans="1:29" x14ac:dyDescent="0.35">
      <c r="A31">
        <v>26</v>
      </c>
      <c r="B31" t="s">
        <v>11</v>
      </c>
      <c r="C31" t="s">
        <v>110</v>
      </c>
      <c r="D31" t="s">
        <v>212</v>
      </c>
      <c r="E31" t="s">
        <v>1</v>
      </c>
      <c r="F31" t="s">
        <v>889</v>
      </c>
      <c r="G31" t="s">
        <v>0</v>
      </c>
      <c r="H31">
        <v>0.91</v>
      </c>
      <c r="I31">
        <v>2.7149999999999999</v>
      </c>
      <c r="J31" t="s">
        <v>6</v>
      </c>
      <c r="K31" t="str">
        <f t="shared" si="5"/>
        <v/>
      </c>
      <c r="L31" t="str">
        <f t="shared" si="5"/>
        <v/>
      </c>
      <c r="M31" t="str">
        <f t="shared" si="5"/>
        <v/>
      </c>
      <c r="N31" t="str">
        <f t="shared" si="5"/>
        <v/>
      </c>
      <c r="O31" t="str">
        <f t="shared" si="5"/>
        <v/>
      </c>
      <c r="P31" t="str">
        <f t="shared" si="5"/>
        <v/>
      </c>
      <c r="Q31" t="str">
        <f t="shared" si="5"/>
        <v/>
      </c>
      <c r="R31" t="str">
        <f t="shared" si="5"/>
        <v/>
      </c>
      <c r="S31" t="str">
        <f t="shared" si="5"/>
        <v/>
      </c>
      <c r="T31" t="str">
        <f t="shared" si="5"/>
        <v/>
      </c>
      <c r="U31" t="str">
        <f t="shared" si="6"/>
        <v/>
      </c>
      <c r="V31" t="str">
        <f t="shared" si="6"/>
        <v/>
      </c>
      <c r="W31" t="str">
        <f t="shared" si="6"/>
        <v/>
      </c>
      <c r="X31" t="str">
        <f t="shared" si="6"/>
        <v/>
      </c>
      <c r="Y31" t="str">
        <f t="shared" si="6"/>
        <v/>
      </c>
      <c r="Z31" t="str">
        <f t="shared" si="6"/>
        <v/>
      </c>
      <c r="AA31" t="str">
        <f t="shared" si="6"/>
        <v/>
      </c>
      <c r="AB31" t="str">
        <f t="shared" si="6"/>
        <v/>
      </c>
      <c r="AC31">
        <f t="shared" si="2"/>
        <v>0</v>
      </c>
    </row>
    <row r="32" spans="1:29" x14ac:dyDescent="0.35">
      <c r="A32">
        <v>27</v>
      </c>
      <c r="B32" t="s">
        <v>11</v>
      </c>
      <c r="C32" t="s">
        <v>111</v>
      </c>
      <c r="D32" t="s">
        <v>213</v>
      </c>
      <c r="E32" t="s">
        <v>1</v>
      </c>
      <c r="F32" t="s">
        <v>889</v>
      </c>
      <c r="G32" t="s">
        <v>2</v>
      </c>
      <c r="H32">
        <v>2.02</v>
      </c>
      <c r="I32">
        <v>2.7149999999999999</v>
      </c>
      <c r="J32" t="s">
        <v>6</v>
      </c>
      <c r="K32" t="str">
        <f t="shared" si="5"/>
        <v/>
      </c>
      <c r="L32" t="str">
        <f t="shared" si="5"/>
        <v/>
      </c>
      <c r="M32" t="str">
        <f t="shared" si="5"/>
        <v/>
      </c>
      <c r="N32" t="str">
        <f t="shared" si="5"/>
        <v/>
      </c>
      <c r="O32" t="str">
        <f t="shared" si="5"/>
        <v/>
      </c>
      <c r="P32" t="str">
        <f t="shared" si="5"/>
        <v/>
      </c>
      <c r="Q32" t="str">
        <f t="shared" si="5"/>
        <v/>
      </c>
      <c r="R32" t="str">
        <f t="shared" si="5"/>
        <v/>
      </c>
      <c r="S32" t="str">
        <f t="shared" si="5"/>
        <v/>
      </c>
      <c r="T32" t="str">
        <f t="shared" si="5"/>
        <v/>
      </c>
      <c r="U32" t="str">
        <f t="shared" si="6"/>
        <v/>
      </c>
      <c r="V32" t="str">
        <f t="shared" si="6"/>
        <v/>
      </c>
      <c r="W32" t="str">
        <f t="shared" si="6"/>
        <v/>
      </c>
      <c r="X32" t="str">
        <f t="shared" si="6"/>
        <v/>
      </c>
      <c r="Y32" t="str">
        <f t="shared" si="6"/>
        <v/>
      </c>
      <c r="Z32" t="str">
        <f t="shared" si="6"/>
        <v/>
      </c>
      <c r="AA32" t="str">
        <f t="shared" si="6"/>
        <v/>
      </c>
      <c r="AB32" t="str">
        <f t="shared" si="6"/>
        <v/>
      </c>
      <c r="AC32">
        <f t="shared" si="2"/>
        <v>0</v>
      </c>
    </row>
    <row r="33" spans="1:29" x14ac:dyDescent="0.35">
      <c r="A33">
        <v>28</v>
      </c>
      <c r="B33" t="s">
        <v>11</v>
      </c>
      <c r="C33" t="s">
        <v>112</v>
      </c>
      <c r="D33" t="s">
        <v>214</v>
      </c>
      <c r="E33" t="s">
        <v>1</v>
      </c>
      <c r="F33" t="s">
        <v>889</v>
      </c>
      <c r="G33" t="s">
        <v>0</v>
      </c>
      <c r="H33">
        <v>1.85</v>
      </c>
      <c r="I33">
        <v>2.7149999999999999</v>
      </c>
      <c r="J33" t="s">
        <v>6</v>
      </c>
      <c r="K33" t="str">
        <f t="shared" si="5"/>
        <v/>
      </c>
      <c r="L33" t="str">
        <f t="shared" si="5"/>
        <v/>
      </c>
      <c r="M33" t="str">
        <f t="shared" si="5"/>
        <v/>
      </c>
      <c r="N33" t="str">
        <f t="shared" si="5"/>
        <v/>
      </c>
      <c r="O33" t="str">
        <f t="shared" si="5"/>
        <v/>
      </c>
      <c r="P33" t="str">
        <f t="shared" si="5"/>
        <v/>
      </c>
      <c r="Q33" t="str">
        <f t="shared" si="5"/>
        <v/>
      </c>
      <c r="R33" t="str">
        <f t="shared" si="5"/>
        <v/>
      </c>
      <c r="S33" t="str">
        <f t="shared" si="5"/>
        <v/>
      </c>
      <c r="T33" t="str">
        <f t="shared" si="5"/>
        <v/>
      </c>
      <c r="U33" t="str">
        <f t="shared" si="6"/>
        <v/>
      </c>
      <c r="V33" t="str">
        <f t="shared" si="6"/>
        <v/>
      </c>
      <c r="W33" t="str">
        <f t="shared" si="6"/>
        <v/>
      </c>
      <c r="X33" t="str">
        <f t="shared" si="6"/>
        <v/>
      </c>
      <c r="Y33" t="str">
        <f t="shared" si="6"/>
        <v/>
      </c>
      <c r="Z33" t="str">
        <f t="shared" si="6"/>
        <v/>
      </c>
      <c r="AA33" t="str">
        <f t="shared" si="6"/>
        <v/>
      </c>
      <c r="AB33" t="str">
        <f t="shared" si="6"/>
        <v/>
      </c>
      <c r="AC33">
        <f t="shared" si="2"/>
        <v>0</v>
      </c>
    </row>
    <row r="34" spans="1:29" x14ac:dyDescent="0.35">
      <c r="A34">
        <v>29</v>
      </c>
      <c r="B34" t="s">
        <v>11</v>
      </c>
      <c r="C34" t="s">
        <v>113</v>
      </c>
      <c r="D34" t="s">
        <v>215</v>
      </c>
      <c r="E34" t="s">
        <v>1</v>
      </c>
      <c r="F34" t="s">
        <v>889</v>
      </c>
      <c r="G34" t="s">
        <v>2</v>
      </c>
      <c r="H34">
        <v>1.87</v>
      </c>
      <c r="I34">
        <v>2.7149999999999999</v>
      </c>
      <c r="J34" t="s">
        <v>6</v>
      </c>
      <c r="K34" t="str">
        <f t="shared" si="5"/>
        <v/>
      </c>
      <c r="L34" t="str">
        <f t="shared" si="5"/>
        <v/>
      </c>
      <c r="M34" t="str">
        <f t="shared" si="5"/>
        <v/>
      </c>
      <c r="N34" t="str">
        <f t="shared" si="5"/>
        <v/>
      </c>
      <c r="O34" t="str">
        <f t="shared" si="5"/>
        <v/>
      </c>
      <c r="P34" t="str">
        <f t="shared" si="5"/>
        <v/>
      </c>
      <c r="Q34" t="str">
        <f t="shared" si="5"/>
        <v/>
      </c>
      <c r="R34" t="str">
        <f t="shared" si="5"/>
        <v/>
      </c>
      <c r="S34" t="str">
        <f t="shared" si="5"/>
        <v/>
      </c>
      <c r="T34" t="str">
        <f t="shared" si="5"/>
        <v/>
      </c>
      <c r="U34" t="str">
        <f t="shared" si="6"/>
        <v/>
      </c>
      <c r="V34" t="str">
        <f t="shared" si="6"/>
        <v/>
      </c>
      <c r="W34" t="str">
        <f t="shared" si="6"/>
        <v/>
      </c>
      <c r="X34" t="str">
        <f t="shared" si="6"/>
        <v/>
      </c>
      <c r="Y34" t="str">
        <f t="shared" si="6"/>
        <v/>
      </c>
      <c r="Z34" t="str">
        <f t="shared" si="6"/>
        <v/>
      </c>
      <c r="AA34" t="str">
        <f t="shared" si="6"/>
        <v/>
      </c>
      <c r="AB34" t="str">
        <f t="shared" si="6"/>
        <v/>
      </c>
      <c r="AC34">
        <f t="shared" si="2"/>
        <v>0</v>
      </c>
    </row>
    <row r="35" spans="1:29" x14ac:dyDescent="0.35">
      <c r="A35">
        <v>30</v>
      </c>
      <c r="B35" t="s">
        <v>11</v>
      </c>
      <c r="C35" t="s">
        <v>114</v>
      </c>
      <c r="D35" t="s">
        <v>216</v>
      </c>
      <c r="E35" t="s">
        <v>1</v>
      </c>
      <c r="F35" t="s">
        <v>889</v>
      </c>
      <c r="G35" t="s">
        <v>0</v>
      </c>
      <c r="H35">
        <v>1.26</v>
      </c>
      <c r="I35">
        <v>2.7149999999999999</v>
      </c>
      <c r="J35" t="s">
        <v>6</v>
      </c>
      <c r="K35" t="str">
        <f t="shared" si="5"/>
        <v/>
      </c>
      <c r="L35" t="str">
        <f t="shared" si="5"/>
        <v/>
      </c>
      <c r="M35" t="str">
        <f t="shared" si="5"/>
        <v/>
      </c>
      <c r="N35" t="str">
        <f t="shared" si="5"/>
        <v/>
      </c>
      <c r="O35" t="str">
        <f t="shared" si="5"/>
        <v/>
      </c>
      <c r="P35" t="str">
        <f t="shared" si="5"/>
        <v/>
      </c>
      <c r="Q35" t="str">
        <f t="shared" si="5"/>
        <v/>
      </c>
      <c r="R35" t="str">
        <f t="shared" si="5"/>
        <v/>
      </c>
      <c r="S35" t="str">
        <f t="shared" si="5"/>
        <v/>
      </c>
      <c r="T35" t="str">
        <f t="shared" si="5"/>
        <v/>
      </c>
      <c r="U35" t="str">
        <f t="shared" si="6"/>
        <v/>
      </c>
      <c r="V35" t="str">
        <f t="shared" si="6"/>
        <v/>
      </c>
      <c r="W35" t="str">
        <f t="shared" si="6"/>
        <v/>
      </c>
      <c r="X35" t="str">
        <f t="shared" si="6"/>
        <v/>
      </c>
      <c r="Y35" t="str">
        <f t="shared" si="6"/>
        <v/>
      </c>
      <c r="Z35" t="str">
        <f t="shared" si="6"/>
        <v/>
      </c>
      <c r="AA35" t="str">
        <f t="shared" si="6"/>
        <v/>
      </c>
      <c r="AB35" t="str">
        <f t="shared" si="6"/>
        <v/>
      </c>
      <c r="AC35">
        <f t="shared" si="2"/>
        <v>0</v>
      </c>
    </row>
    <row r="36" spans="1:29" x14ac:dyDescent="0.35">
      <c r="A36">
        <v>31</v>
      </c>
      <c r="B36" t="s">
        <v>11</v>
      </c>
      <c r="C36" t="s">
        <v>163</v>
      </c>
      <c r="D36" t="s">
        <v>217</v>
      </c>
      <c r="E36" t="s">
        <v>1</v>
      </c>
      <c r="F36" t="s">
        <v>889</v>
      </c>
      <c r="G36" t="s">
        <v>0</v>
      </c>
      <c r="H36">
        <v>2.16</v>
      </c>
      <c r="I36">
        <v>2.7149999999999999</v>
      </c>
      <c r="J36" t="s">
        <v>6</v>
      </c>
      <c r="K36" t="str">
        <f t="shared" ref="K36:T45" si="7">IFERROR(IFERROR(IF(K$5=$K$1,VLOOKUP($A36,dormitorios,2,0),IF(K$5=$L$1,VLOOKUP($A36,comedor,2,0),IF(K$5=$M$1,VLOOKUP($A36,alojamiento,2,0),IF(K$5=$N$1,VLOOKUP($A36,sanidad,2,0),IF(K$5=$O$1,VLOOKUP($A36,servicios,2,0),IF(K$5=$P$1,VLOOKUP($A36,comyaloj,2,0),IF(K$5=$Q$1,VLOOKUP($A36,comandancia,2,0),IF(K$5=$R$1,VLOOKUP($A36,mantenimiento,2,0),IF(K$5=$S$1,VLOOKUP($A36,serestatal,2,0),IF(K$5=$T$1,VLOOKUP($A36,conferencias,2,0),"")))))))))),"")*K$3,"")</f>
        <v/>
      </c>
      <c r="L36" t="str">
        <f t="shared" si="7"/>
        <v/>
      </c>
      <c r="M36" t="str">
        <f t="shared" si="7"/>
        <v/>
      </c>
      <c r="N36" t="str">
        <f t="shared" si="7"/>
        <v/>
      </c>
      <c r="O36" t="str">
        <f t="shared" si="7"/>
        <v/>
      </c>
      <c r="P36" t="str">
        <f t="shared" si="7"/>
        <v/>
      </c>
      <c r="Q36" t="str">
        <f t="shared" si="7"/>
        <v/>
      </c>
      <c r="R36" t="str">
        <f t="shared" si="7"/>
        <v/>
      </c>
      <c r="S36" t="str">
        <f t="shared" si="7"/>
        <v/>
      </c>
      <c r="T36" t="str">
        <f t="shared" si="7"/>
        <v/>
      </c>
      <c r="U36" t="str">
        <f t="shared" ref="U36:AB45" si="8">IFERROR(IFERROR(IF(U$5=$K$1,VLOOKUP($A36,dormitorios,2,0),IF(U$5=$L$1,VLOOKUP($A36,comedor,2,0),IF(U$5=$M$1,VLOOKUP($A36,alojamiento,2,0),IF(U$5=$N$1,VLOOKUP($A36,sanidad,2,0),IF(U$5=$O$1,VLOOKUP($A36,servicios,2,0),IF(U$5=$P$1,VLOOKUP($A36,comyaloj,2,0),IF(U$5=$Q$1,VLOOKUP($A36,comandancia,2,0),IF(U$5=$R$1,VLOOKUP($A36,mantenimiento,2,0),IF(U$5=$S$1,VLOOKUP($A36,serestatal,2,0),IF(U$5=$T$1,VLOOKUP($A36,conferencias,2,0),"")))))))))),"")*U$3,"")</f>
        <v/>
      </c>
      <c r="V36" t="str">
        <f t="shared" si="8"/>
        <v/>
      </c>
      <c r="W36" t="str">
        <f t="shared" si="8"/>
        <v/>
      </c>
      <c r="X36" t="str">
        <f t="shared" si="8"/>
        <v/>
      </c>
      <c r="Y36" t="str">
        <f t="shared" si="8"/>
        <v/>
      </c>
      <c r="Z36" t="str">
        <f t="shared" si="8"/>
        <v/>
      </c>
      <c r="AA36" t="str">
        <f t="shared" si="8"/>
        <v/>
      </c>
      <c r="AB36" t="str">
        <f t="shared" si="8"/>
        <v/>
      </c>
      <c r="AC36">
        <f t="shared" si="2"/>
        <v>0</v>
      </c>
    </row>
    <row r="37" spans="1:29" x14ac:dyDescent="0.35">
      <c r="A37">
        <v>32</v>
      </c>
      <c r="B37" t="s">
        <v>11</v>
      </c>
      <c r="C37" t="s">
        <v>164</v>
      </c>
      <c r="D37" t="s">
        <v>218</v>
      </c>
      <c r="E37" t="s">
        <v>1</v>
      </c>
      <c r="F37" t="s">
        <v>889</v>
      </c>
      <c r="G37" t="s">
        <v>0</v>
      </c>
      <c r="H37">
        <v>1.56</v>
      </c>
      <c r="I37">
        <v>2.7149999999999999</v>
      </c>
      <c r="J37" t="s">
        <v>6</v>
      </c>
      <c r="K37" t="str">
        <f t="shared" si="7"/>
        <v/>
      </c>
      <c r="L37" t="str">
        <f t="shared" si="7"/>
        <v/>
      </c>
      <c r="M37" t="str">
        <f t="shared" si="7"/>
        <v/>
      </c>
      <c r="N37" t="str">
        <f t="shared" si="7"/>
        <v/>
      </c>
      <c r="O37" t="str">
        <f t="shared" si="7"/>
        <v/>
      </c>
      <c r="P37" t="str">
        <f t="shared" si="7"/>
        <v/>
      </c>
      <c r="Q37" t="str">
        <f t="shared" si="7"/>
        <v/>
      </c>
      <c r="R37" t="str">
        <f t="shared" si="7"/>
        <v/>
      </c>
      <c r="S37" t="str">
        <f t="shared" si="7"/>
        <v/>
      </c>
      <c r="T37" t="str">
        <f t="shared" si="7"/>
        <v/>
      </c>
      <c r="U37" t="str">
        <f t="shared" si="8"/>
        <v/>
      </c>
      <c r="V37" t="str">
        <f t="shared" si="8"/>
        <v/>
      </c>
      <c r="W37" t="str">
        <f t="shared" si="8"/>
        <v/>
      </c>
      <c r="X37" t="str">
        <f t="shared" si="8"/>
        <v/>
      </c>
      <c r="Y37" t="str">
        <f t="shared" si="8"/>
        <v/>
      </c>
      <c r="Z37" t="str">
        <f t="shared" si="8"/>
        <v/>
      </c>
      <c r="AA37" t="str">
        <f t="shared" si="8"/>
        <v/>
      </c>
      <c r="AB37" t="str">
        <f t="shared" si="8"/>
        <v/>
      </c>
      <c r="AC37">
        <f t="shared" si="2"/>
        <v>0</v>
      </c>
    </row>
    <row r="38" spans="1:29" x14ac:dyDescent="0.35">
      <c r="A38">
        <v>33</v>
      </c>
      <c r="B38" t="s">
        <v>11</v>
      </c>
      <c r="C38" t="s">
        <v>165</v>
      </c>
      <c r="D38" t="s">
        <v>221</v>
      </c>
      <c r="E38" t="s">
        <v>1</v>
      </c>
      <c r="F38" t="s">
        <v>889</v>
      </c>
      <c r="G38" t="s">
        <v>0</v>
      </c>
      <c r="H38">
        <v>2.5499999999999998</v>
      </c>
      <c r="I38">
        <v>2.7149999999999999</v>
      </c>
      <c r="J38" t="s">
        <v>6</v>
      </c>
      <c r="K38" t="str">
        <f t="shared" si="7"/>
        <v/>
      </c>
      <c r="L38" t="str">
        <f t="shared" si="7"/>
        <v/>
      </c>
      <c r="M38" t="str">
        <f t="shared" si="7"/>
        <v/>
      </c>
      <c r="N38" t="str">
        <f t="shared" si="7"/>
        <v/>
      </c>
      <c r="O38" t="str">
        <f t="shared" si="7"/>
        <v/>
      </c>
      <c r="P38" t="str">
        <f t="shared" si="7"/>
        <v/>
      </c>
      <c r="Q38" t="str">
        <f t="shared" si="7"/>
        <v/>
      </c>
      <c r="R38" t="str">
        <f t="shared" si="7"/>
        <v/>
      </c>
      <c r="S38" t="str">
        <f t="shared" si="7"/>
        <v/>
      </c>
      <c r="T38" t="str">
        <f t="shared" si="7"/>
        <v/>
      </c>
      <c r="U38" t="str">
        <f t="shared" si="8"/>
        <v/>
      </c>
      <c r="V38" t="str">
        <f t="shared" si="8"/>
        <v/>
      </c>
      <c r="W38" t="str">
        <f t="shared" si="8"/>
        <v/>
      </c>
      <c r="X38" t="str">
        <f t="shared" si="8"/>
        <v/>
      </c>
      <c r="Y38" t="str">
        <f t="shared" si="8"/>
        <v/>
      </c>
      <c r="Z38" t="str">
        <f t="shared" si="8"/>
        <v/>
      </c>
      <c r="AA38" t="str">
        <f t="shared" si="8"/>
        <v/>
      </c>
      <c r="AB38" t="str">
        <f t="shared" si="8"/>
        <v/>
      </c>
      <c r="AC38">
        <f t="shared" si="2"/>
        <v>0</v>
      </c>
    </row>
    <row r="39" spans="1:29" x14ac:dyDescent="0.35">
      <c r="A39">
        <v>34</v>
      </c>
      <c r="B39" t="s">
        <v>11</v>
      </c>
      <c r="C39" t="s">
        <v>166</v>
      </c>
      <c r="D39" t="s">
        <v>222</v>
      </c>
      <c r="E39" t="s">
        <v>1</v>
      </c>
      <c r="F39" t="s">
        <v>889</v>
      </c>
      <c r="G39" t="s">
        <v>9</v>
      </c>
      <c r="H39">
        <v>2.31</v>
      </c>
      <c r="I39">
        <v>2.7149999999999999</v>
      </c>
      <c r="J39" t="s">
        <v>6</v>
      </c>
      <c r="K39" t="str">
        <f t="shared" si="7"/>
        <v/>
      </c>
      <c r="L39" t="str">
        <f t="shared" si="7"/>
        <v/>
      </c>
      <c r="M39" t="str">
        <f t="shared" si="7"/>
        <v/>
      </c>
      <c r="N39" t="str">
        <f t="shared" si="7"/>
        <v/>
      </c>
      <c r="O39" t="str">
        <f t="shared" si="7"/>
        <v/>
      </c>
      <c r="P39" t="str">
        <f t="shared" si="7"/>
        <v/>
      </c>
      <c r="Q39" t="str">
        <f t="shared" si="7"/>
        <v/>
      </c>
      <c r="R39" t="str">
        <f t="shared" si="7"/>
        <v/>
      </c>
      <c r="S39" t="str">
        <f t="shared" si="7"/>
        <v/>
      </c>
      <c r="T39" t="str">
        <f t="shared" si="7"/>
        <v/>
      </c>
      <c r="U39" t="str">
        <f t="shared" si="8"/>
        <v/>
      </c>
      <c r="V39" t="str">
        <f t="shared" si="8"/>
        <v/>
      </c>
      <c r="W39" t="str">
        <f t="shared" si="8"/>
        <v/>
      </c>
      <c r="X39" t="str">
        <f t="shared" si="8"/>
        <v/>
      </c>
      <c r="Y39" t="str">
        <f t="shared" si="8"/>
        <v/>
      </c>
      <c r="Z39" t="str">
        <f t="shared" si="8"/>
        <v/>
      </c>
      <c r="AA39" t="str">
        <f t="shared" si="8"/>
        <v/>
      </c>
      <c r="AB39" t="str">
        <f t="shared" si="8"/>
        <v/>
      </c>
      <c r="AC39">
        <f t="shared" si="2"/>
        <v>0</v>
      </c>
    </row>
    <row r="40" spans="1:29" x14ac:dyDescent="0.35">
      <c r="A40">
        <v>35</v>
      </c>
      <c r="B40" t="s">
        <v>11</v>
      </c>
      <c r="C40" t="s">
        <v>167</v>
      </c>
      <c r="D40" t="s">
        <v>223</v>
      </c>
      <c r="E40" t="s">
        <v>1</v>
      </c>
      <c r="F40" t="s">
        <v>889</v>
      </c>
      <c r="G40" t="s">
        <v>2</v>
      </c>
      <c r="H40">
        <v>2.0049999999999999</v>
      </c>
      <c r="I40">
        <v>2.7149999999999999</v>
      </c>
      <c r="J40" t="s">
        <v>6</v>
      </c>
      <c r="K40" t="str">
        <f t="shared" si="7"/>
        <v/>
      </c>
      <c r="L40" t="str">
        <f t="shared" si="7"/>
        <v/>
      </c>
      <c r="M40" t="str">
        <f t="shared" si="7"/>
        <v/>
      </c>
      <c r="N40" t="str">
        <f t="shared" si="7"/>
        <v/>
      </c>
      <c r="O40" t="str">
        <f t="shared" si="7"/>
        <v/>
      </c>
      <c r="P40" t="str">
        <f t="shared" si="7"/>
        <v/>
      </c>
      <c r="Q40" t="str">
        <f t="shared" si="7"/>
        <v/>
      </c>
      <c r="R40" t="str">
        <f t="shared" si="7"/>
        <v/>
      </c>
      <c r="S40" t="str">
        <f t="shared" si="7"/>
        <v/>
      </c>
      <c r="T40" t="str">
        <f t="shared" si="7"/>
        <v/>
      </c>
      <c r="U40" t="str">
        <f t="shared" si="8"/>
        <v/>
      </c>
      <c r="V40" t="str">
        <f t="shared" si="8"/>
        <v/>
      </c>
      <c r="W40" t="str">
        <f t="shared" si="8"/>
        <v/>
      </c>
      <c r="X40" t="str">
        <f t="shared" si="8"/>
        <v/>
      </c>
      <c r="Y40" t="str">
        <f t="shared" si="8"/>
        <v/>
      </c>
      <c r="Z40" t="str">
        <f t="shared" si="8"/>
        <v/>
      </c>
      <c r="AA40" t="str">
        <f t="shared" si="8"/>
        <v/>
      </c>
      <c r="AB40" t="str">
        <f t="shared" si="8"/>
        <v/>
      </c>
      <c r="AC40">
        <f t="shared" si="2"/>
        <v>0</v>
      </c>
    </row>
    <row r="41" spans="1:29" x14ac:dyDescent="0.35">
      <c r="A41">
        <v>36</v>
      </c>
      <c r="B41" t="s">
        <v>11</v>
      </c>
      <c r="C41" t="s">
        <v>168</v>
      </c>
      <c r="D41" t="s">
        <v>224</v>
      </c>
      <c r="E41" t="s">
        <v>1</v>
      </c>
      <c r="F41" t="s">
        <v>889</v>
      </c>
      <c r="G41" t="s">
        <v>0</v>
      </c>
      <c r="H41">
        <v>1.96</v>
      </c>
      <c r="I41">
        <v>2.7149999999999999</v>
      </c>
      <c r="J41" t="s">
        <v>6</v>
      </c>
      <c r="K41">
        <f t="shared" si="7"/>
        <v>3</v>
      </c>
      <c r="L41" t="str">
        <f t="shared" si="7"/>
        <v/>
      </c>
      <c r="M41" t="str">
        <f t="shared" si="7"/>
        <v/>
      </c>
      <c r="N41" t="str">
        <f t="shared" si="7"/>
        <v/>
      </c>
      <c r="O41" t="str">
        <f t="shared" si="7"/>
        <v/>
      </c>
      <c r="P41" t="str">
        <f t="shared" si="7"/>
        <v/>
      </c>
      <c r="Q41" t="str">
        <f t="shared" si="7"/>
        <v/>
      </c>
      <c r="R41" t="str">
        <f t="shared" si="7"/>
        <v/>
      </c>
      <c r="S41" t="str">
        <f t="shared" si="7"/>
        <v/>
      </c>
      <c r="T41" t="str">
        <f t="shared" si="7"/>
        <v/>
      </c>
      <c r="U41" t="str">
        <f t="shared" si="8"/>
        <v/>
      </c>
      <c r="V41" t="str">
        <f t="shared" si="8"/>
        <v/>
      </c>
      <c r="W41" t="str">
        <f t="shared" si="8"/>
        <v/>
      </c>
      <c r="X41" t="str">
        <f t="shared" si="8"/>
        <v/>
      </c>
      <c r="Y41" t="str">
        <f t="shared" si="8"/>
        <v/>
      </c>
      <c r="Z41" t="str">
        <f t="shared" si="8"/>
        <v/>
      </c>
      <c r="AA41" t="str">
        <f t="shared" si="8"/>
        <v/>
      </c>
      <c r="AB41" t="str">
        <f t="shared" si="8"/>
        <v/>
      </c>
      <c r="AC41">
        <f t="shared" si="2"/>
        <v>3</v>
      </c>
    </row>
    <row r="42" spans="1:29" x14ac:dyDescent="0.35">
      <c r="A42">
        <v>37</v>
      </c>
      <c r="B42" t="s">
        <v>11</v>
      </c>
      <c r="C42" t="s">
        <v>169</v>
      </c>
      <c r="D42" t="s">
        <v>225</v>
      </c>
      <c r="E42" t="s">
        <v>1</v>
      </c>
      <c r="F42" t="s">
        <v>889</v>
      </c>
      <c r="G42" t="s">
        <v>2</v>
      </c>
      <c r="H42">
        <v>0.71</v>
      </c>
      <c r="I42">
        <v>2.7149999999999999</v>
      </c>
      <c r="J42" t="s">
        <v>6</v>
      </c>
      <c r="K42" t="str">
        <f t="shared" si="7"/>
        <v/>
      </c>
      <c r="L42" t="str">
        <f t="shared" si="7"/>
        <v/>
      </c>
      <c r="M42" t="str">
        <f t="shared" si="7"/>
        <v/>
      </c>
      <c r="N42" t="str">
        <f t="shared" si="7"/>
        <v/>
      </c>
      <c r="O42" t="str">
        <f t="shared" si="7"/>
        <v/>
      </c>
      <c r="P42" t="str">
        <f t="shared" si="7"/>
        <v/>
      </c>
      <c r="Q42" t="str">
        <f t="shared" si="7"/>
        <v/>
      </c>
      <c r="R42" t="str">
        <f t="shared" si="7"/>
        <v/>
      </c>
      <c r="S42" t="str">
        <f t="shared" si="7"/>
        <v/>
      </c>
      <c r="T42" t="str">
        <f t="shared" si="7"/>
        <v/>
      </c>
      <c r="U42" t="str">
        <f t="shared" si="8"/>
        <v/>
      </c>
      <c r="V42" t="str">
        <f t="shared" si="8"/>
        <v/>
      </c>
      <c r="W42" t="str">
        <f t="shared" si="8"/>
        <v/>
      </c>
      <c r="X42" t="str">
        <f t="shared" si="8"/>
        <v/>
      </c>
      <c r="Y42" t="str">
        <f t="shared" si="8"/>
        <v/>
      </c>
      <c r="Z42" t="str">
        <f t="shared" si="8"/>
        <v/>
      </c>
      <c r="AA42" t="str">
        <f t="shared" si="8"/>
        <v/>
      </c>
      <c r="AB42" t="str">
        <f t="shared" si="8"/>
        <v/>
      </c>
      <c r="AC42">
        <f t="shared" si="2"/>
        <v>0</v>
      </c>
    </row>
    <row r="43" spans="1:29" x14ac:dyDescent="0.35">
      <c r="A43">
        <v>38</v>
      </c>
      <c r="B43" t="s">
        <v>11</v>
      </c>
      <c r="C43" t="s">
        <v>170</v>
      </c>
      <c r="D43" t="s">
        <v>226</v>
      </c>
      <c r="E43" t="s">
        <v>1</v>
      </c>
      <c r="F43" t="s">
        <v>889</v>
      </c>
      <c r="G43" t="s">
        <v>2</v>
      </c>
      <c r="H43">
        <v>1.02</v>
      </c>
      <c r="I43">
        <v>2.7149999999999999</v>
      </c>
      <c r="J43" t="s">
        <v>6</v>
      </c>
      <c r="K43" t="str">
        <f t="shared" si="7"/>
        <v/>
      </c>
      <c r="L43" t="str">
        <f t="shared" si="7"/>
        <v/>
      </c>
      <c r="M43" t="str">
        <f t="shared" si="7"/>
        <v/>
      </c>
      <c r="N43" t="str">
        <f t="shared" si="7"/>
        <v/>
      </c>
      <c r="O43" t="str">
        <f t="shared" si="7"/>
        <v/>
      </c>
      <c r="P43" t="str">
        <f t="shared" si="7"/>
        <v/>
      </c>
      <c r="Q43" t="str">
        <f t="shared" si="7"/>
        <v/>
      </c>
      <c r="R43" t="str">
        <f t="shared" si="7"/>
        <v/>
      </c>
      <c r="S43" t="str">
        <f t="shared" si="7"/>
        <v/>
      </c>
      <c r="T43" t="str">
        <f t="shared" si="7"/>
        <v/>
      </c>
      <c r="U43" t="str">
        <f t="shared" si="8"/>
        <v/>
      </c>
      <c r="V43" t="str">
        <f t="shared" si="8"/>
        <v/>
      </c>
      <c r="W43" t="str">
        <f t="shared" si="8"/>
        <v/>
      </c>
      <c r="X43" t="str">
        <f t="shared" si="8"/>
        <v/>
      </c>
      <c r="Y43" t="str">
        <f t="shared" si="8"/>
        <v/>
      </c>
      <c r="Z43" t="str">
        <f t="shared" si="8"/>
        <v/>
      </c>
      <c r="AA43" t="str">
        <f t="shared" si="8"/>
        <v/>
      </c>
      <c r="AB43" t="str">
        <f t="shared" si="8"/>
        <v/>
      </c>
      <c r="AC43">
        <f t="shared" si="2"/>
        <v>0</v>
      </c>
    </row>
    <row r="44" spans="1:29" x14ac:dyDescent="0.35">
      <c r="A44">
        <v>39</v>
      </c>
      <c r="B44" t="s">
        <v>11</v>
      </c>
      <c r="C44" t="s">
        <v>155</v>
      </c>
      <c r="D44" t="s">
        <v>227</v>
      </c>
      <c r="E44" t="s">
        <v>1</v>
      </c>
      <c r="F44" t="s">
        <v>889</v>
      </c>
      <c r="G44" t="s">
        <v>2</v>
      </c>
      <c r="H44">
        <v>1.4</v>
      </c>
      <c r="I44">
        <v>2.7149999999999999</v>
      </c>
      <c r="J44" t="s">
        <v>6</v>
      </c>
      <c r="K44" t="str">
        <f t="shared" si="7"/>
        <v/>
      </c>
      <c r="L44" t="str">
        <f t="shared" si="7"/>
        <v/>
      </c>
      <c r="M44" t="str">
        <f t="shared" si="7"/>
        <v/>
      </c>
      <c r="N44" t="str">
        <f t="shared" si="7"/>
        <v/>
      </c>
      <c r="O44" t="str">
        <f t="shared" si="7"/>
        <v/>
      </c>
      <c r="P44" t="str">
        <f t="shared" si="7"/>
        <v/>
      </c>
      <c r="Q44" t="str">
        <f t="shared" si="7"/>
        <v/>
      </c>
      <c r="R44" t="str">
        <f t="shared" si="7"/>
        <v/>
      </c>
      <c r="S44" t="str">
        <f t="shared" si="7"/>
        <v/>
      </c>
      <c r="T44" t="str">
        <f t="shared" si="7"/>
        <v/>
      </c>
      <c r="U44" t="str">
        <f t="shared" si="8"/>
        <v/>
      </c>
      <c r="V44" t="str">
        <f t="shared" si="8"/>
        <v/>
      </c>
      <c r="W44" t="str">
        <f t="shared" si="8"/>
        <v/>
      </c>
      <c r="X44" t="str">
        <f t="shared" si="8"/>
        <v/>
      </c>
      <c r="Y44" t="str">
        <f t="shared" si="8"/>
        <v/>
      </c>
      <c r="Z44" t="str">
        <f t="shared" si="8"/>
        <v/>
      </c>
      <c r="AA44" t="str">
        <f t="shared" si="8"/>
        <v/>
      </c>
      <c r="AB44" t="str">
        <f t="shared" si="8"/>
        <v/>
      </c>
      <c r="AC44">
        <f t="shared" si="2"/>
        <v>0</v>
      </c>
    </row>
    <row r="45" spans="1:29" x14ac:dyDescent="0.35">
      <c r="A45">
        <v>40</v>
      </c>
      <c r="B45" t="s">
        <v>11</v>
      </c>
      <c r="C45" t="s">
        <v>156</v>
      </c>
      <c r="D45" t="s">
        <v>228</v>
      </c>
      <c r="E45" t="s">
        <v>1</v>
      </c>
      <c r="F45" t="s">
        <v>889</v>
      </c>
      <c r="G45" t="s">
        <v>0</v>
      </c>
      <c r="H45">
        <v>0.9</v>
      </c>
      <c r="I45">
        <v>2.7149999999999999</v>
      </c>
      <c r="J45" t="s">
        <v>6</v>
      </c>
      <c r="K45" t="str">
        <f t="shared" si="7"/>
        <v/>
      </c>
      <c r="L45" t="str">
        <f t="shared" si="7"/>
        <v/>
      </c>
      <c r="M45" t="str">
        <f t="shared" si="7"/>
        <v/>
      </c>
      <c r="N45" t="str">
        <f t="shared" si="7"/>
        <v/>
      </c>
      <c r="O45" t="str">
        <f t="shared" si="7"/>
        <v/>
      </c>
      <c r="P45" t="str">
        <f t="shared" si="7"/>
        <v/>
      </c>
      <c r="Q45" t="str">
        <f t="shared" si="7"/>
        <v/>
      </c>
      <c r="R45" t="str">
        <f t="shared" si="7"/>
        <v/>
      </c>
      <c r="S45" t="str">
        <f t="shared" si="7"/>
        <v/>
      </c>
      <c r="T45" t="str">
        <f t="shared" si="7"/>
        <v/>
      </c>
      <c r="U45" t="str">
        <f t="shared" si="8"/>
        <v/>
      </c>
      <c r="V45" t="str">
        <f t="shared" si="8"/>
        <v/>
      </c>
      <c r="W45" t="str">
        <f t="shared" si="8"/>
        <v/>
      </c>
      <c r="X45" t="str">
        <f t="shared" si="8"/>
        <v/>
      </c>
      <c r="Y45" t="str">
        <f t="shared" si="8"/>
        <v/>
      </c>
      <c r="Z45" t="str">
        <f t="shared" si="8"/>
        <v/>
      </c>
      <c r="AA45" t="str">
        <f t="shared" si="8"/>
        <v/>
      </c>
      <c r="AB45" t="str">
        <f t="shared" si="8"/>
        <v/>
      </c>
      <c r="AC45">
        <f t="shared" si="2"/>
        <v>0</v>
      </c>
    </row>
    <row r="46" spans="1:29" x14ac:dyDescent="0.35">
      <c r="A46">
        <v>41</v>
      </c>
      <c r="B46" t="s">
        <v>11</v>
      </c>
      <c r="C46" t="s">
        <v>157</v>
      </c>
      <c r="D46" t="s">
        <v>229</v>
      </c>
      <c r="E46" t="s">
        <v>1</v>
      </c>
      <c r="F46" t="s">
        <v>889</v>
      </c>
      <c r="G46" t="s">
        <v>0</v>
      </c>
      <c r="H46">
        <v>1.06</v>
      </c>
      <c r="I46">
        <v>2.7149999999999999</v>
      </c>
      <c r="J46" t="s">
        <v>6</v>
      </c>
      <c r="K46" t="str">
        <f t="shared" ref="K46:T55" si="9">IFERROR(IFERROR(IF(K$5=$K$1,VLOOKUP($A46,dormitorios,2,0),IF(K$5=$L$1,VLOOKUP($A46,comedor,2,0),IF(K$5=$M$1,VLOOKUP($A46,alojamiento,2,0),IF(K$5=$N$1,VLOOKUP($A46,sanidad,2,0),IF(K$5=$O$1,VLOOKUP($A46,servicios,2,0),IF(K$5=$P$1,VLOOKUP($A46,comyaloj,2,0),IF(K$5=$Q$1,VLOOKUP($A46,comandancia,2,0),IF(K$5=$R$1,VLOOKUP($A46,mantenimiento,2,0),IF(K$5=$S$1,VLOOKUP($A46,serestatal,2,0),IF(K$5=$T$1,VLOOKUP($A46,conferencias,2,0),"")))))))))),"")*K$3,"")</f>
        <v/>
      </c>
      <c r="L46" t="str">
        <f t="shared" si="9"/>
        <v/>
      </c>
      <c r="M46" t="str">
        <f t="shared" si="9"/>
        <v/>
      </c>
      <c r="N46" t="str">
        <f t="shared" si="9"/>
        <v/>
      </c>
      <c r="O46" t="str">
        <f t="shared" si="9"/>
        <v/>
      </c>
      <c r="P46" t="str">
        <f t="shared" si="9"/>
        <v/>
      </c>
      <c r="Q46" t="str">
        <f t="shared" si="9"/>
        <v/>
      </c>
      <c r="R46" t="str">
        <f t="shared" si="9"/>
        <v/>
      </c>
      <c r="S46" t="str">
        <f t="shared" si="9"/>
        <v/>
      </c>
      <c r="T46" t="str">
        <f t="shared" si="9"/>
        <v/>
      </c>
      <c r="U46" t="str">
        <f t="shared" ref="U46:AB55" si="10">IFERROR(IFERROR(IF(U$5=$K$1,VLOOKUP($A46,dormitorios,2,0),IF(U$5=$L$1,VLOOKUP($A46,comedor,2,0),IF(U$5=$M$1,VLOOKUP($A46,alojamiento,2,0),IF(U$5=$N$1,VLOOKUP($A46,sanidad,2,0),IF(U$5=$O$1,VLOOKUP($A46,servicios,2,0),IF(U$5=$P$1,VLOOKUP($A46,comyaloj,2,0),IF(U$5=$Q$1,VLOOKUP($A46,comandancia,2,0),IF(U$5=$R$1,VLOOKUP($A46,mantenimiento,2,0),IF(U$5=$S$1,VLOOKUP($A46,serestatal,2,0),IF(U$5=$T$1,VLOOKUP($A46,conferencias,2,0),"")))))))))),"")*U$3,"")</f>
        <v/>
      </c>
      <c r="V46" t="str">
        <f t="shared" si="10"/>
        <v/>
      </c>
      <c r="W46" t="str">
        <f t="shared" si="10"/>
        <v/>
      </c>
      <c r="X46" t="str">
        <f t="shared" si="10"/>
        <v/>
      </c>
      <c r="Y46" t="str">
        <f t="shared" si="10"/>
        <v/>
      </c>
      <c r="Z46" t="str">
        <f t="shared" si="10"/>
        <v/>
      </c>
      <c r="AA46" t="str">
        <f t="shared" si="10"/>
        <v/>
      </c>
      <c r="AB46" t="str">
        <f t="shared" si="10"/>
        <v/>
      </c>
      <c r="AC46">
        <f t="shared" si="2"/>
        <v>0</v>
      </c>
    </row>
    <row r="47" spans="1:29" x14ac:dyDescent="0.35">
      <c r="A47">
        <v>42</v>
      </c>
      <c r="B47" t="s">
        <v>11</v>
      </c>
      <c r="C47" t="s">
        <v>158</v>
      </c>
      <c r="D47" t="s">
        <v>230</v>
      </c>
      <c r="E47" t="s">
        <v>1</v>
      </c>
      <c r="F47" t="s">
        <v>889</v>
      </c>
      <c r="G47" t="s">
        <v>0</v>
      </c>
      <c r="H47">
        <v>0.93</v>
      </c>
      <c r="I47">
        <v>2.7149999999999999</v>
      </c>
      <c r="J47" t="s">
        <v>6</v>
      </c>
      <c r="K47" t="str">
        <f t="shared" si="9"/>
        <v/>
      </c>
      <c r="L47" t="str">
        <f t="shared" si="9"/>
        <v/>
      </c>
      <c r="M47" t="str">
        <f t="shared" si="9"/>
        <v/>
      </c>
      <c r="N47" t="str">
        <f t="shared" si="9"/>
        <v/>
      </c>
      <c r="O47" t="str">
        <f t="shared" si="9"/>
        <v/>
      </c>
      <c r="P47" t="str">
        <f t="shared" si="9"/>
        <v/>
      </c>
      <c r="Q47" t="str">
        <f t="shared" si="9"/>
        <v/>
      </c>
      <c r="R47" t="str">
        <f t="shared" si="9"/>
        <v/>
      </c>
      <c r="S47" t="str">
        <f t="shared" si="9"/>
        <v/>
      </c>
      <c r="T47" t="str">
        <f t="shared" si="9"/>
        <v/>
      </c>
      <c r="U47" t="str">
        <f t="shared" si="10"/>
        <v/>
      </c>
      <c r="V47" t="str">
        <f t="shared" si="10"/>
        <v/>
      </c>
      <c r="W47" t="str">
        <f t="shared" si="10"/>
        <v/>
      </c>
      <c r="X47" t="str">
        <f t="shared" si="10"/>
        <v/>
      </c>
      <c r="Y47" t="str">
        <f t="shared" si="10"/>
        <v/>
      </c>
      <c r="Z47" t="str">
        <f t="shared" si="10"/>
        <v/>
      </c>
      <c r="AA47" t="str">
        <f t="shared" si="10"/>
        <v/>
      </c>
      <c r="AB47" t="str">
        <f t="shared" si="10"/>
        <v/>
      </c>
      <c r="AC47">
        <f t="shared" si="2"/>
        <v>0</v>
      </c>
    </row>
    <row r="48" spans="1:29" x14ac:dyDescent="0.35">
      <c r="A48">
        <v>43</v>
      </c>
      <c r="B48" t="s">
        <v>11</v>
      </c>
      <c r="C48" t="s">
        <v>159</v>
      </c>
      <c r="D48" t="s">
        <v>231</v>
      </c>
      <c r="E48" t="s">
        <v>1</v>
      </c>
      <c r="F48" t="s">
        <v>889</v>
      </c>
      <c r="G48" t="s">
        <v>0</v>
      </c>
      <c r="H48">
        <v>1.46</v>
      </c>
      <c r="I48">
        <v>2.7149999999999999</v>
      </c>
      <c r="J48" t="s">
        <v>6</v>
      </c>
      <c r="K48" t="str">
        <f t="shared" si="9"/>
        <v/>
      </c>
      <c r="L48" t="str">
        <f t="shared" si="9"/>
        <v/>
      </c>
      <c r="M48" t="str">
        <f t="shared" si="9"/>
        <v/>
      </c>
      <c r="N48" t="str">
        <f t="shared" si="9"/>
        <v/>
      </c>
      <c r="O48" t="str">
        <f t="shared" si="9"/>
        <v/>
      </c>
      <c r="P48" t="str">
        <f t="shared" si="9"/>
        <v/>
      </c>
      <c r="Q48" t="str">
        <f t="shared" si="9"/>
        <v/>
      </c>
      <c r="R48" t="str">
        <f t="shared" si="9"/>
        <v/>
      </c>
      <c r="S48" t="str">
        <f t="shared" si="9"/>
        <v/>
      </c>
      <c r="T48" t="str">
        <f t="shared" si="9"/>
        <v/>
      </c>
      <c r="U48" t="str">
        <f t="shared" si="10"/>
        <v/>
      </c>
      <c r="V48" t="str">
        <f t="shared" si="10"/>
        <v/>
      </c>
      <c r="W48" t="str">
        <f t="shared" si="10"/>
        <v/>
      </c>
      <c r="X48" t="str">
        <f t="shared" si="10"/>
        <v/>
      </c>
      <c r="Y48" t="str">
        <f t="shared" si="10"/>
        <v/>
      </c>
      <c r="Z48" t="str">
        <f t="shared" si="10"/>
        <v/>
      </c>
      <c r="AA48" t="str">
        <f t="shared" si="10"/>
        <v/>
      </c>
      <c r="AB48" t="str">
        <f t="shared" si="10"/>
        <v/>
      </c>
      <c r="AC48">
        <f t="shared" si="2"/>
        <v>0</v>
      </c>
    </row>
    <row r="49" spans="1:29" x14ac:dyDescent="0.35">
      <c r="A49">
        <v>44</v>
      </c>
      <c r="B49" t="s">
        <v>11</v>
      </c>
      <c r="C49" t="s">
        <v>160</v>
      </c>
      <c r="D49" t="s">
        <v>232</v>
      </c>
      <c r="E49" t="s">
        <v>1</v>
      </c>
      <c r="F49" t="s">
        <v>889</v>
      </c>
      <c r="G49" t="s">
        <v>2</v>
      </c>
      <c r="H49">
        <v>1.51</v>
      </c>
      <c r="I49">
        <v>2.7149999999999999</v>
      </c>
      <c r="J49" t="s">
        <v>6</v>
      </c>
      <c r="K49" t="str">
        <f t="shared" si="9"/>
        <v/>
      </c>
      <c r="L49" t="str">
        <f t="shared" si="9"/>
        <v/>
      </c>
      <c r="M49" t="str">
        <f t="shared" si="9"/>
        <v/>
      </c>
      <c r="N49" t="str">
        <f t="shared" si="9"/>
        <v/>
      </c>
      <c r="O49" t="str">
        <f t="shared" si="9"/>
        <v/>
      </c>
      <c r="P49" t="str">
        <f t="shared" si="9"/>
        <v/>
      </c>
      <c r="Q49" t="str">
        <f t="shared" si="9"/>
        <v/>
      </c>
      <c r="R49" t="str">
        <f t="shared" si="9"/>
        <v/>
      </c>
      <c r="S49" t="str">
        <f t="shared" si="9"/>
        <v/>
      </c>
      <c r="T49" t="str">
        <f t="shared" si="9"/>
        <v/>
      </c>
      <c r="U49" t="str">
        <f t="shared" si="10"/>
        <v/>
      </c>
      <c r="V49" t="str">
        <f t="shared" si="10"/>
        <v/>
      </c>
      <c r="W49" t="str">
        <f t="shared" si="10"/>
        <v/>
      </c>
      <c r="X49" t="str">
        <f t="shared" si="10"/>
        <v/>
      </c>
      <c r="Y49" t="str">
        <f t="shared" si="10"/>
        <v/>
      </c>
      <c r="Z49" t="str">
        <f t="shared" si="10"/>
        <v/>
      </c>
      <c r="AA49" t="str">
        <f t="shared" si="10"/>
        <v/>
      </c>
      <c r="AB49" t="str">
        <f t="shared" si="10"/>
        <v/>
      </c>
      <c r="AC49">
        <f t="shared" si="2"/>
        <v>0</v>
      </c>
    </row>
    <row r="50" spans="1:29" x14ac:dyDescent="0.35">
      <c r="A50">
        <v>45</v>
      </c>
      <c r="B50" t="s">
        <v>11</v>
      </c>
      <c r="C50" t="s">
        <v>161</v>
      </c>
      <c r="D50" t="s">
        <v>233</v>
      </c>
      <c r="E50" t="s">
        <v>1</v>
      </c>
      <c r="F50" t="s">
        <v>889</v>
      </c>
      <c r="G50" t="s">
        <v>0</v>
      </c>
      <c r="H50">
        <v>0.95</v>
      </c>
      <c r="I50">
        <v>2.7149999999999999</v>
      </c>
      <c r="J50" t="s">
        <v>6</v>
      </c>
      <c r="K50" t="str">
        <f t="shared" si="9"/>
        <v/>
      </c>
      <c r="L50" t="str">
        <f t="shared" si="9"/>
        <v/>
      </c>
      <c r="M50" t="str">
        <f t="shared" si="9"/>
        <v/>
      </c>
      <c r="N50" t="str">
        <f t="shared" si="9"/>
        <v/>
      </c>
      <c r="O50" t="str">
        <f t="shared" si="9"/>
        <v/>
      </c>
      <c r="P50" t="str">
        <f t="shared" si="9"/>
        <v/>
      </c>
      <c r="Q50" t="str">
        <f t="shared" si="9"/>
        <v/>
      </c>
      <c r="R50" t="str">
        <f t="shared" si="9"/>
        <v/>
      </c>
      <c r="S50" t="str">
        <f t="shared" si="9"/>
        <v/>
      </c>
      <c r="T50" t="str">
        <f t="shared" si="9"/>
        <v/>
      </c>
      <c r="U50" t="str">
        <f t="shared" si="10"/>
        <v/>
      </c>
      <c r="V50" t="str">
        <f t="shared" si="10"/>
        <v/>
      </c>
      <c r="W50" t="str">
        <f t="shared" si="10"/>
        <v/>
      </c>
      <c r="X50" t="str">
        <f t="shared" si="10"/>
        <v/>
      </c>
      <c r="Y50" t="str">
        <f t="shared" si="10"/>
        <v/>
      </c>
      <c r="Z50" t="str">
        <f t="shared" si="10"/>
        <v/>
      </c>
      <c r="AA50" t="str">
        <f t="shared" si="10"/>
        <v/>
      </c>
      <c r="AB50" t="str">
        <f t="shared" si="10"/>
        <v/>
      </c>
      <c r="AC50">
        <f t="shared" si="2"/>
        <v>0</v>
      </c>
    </row>
    <row r="51" spans="1:29" x14ac:dyDescent="0.35">
      <c r="A51">
        <v>46</v>
      </c>
      <c r="B51" t="s">
        <v>11</v>
      </c>
      <c r="C51" t="s">
        <v>162</v>
      </c>
      <c r="D51" t="s">
        <v>234</v>
      </c>
      <c r="E51" t="s">
        <v>1</v>
      </c>
      <c r="F51" t="s">
        <v>889</v>
      </c>
      <c r="G51" t="s">
        <v>0</v>
      </c>
      <c r="H51">
        <v>1.2749999999999999</v>
      </c>
      <c r="I51">
        <v>2.7149999999999999</v>
      </c>
      <c r="J51" t="s">
        <v>6</v>
      </c>
      <c r="K51" t="str">
        <f t="shared" si="9"/>
        <v/>
      </c>
      <c r="L51" t="str">
        <f t="shared" si="9"/>
        <v/>
      </c>
      <c r="M51" t="str">
        <f t="shared" si="9"/>
        <v/>
      </c>
      <c r="N51" t="str">
        <f t="shared" si="9"/>
        <v/>
      </c>
      <c r="O51" t="str">
        <f t="shared" si="9"/>
        <v/>
      </c>
      <c r="P51" t="str">
        <f t="shared" si="9"/>
        <v/>
      </c>
      <c r="Q51" t="str">
        <f t="shared" si="9"/>
        <v/>
      </c>
      <c r="R51" t="str">
        <f t="shared" si="9"/>
        <v/>
      </c>
      <c r="S51" t="str">
        <f t="shared" si="9"/>
        <v/>
      </c>
      <c r="T51" t="str">
        <f t="shared" si="9"/>
        <v/>
      </c>
      <c r="U51" t="str">
        <f t="shared" si="10"/>
        <v/>
      </c>
      <c r="V51" t="str">
        <f t="shared" si="10"/>
        <v/>
      </c>
      <c r="W51" t="str">
        <f t="shared" si="10"/>
        <v/>
      </c>
      <c r="X51" t="str">
        <f t="shared" si="10"/>
        <v/>
      </c>
      <c r="Y51" t="str">
        <f t="shared" si="10"/>
        <v/>
      </c>
      <c r="Z51" t="str">
        <f t="shared" si="10"/>
        <v/>
      </c>
      <c r="AA51" t="str">
        <f t="shared" si="10"/>
        <v/>
      </c>
      <c r="AB51" t="str">
        <f t="shared" si="10"/>
        <v/>
      </c>
      <c r="AC51">
        <f t="shared" si="2"/>
        <v>0</v>
      </c>
    </row>
    <row r="52" spans="1:29" x14ac:dyDescent="0.35">
      <c r="A52">
        <v>47</v>
      </c>
      <c r="B52" t="s">
        <v>11</v>
      </c>
      <c r="C52" t="s">
        <v>171</v>
      </c>
      <c r="D52" t="s">
        <v>235</v>
      </c>
      <c r="E52" t="s">
        <v>1</v>
      </c>
      <c r="F52" t="s">
        <v>889</v>
      </c>
      <c r="G52" t="s">
        <v>0</v>
      </c>
      <c r="H52">
        <v>1.07</v>
      </c>
      <c r="I52">
        <v>2.7149999999999999</v>
      </c>
      <c r="J52" t="s">
        <v>6</v>
      </c>
      <c r="K52" t="str">
        <f t="shared" si="9"/>
        <v/>
      </c>
      <c r="L52" t="str">
        <f t="shared" si="9"/>
        <v/>
      </c>
      <c r="M52" t="str">
        <f t="shared" si="9"/>
        <v/>
      </c>
      <c r="N52" t="str">
        <f t="shared" si="9"/>
        <v/>
      </c>
      <c r="O52" t="str">
        <f t="shared" si="9"/>
        <v/>
      </c>
      <c r="P52" t="str">
        <f t="shared" si="9"/>
        <v/>
      </c>
      <c r="Q52" t="str">
        <f t="shared" si="9"/>
        <v/>
      </c>
      <c r="R52" t="str">
        <f t="shared" si="9"/>
        <v/>
      </c>
      <c r="S52" t="str">
        <f t="shared" si="9"/>
        <v/>
      </c>
      <c r="T52" t="str">
        <f t="shared" si="9"/>
        <v/>
      </c>
      <c r="U52" t="str">
        <f t="shared" si="10"/>
        <v/>
      </c>
      <c r="V52" t="str">
        <f t="shared" si="10"/>
        <v/>
      </c>
      <c r="W52" t="str">
        <f t="shared" si="10"/>
        <v/>
      </c>
      <c r="X52" t="str">
        <f t="shared" si="10"/>
        <v/>
      </c>
      <c r="Y52" t="str">
        <f t="shared" si="10"/>
        <v/>
      </c>
      <c r="Z52" t="str">
        <f t="shared" si="10"/>
        <v/>
      </c>
      <c r="AA52" t="str">
        <f t="shared" si="10"/>
        <v/>
      </c>
      <c r="AB52" t="str">
        <f t="shared" si="10"/>
        <v/>
      </c>
      <c r="AC52">
        <f t="shared" si="2"/>
        <v>0</v>
      </c>
    </row>
    <row r="53" spans="1:29" x14ac:dyDescent="0.35">
      <c r="A53">
        <v>48</v>
      </c>
      <c r="B53" t="s">
        <v>11</v>
      </c>
      <c r="C53" t="s">
        <v>172</v>
      </c>
      <c r="D53" t="s">
        <v>236</v>
      </c>
      <c r="E53" t="s">
        <v>1</v>
      </c>
      <c r="F53" t="s">
        <v>889</v>
      </c>
      <c r="G53" t="s">
        <v>0</v>
      </c>
      <c r="H53">
        <v>1.27</v>
      </c>
      <c r="I53">
        <v>2.7149999999999999</v>
      </c>
      <c r="J53" t="s">
        <v>6</v>
      </c>
      <c r="K53" t="str">
        <f t="shared" si="9"/>
        <v/>
      </c>
      <c r="L53" t="str">
        <f t="shared" si="9"/>
        <v/>
      </c>
      <c r="M53" t="str">
        <f t="shared" si="9"/>
        <v/>
      </c>
      <c r="N53" t="str">
        <f t="shared" si="9"/>
        <v/>
      </c>
      <c r="O53" t="str">
        <f t="shared" si="9"/>
        <v/>
      </c>
      <c r="P53" t="str">
        <f t="shared" si="9"/>
        <v/>
      </c>
      <c r="Q53" t="str">
        <f t="shared" si="9"/>
        <v/>
      </c>
      <c r="R53" t="str">
        <f t="shared" si="9"/>
        <v/>
      </c>
      <c r="S53" t="str">
        <f t="shared" si="9"/>
        <v/>
      </c>
      <c r="T53" t="str">
        <f t="shared" si="9"/>
        <v/>
      </c>
      <c r="U53" t="str">
        <f t="shared" si="10"/>
        <v/>
      </c>
      <c r="V53" t="str">
        <f t="shared" si="10"/>
        <v/>
      </c>
      <c r="W53" t="str">
        <f t="shared" si="10"/>
        <v/>
      </c>
      <c r="X53" t="str">
        <f t="shared" si="10"/>
        <v/>
      </c>
      <c r="Y53" t="str">
        <f t="shared" si="10"/>
        <v/>
      </c>
      <c r="Z53" t="str">
        <f t="shared" si="10"/>
        <v/>
      </c>
      <c r="AA53" t="str">
        <f t="shared" si="10"/>
        <v/>
      </c>
      <c r="AB53" t="str">
        <f t="shared" si="10"/>
        <v/>
      </c>
      <c r="AC53">
        <f t="shared" si="2"/>
        <v>0</v>
      </c>
    </row>
    <row r="54" spans="1:29" x14ac:dyDescent="0.35">
      <c r="A54">
        <v>49</v>
      </c>
      <c r="B54" t="s">
        <v>11</v>
      </c>
      <c r="C54" t="s">
        <v>173</v>
      </c>
      <c r="D54" t="s">
        <v>237</v>
      </c>
      <c r="E54" t="s">
        <v>1</v>
      </c>
      <c r="F54" t="s">
        <v>889</v>
      </c>
      <c r="G54" t="s">
        <v>0</v>
      </c>
      <c r="H54">
        <v>1.355</v>
      </c>
      <c r="I54">
        <v>2.7149999999999999</v>
      </c>
      <c r="J54" t="s">
        <v>6</v>
      </c>
      <c r="K54" t="str">
        <f t="shared" si="9"/>
        <v/>
      </c>
      <c r="L54" t="str">
        <f t="shared" si="9"/>
        <v/>
      </c>
      <c r="M54" t="str">
        <f t="shared" si="9"/>
        <v/>
      </c>
      <c r="N54" t="str">
        <f t="shared" si="9"/>
        <v/>
      </c>
      <c r="O54" t="str">
        <f t="shared" si="9"/>
        <v/>
      </c>
      <c r="P54" t="str">
        <f t="shared" si="9"/>
        <v/>
      </c>
      <c r="Q54" t="str">
        <f t="shared" si="9"/>
        <v/>
      </c>
      <c r="R54" t="str">
        <f t="shared" si="9"/>
        <v/>
      </c>
      <c r="S54" t="str">
        <f t="shared" si="9"/>
        <v/>
      </c>
      <c r="T54" t="str">
        <f t="shared" si="9"/>
        <v/>
      </c>
      <c r="U54" t="str">
        <f t="shared" si="10"/>
        <v/>
      </c>
      <c r="V54" t="str">
        <f t="shared" si="10"/>
        <v/>
      </c>
      <c r="W54" t="str">
        <f t="shared" si="10"/>
        <v/>
      </c>
      <c r="X54" t="str">
        <f t="shared" si="10"/>
        <v/>
      </c>
      <c r="Y54" t="str">
        <f t="shared" si="10"/>
        <v/>
      </c>
      <c r="Z54" t="str">
        <f t="shared" si="10"/>
        <v/>
      </c>
      <c r="AA54" t="str">
        <f t="shared" si="10"/>
        <v/>
      </c>
      <c r="AB54" t="str">
        <f t="shared" si="10"/>
        <v/>
      </c>
      <c r="AC54">
        <f t="shared" si="2"/>
        <v>0</v>
      </c>
    </row>
    <row r="55" spans="1:29" x14ac:dyDescent="0.35">
      <c r="A55">
        <v>50</v>
      </c>
      <c r="B55" t="s">
        <v>11</v>
      </c>
      <c r="C55" t="s">
        <v>174</v>
      </c>
      <c r="D55" t="s">
        <v>238</v>
      </c>
      <c r="E55" t="s">
        <v>1</v>
      </c>
      <c r="F55" t="s">
        <v>889</v>
      </c>
      <c r="G55" t="s">
        <v>2</v>
      </c>
      <c r="H55">
        <v>1.27</v>
      </c>
      <c r="I55">
        <v>2.7149999999999999</v>
      </c>
      <c r="J55" t="s">
        <v>6</v>
      </c>
      <c r="K55" t="str">
        <f t="shared" si="9"/>
        <v/>
      </c>
      <c r="L55" t="str">
        <f t="shared" si="9"/>
        <v/>
      </c>
      <c r="M55" t="str">
        <f t="shared" si="9"/>
        <v/>
      </c>
      <c r="N55" t="str">
        <f t="shared" si="9"/>
        <v/>
      </c>
      <c r="O55" t="str">
        <f t="shared" si="9"/>
        <v/>
      </c>
      <c r="P55" t="str">
        <f t="shared" si="9"/>
        <v/>
      </c>
      <c r="Q55" t="str">
        <f t="shared" si="9"/>
        <v/>
      </c>
      <c r="R55" t="str">
        <f t="shared" si="9"/>
        <v/>
      </c>
      <c r="S55" t="str">
        <f t="shared" si="9"/>
        <v/>
      </c>
      <c r="T55" t="str">
        <f t="shared" si="9"/>
        <v/>
      </c>
      <c r="U55" t="str">
        <f t="shared" si="10"/>
        <v/>
      </c>
      <c r="V55" t="str">
        <f t="shared" si="10"/>
        <v/>
      </c>
      <c r="W55" t="str">
        <f t="shared" si="10"/>
        <v/>
      </c>
      <c r="X55" t="str">
        <f t="shared" si="10"/>
        <v/>
      </c>
      <c r="Y55" t="str">
        <f t="shared" si="10"/>
        <v/>
      </c>
      <c r="Z55" t="str">
        <f t="shared" si="10"/>
        <v/>
      </c>
      <c r="AA55" t="str">
        <f t="shared" si="10"/>
        <v/>
      </c>
      <c r="AB55" t="str">
        <f t="shared" si="10"/>
        <v/>
      </c>
      <c r="AC55">
        <f t="shared" si="2"/>
        <v>0</v>
      </c>
    </row>
    <row r="56" spans="1:29" x14ac:dyDescent="0.35">
      <c r="A56">
        <v>51</v>
      </c>
      <c r="B56" t="s">
        <v>11</v>
      </c>
      <c r="C56" t="s">
        <v>175</v>
      </c>
      <c r="D56" t="s">
        <v>239</v>
      </c>
      <c r="E56" t="s">
        <v>1</v>
      </c>
      <c r="F56" t="s">
        <v>889</v>
      </c>
      <c r="G56" t="s">
        <v>0</v>
      </c>
      <c r="H56">
        <v>1.02</v>
      </c>
      <c r="I56">
        <v>2.7149999999999999</v>
      </c>
      <c r="J56" t="s">
        <v>6</v>
      </c>
      <c r="K56" t="str">
        <f t="shared" ref="K56:T65" si="11">IFERROR(IFERROR(IF(K$5=$K$1,VLOOKUP($A56,dormitorios,2,0),IF(K$5=$L$1,VLOOKUP($A56,comedor,2,0),IF(K$5=$M$1,VLOOKUP($A56,alojamiento,2,0),IF(K$5=$N$1,VLOOKUP($A56,sanidad,2,0),IF(K$5=$O$1,VLOOKUP($A56,servicios,2,0),IF(K$5=$P$1,VLOOKUP($A56,comyaloj,2,0),IF(K$5=$Q$1,VLOOKUP($A56,comandancia,2,0),IF(K$5=$R$1,VLOOKUP($A56,mantenimiento,2,0),IF(K$5=$S$1,VLOOKUP($A56,serestatal,2,0),IF(K$5=$T$1,VLOOKUP($A56,conferencias,2,0),"")))))))))),"")*K$3,"")</f>
        <v/>
      </c>
      <c r="L56" t="str">
        <f t="shared" si="11"/>
        <v/>
      </c>
      <c r="M56" t="str">
        <f t="shared" si="11"/>
        <v/>
      </c>
      <c r="N56" t="str">
        <f t="shared" si="11"/>
        <v/>
      </c>
      <c r="O56" t="str">
        <f t="shared" si="11"/>
        <v/>
      </c>
      <c r="P56" t="str">
        <f t="shared" si="11"/>
        <v/>
      </c>
      <c r="Q56" t="str">
        <f t="shared" si="11"/>
        <v/>
      </c>
      <c r="R56" t="str">
        <f t="shared" si="11"/>
        <v/>
      </c>
      <c r="S56" t="str">
        <f t="shared" si="11"/>
        <v/>
      </c>
      <c r="T56" t="str">
        <f t="shared" si="11"/>
        <v/>
      </c>
      <c r="U56" t="str">
        <f t="shared" ref="U56:AB65" si="12">IFERROR(IFERROR(IF(U$5=$K$1,VLOOKUP($A56,dormitorios,2,0),IF(U$5=$L$1,VLOOKUP($A56,comedor,2,0),IF(U$5=$M$1,VLOOKUP($A56,alojamiento,2,0),IF(U$5=$N$1,VLOOKUP($A56,sanidad,2,0),IF(U$5=$O$1,VLOOKUP($A56,servicios,2,0),IF(U$5=$P$1,VLOOKUP($A56,comyaloj,2,0),IF(U$5=$Q$1,VLOOKUP($A56,comandancia,2,0),IF(U$5=$R$1,VLOOKUP($A56,mantenimiento,2,0),IF(U$5=$S$1,VLOOKUP($A56,serestatal,2,0),IF(U$5=$T$1,VLOOKUP($A56,conferencias,2,0),"")))))))))),"")*U$3,"")</f>
        <v/>
      </c>
      <c r="V56" t="str">
        <f t="shared" si="12"/>
        <v/>
      </c>
      <c r="W56" t="str">
        <f t="shared" si="12"/>
        <v/>
      </c>
      <c r="X56" t="str">
        <f t="shared" si="12"/>
        <v/>
      </c>
      <c r="Y56" t="str">
        <f t="shared" si="12"/>
        <v/>
      </c>
      <c r="Z56" t="str">
        <f t="shared" si="12"/>
        <v/>
      </c>
      <c r="AA56" t="str">
        <f t="shared" si="12"/>
        <v/>
      </c>
      <c r="AB56" t="str">
        <f t="shared" si="12"/>
        <v/>
      </c>
      <c r="AC56">
        <f t="shared" si="2"/>
        <v>0</v>
      </c>
    </row>
    <row r="57" spans="1:29" x14ac:dyDescent="0.35">
      <c r="A57">
        <v>52</v>
      </c>
      <c r="B57" t="s">
        <v>11</v>
      </c>
      <c r="C57" t="s">
        <v>176</v>
      </c>
      <c r="D57" t="s">
        <v>240</v>
      </c>
      <c r="E57" t="s">
        <v>1</v>
      </c>
      <c r="F57" t="s">
        <v>889</v>
      </c>
      <c r="G57" t="s">
        <v>0</v>
      </c>
      <c r="H57">
        <v>1.1200000000000001</v>
      </c>
      <c r="I57">
        <v>2.7149999999999999</v>
      </c>
      <c r="J57" t="s">
        <v>6</v>
      </c>
      <c r="K57" t="str">
        <f t="shared" si="11"/>
        <v/>
      </c>
      <c r="L57" t="str">
        <f t="shared" si="11"/>
        <v/>
      </c>
      <c r="M57" t="str">
        <f t="shared" si="11"/>
        <v/>
      </c>
      <c r="N57" t="str">
        <f t="shared" si="11"/>
        <v/>
      </c>
      <c r="O57" t="str">
        <f t="shared" si="11"/>
        <v/>
      </c>
      <c r="P57" t="str">
        <f t="shared" si="11"/>
        <v/>
      </c>
      <c r="Q57" t="str">
        <f t="shared" si="11"/>
        <v/>
      </c>
      <c r="R57" t="str">
        <f t="shared" si="11"/>
        <v/>
      </c>
      <c r="S57" t="str">
        <f t="shared" si="11"/>
        <v/>
      </c>
      <c r="T57" t="str">
        <f t="shared" si="11"/>
        <v/>
      </c>
      <c r="U57" t="str">
        <f t="shared" si="12"/>
        <v/>
      </c>
      <c r="V57" t="str">
        <f t="shared" si="12"/>
        <v/>
      </c>
      <c r="W57" t="str">
        <f t="shared" si="12"/>
        <v/>
      </c>
      <c r="X57" t="str">
        <f t="shared" si="12"/>
        <v/>
      </c>
      <c r="Y57" t="str">
        <f t="shared" si="12"/>
        <v/>
      </c>
      <c r="Z57" t="str">
        <f t="shared" si="12"/>
        <v/>
      </c>
      <c r="AA57" t="str">
        <f t="shared" si="12"/>
        <v/>
      </c>
      <c r="AB57" t="str">
        <f t="shared" si="12"/>
        <v/>
      </c>
      <c r="AC57">
        <f t="shared" si="2"/>
        <v>0</v>
      </c>
    </row>
    <row r="58" spans="1:29" x14ac:dyDescent="0.35">
      <c r="A58">
        <v>53</v>
      </c>
      <c r="B58" t="s">
        <v>11</v>
      </c>
      <c r="C58" t="s">
        <v>183</v>
      </c>
      <c r="D58" t="s">
        <v>241</v>
      </c>
      <c r="E58" t="s">
        <v>1</v>
      </c>
      <c r="F58" t="s">
        <v>889</v>
      </c>
      <c r="G58" t="s">
        <v>0</v>
      </c>
      <c r="H58">
        <v>1.9903</v>
      </c>
      <c r="I58">
        <v>2.7149999999999999</v>
      </c>
      <c r="J58" t="s">
        <v>6</v>
      </c>
      <c r="K58" t="str">
        <f t="shared" si="11"/>
        <v/>
      </c>
      <c r="L58" t="str">
        <f t="shared" si="11"/>
        <v/>
      </c>
      <c r="M58" t="str">
        <f t="shared" si="11"/>
        <v/>
      </c>
      <c r="N58" t="str">
        <f t="shared" si="11"/>
        <v/>
      </c>
      <c r="O58" t="str">
        <f t="shared" si="11"/>
        <v/>
      </c>
      <c r="P58" t="str">
        <f t="shared" si="11"/>
        <v/>
      </c>
      <c r="Q58" t="str">
        <f t="shared" si="11"/>
        <v/>
      </c>
      <c r="R58" t="str">
        <f t="shared" si="11"/>
        <v/>
      </c>
      <c r="S58" t="str">
        <f t="shared" si="11"/>
        <v/>
      </c>
      <c r="T58" t="str">
        <f t="shared" si="11"/>
        <v/>
      </c>
      <c r="U58" t="str">
        <f t="shared" si="12"/>
        <v/>
      </c>
      <c r="V58" t="str">
        <f t="shared" si="12"/>
        <v/>
      </c>
      <c r="W58" t="str">
        <f t="shared" si="12"/>
        <v/>
      </c>
      <c r="X58" t="str">
        <f t="shared" si="12"/>
        <v/>
      </c>
      <c r="Y58" t="str">
        <f t="shared" si="12"/>
        <v/>
      </c>
      <c r="Z58" t="str">
        <f t="shared" si="12"/>
        <v/>
      </c>
      <c r="AA58" t="str">
        <f t="shared" si="12"/>
        <v/>
      </c>
      <c r="AB58" t="str">
        <f t="shared" si="12"/>
        <v/>
      </c>
      <c r="AC58">
        <f t="shared" si="2"/>
        <v>0</v>
      </c>
    </row>
    <row r="59" spans="1:29" x14ac:dyDescent="0.35">
      <c r="A59">
        <v>54</v>
      </c>
      <c r="B59" t="s">
        <v>11</v>
      </c>
      <c r="C59" t="s">
        <v>184</v>
      </c>
      <c r="D59" t="s">
        <v>242</v>
      </c>
      <c r="E59" t="s">
        <v>1</v>
      </c>
      <c r="F59" t="s">
        <v>889</v>
      </c>
      <c r="G59" t="s">
        <v>0</v>
      </c>
      <c r="H59">
        <v>2.31</v>
      </c>
      <c r="I59">
        <v>2.7149999999999999</v>
      </c>
      <c r="J59" t="s">
        <v>6</v>
      </c>
      <c r="K59" t="str">
        <f t="shared" si="11"/>
        <v/>
      </c>
      <c r="L59" t="str">
        <f t="shared" si="11"/>
        <v/>
      </c>
      <c r="M59" t="str">
        <f t="shared" si="11"/>
        <v/>
      </c>
      <c r="N59" t="str">
        <f t="shared" si="11"/>
        <v/>
      </c>
      <c r="O59" t="str">
        <f t="shared" si="11"/>
        <v/>
      </c>
      <c r="P59" t="str">
        <f t="shared" si="11"/>
        <v/>
      </c>
      <c r="Q59" t="str">
        <f t="shared" si="11"/>
        <v/>
      </c>
      <c r="R59" t="str">
        <f t="shared" si="11"/>
        <v/>
      </c>
      <c r="S59" t="str">
        <f t="shared" si="11"/>
        <v/>
      </c>
      <c r="T59" t="str">
        <f t="shared" si="11"/>
        <v/>
      </c>
      <c r="U59" t="str">
        <f t="shared" si="12"/>
        <v/>
      </c>
      <c r="V59" t="str">
        <f t="shared" si="12"/>
        <v/>
      </c>
      <c r="W59" t="str">
        <f t="shared" si="12"/>
        <v/>
      </c>
      <c r="X59" t="str">
        <f t="shared" si="12"/>
        <v/>
      </c>
      <c r="Y59" t="str">
        <f t="shared" si="12"/>
        <v/>
      </c>
      <c r="Z59" t="str">
        <f t="shared" si="12"/>
        <v/>
      </c>
      <c r="AA59" t="str">
        <f t="shared" si="12"/>
        <v/>
      </c>
      <c r="AB59" t="str">
        <f t="shared" si="12"/>
        <v/>
      </c>
      <c r="AC59">
        <f t="shared" si="2"/>
        <v>0</v>
      </c>
    </row>
    <row r="60" spans="1:29" x14ac:dyDescent="0.35">
      <c r="A60">
        <v>55</v>
      </c>
      <c r="B60" t="s">
        <v>11</v>
      </c>
      <c r="C60" t="s">
        <v>185</v>
      </c>
      <c r="D60" t="s">
        <v>243</v>
      </c>
      <c r="E60" t="s">
        <v>1</v>
      </c>
      <c r="F60" t="s">
        <v>889</v>
      </c>
      <c r="G60" t="s">
        <v>0</v>
      </c>
      <c r="H60">
        <v>2.0049999999999999</v>
      </c>
      <c r="I60">
        <v>2.7149999999999999</v>
      </c>
      <c r="J60" t="s">
        <v>6</v>
      </c>
      <c r="K60" t="str">
        <f t="shared" si="11"/>
        <v/>
      </c>
      <c r="L60" t="str">
        <f t="shared" si="11"/>
        <v/>
      </c>
      <c r="M60" t="str">
        <f t="shared" si="11"/>
        <v/>
      </c>
      <c r="N60" t="str">
        <f t="shared" si="11"/>
        <v/>
      </c>
      <c r="O60" t="str">
        <f t="shared" si="11"/>
        <v/>
      </c>
      <c r="P60" t="str">
        <f t="shared" si="11"/>
        <v/>
      </c>
      <c r="Q60" t="str">
        <f t="shared" si="11"/>
        <v/>
      </c>
      <c r="R60" t="str">
        <f t="shared" si="11"/>
        <v/>
      </c>
      <c r="S60" t="str">
        <f t="shared" si="11"/>
        <v/>
      </c>
      <c r="T60" t="str">
        <f t="shared" si="11"/>
        <v/>
      </c>
      <c r="U60" t="str">
        <f t="shared" si="12"/>
        <v/>
      </c>
      <c r="V60" t="str">
        <f t="shared" si="12"/>
        <v/>
      </c>
      <c r="W60" t="str">
        <f t="shared" si="12"/>
        <v/>
      </c>
      <c r="X60" t="str">
        <f t="shared" si="12"/>
        <v/>
      </c>
      <c r="Y60" t="str">
        <f t="shared" si="12"/>
        <v/>
      </c>
      <c r="Z60" t="str">
        <f t="shared" si="12"/>
        <v/>
      </c>
      <c r="AA60" t="str">
        <f t="shared" si="12"/>
        <v/>
      </c>
      <c r="AB60" t="str">
        <f t="shared" si="12"/>
        <v/>
      </c>
      <c r="AC60">
        <f t="shared" si="2"/>
        <v>0</v>
      </c>
    </row>
    <row r="61" spans="1:29" x14ac:dyDescent="0.35">
      <c r="A61">
        <v>56</v>
      </c>
      <c r="B61" t="s">
        <v>11</v>
      </c>
      <c r="C61" t="s">
        <v>186</v>
      </c>
      <c r="D61" t="s">
        <v>244</v>
      </c>
      <c r="E61" t="s">
        <v>1</v>
      </c>
      <c r="F61" t="s">
        <v>889</v>
      </c>
      <c r="G61" t="s">
        <v>0</v>
      </c>
      <c r="H61">
        <v>2.09</v>
      </c>
      <c r="I61">
        <v>2.7149999999999999</v>
      </c>
      <c r="J61" t="s">
        <v>6</v>
      </c>
      <c r="K61">
        <f t="shared" si="11"/>
        <v>6</v>
      </c>
      <c r="L61" t="str">
        <f t="shared" si="11"/>
        <v/>
      </c>
      <c r="M61" t="str">
        <f t="shared" si="11"/>
        <v/>
      </c>
      <c r="N61" t="str">
        <f t="shared" si="11"/>
        <v/>
      </c>
      <c r="O61" t="str">
        <f t="shared" si="11"/>
        <v/>
      </c>
      <c r="P61" t="str">
        <f t="shared" si="11"/>
        <v/>
      </c>
      <c r="Q61" t="str">
        <f t="shared" si="11"/>
        <v/>
      </c>
      <c r="R61" t="str">
        <f t="shared" si="11"/>
        <v/>
      </c>
      <c r="S61" t="str">
        <f t="shared" si="11"/>
        <v/>
      </c>
      <c r="T61" t="str">
        <f t="shared" si="11"/>
        <v/>
      </c>
      <c r="U61" t="str">
        <f t="shared" si="12"/>
        <v/>
      </c>
      <c r="V61" t="str">
        <f t="shared" si="12"/>
        <v/>
      </c>
      <c r="W61" t="str">
        <f t="shared" si="12"/>
        <v/>
      </c>
      <c r="X61" t="str">
        <f t="shared" si="12"/>
        <v/>
      </c>
      <c r="Y61" t="str">
        <f t="shared" si="12"/>
        <v/>
      </c>
      <c r="Z61" t="str">
        <f t="shared" si="12"/>
        <v/>
      </c>
      <c r="AA61" t="str">
        <f t="shared" si="12"/>
        <v/>
      </c>
      <c r="AB61" t="str">
        <f t="shared" si="12"/>
        <v/>
      </c>
      <c r="AC61">
        <f t="shared" si="2"/>
        <v>6</v>
      </c>
    </row>
    <row r="62" spans="1:29" x14ac:dyDescent="0.35">
      <c r="A62">
        <v>57</v>
      </c>
      <c r="B62" t="s">
        <v>11</v>
      </c>
      <c r="C62" t="s">
        <v>281</v>
      </c>
      <c r="D62" t="s">
        <v>282</v>
      </c>
      <c r="E62" t="s">
        <v>1</v>
      </c>
      <c r="F62" t="s">
        <v>889</v>
      </c>
      <c r="G62" t="s">
        <v>0</v>
      </c>
      <c r="H62">
        <v>0.6</v>
      </c>
      <c r="I62">
        <v>2.7149999999999999</v>
      </c>
      <c r="J62" t="s">
        <v>6</v>
      </c>
      <c r="K62" t="str">
        <f t="shared" si="11"/>
        <v/>
      </c>
      <c r="L62" t="str">
        <f t="shared" si="11"/>
        <v/>
      </c>
      <c r="M62" t="str">
        <f t="shared" si="11"/>
        <v/>
      </c>
      <c r="N62" t="str">
        <f t="shared" si="11"/>
        <v/>
      </c>
      <c r="O62" t="str">
        <f t="shared" si="11"/>
        <v/>
      </c>
      <c r="P62" t="str">
        <f t="shared" si="11"/>
        <v/>
      </c>
      <c r="Q62" t="str">
        <f t="shared" si="11"/>
        <v/>
      </c>
      <c r="R62" t="str">
        <f t="shared" si="11"/>
        <v/>
      </c>
      <c r="S62" t="str">
        <f t="shared" si="11"/>
        <v/>
      </c>
      <c r="T62" t="str">
        <f t="shared" si="11"/>
        <v/>
      </c>
      <c r="U62" t="str">
        <f t="shared" si="12"/>
        <v/>
      </c>
      <c r="V62" t="str">
        <f t="shared" si="12"/>
        <v/>
      </c>
      <c r="W62" t="str">
        <f t="shared" si="12"/>
        <v/>
      </c>
      <c r="X62" t="str">
        <f t="shared" si="12"/>
        <v/>
      </c>
      <c r="Y62" t="str">
        <f t="shared" si="12"/>
        <v/>
      </c>
      <c r="Z62" t="str">
        <f t="shared" si="12"/>
        <v/>
      </c>
      <c r="AA62" t="str">
        <f t="shared" si="12"/>
        <v/>
      </c>
      <c r="AB62" t="str">
        <f t="shared" si="12"/>
        <v/>
      </c>
      <c r="AC62">
        <f t="shared" si="2"/>
        <v>0</v>
      </c>
    </row>
    <row r="63" spans="1:29" x14ac:dyDescent="0.35">
      <c r="A63">
        <v>58</v>
      </c>
      <c r="B63" t="s">
        <v>11</v>
      </c>
      <c r="C63" t="s">
        <v>283</v>
      </c>
      <c r="D63" t="s">
        <v>284</v>
      </c>
      <c r="E63" t="s">
        <v>1</v>
      </c>
      <c r="F63" t="s">
        <v>889</v>
      </c>
      <c r="G63" t="s">
        <v>0</v>
      </c>
      <c r="H63">
        <v>1.81</v>
      </c>
      <c r="I63">
        <v>2.7149999999999999</v>
      </c>
      <c r="J63" t="s">
        <v>6</v>
      </c>
      <c r="K63" t="str">
        <f t="shared" si="11"/>
        <v/>
      </c>
      <c r="L63" t="str">
        <f t="shared" si="11"/>
        <v/>
      </c>
      <c r="M63" t="str">
        <f t="shared" si="11"/>
        <v/>
      </c>
      <c r="N63" t="str">
        <f t="shared" si="11"/>
        <v/>
      </c>
      <c r="O63" t="str">
        <f t="shared" si="11"/>
        <v/>
      </c>
      <c r="P63" t="str">
        <f t="shared" si="11"/>
        <v/>
      </c>
      <c r="Q63" t="str">
        <f t="shared" si="11"/>
        <v/>
      </c>
      <c r="R63" t="str">
        <f t="shared" si="11"/>
        <v/>
      </c>
      <c r="S63" t="str">
        <f t="shared" si="11"/>
        <v/>
      </c>
      <c r="T63" t="str">
        <f t="shared" si="11"/>
        <v/>
      </c>
      <c r="U63" t="str">
        <f t="shared" si="12"/>
        <v/>
      </c>
      <c r="V63" t="str">
        <f t="shared" si="12"/>
        <v/>
      </c>
      <c r="W63" t="str">
        <f t="shared" si="12"/>
        <v/>
      </c>
      <c r="X63" t="str">
        <f t="shared" si="12"/>
        <v/>
      </c>
      <c r="Y63" t="str">
        <f t="shared" si="12"/>
        <v/>
      </c>
      <c r="Z63" t="str">
        <f t="shared" si="12"/>
        <v/>
      </c>
      <c r="AA63" t="str">
        <f t="shared" si="12"/>
        <v/>
      </c>
      <c r="AB63" t="str">
        <f t="shared" si="12"/>
        <v/>
      </c>
      <c r="AC63">
        <f t="shared" si="2"/>
        <v>0</v>
      </c>
    </row>
    <row r="64" spans="1:29" x14ac:dyDescent="0.35">
      <c r="A64">
        <v>59</v>
      </c>
      <c r="B64" t="s">
        <v>11</v>
      </c>
      <c r="C64" t="s">
        <v>285</v>
      </c>
      <c r="D64" t="s">
        <v>286</v>
      </c>
      <c r="E64" t="s">
        <v>1</v>
      </c>
      <c r="F64" t="s">
        <v>889</v>
      </c>
      <c r="G64" t="s">
        <v>0</v>
      </c>
      <c r="H64">
        <v>1.5</v>
      </c>
      <c r="I64">
        <v>2.7149999999999999</v>
      </c>
      <c r="J64" t="s">
        <v>6</v>
      </c>
      <c r="K64" t="str">
        <f t="shared" si="11"/>
        <v/>
      </c>
      <c r="L64" t="str">
        <f t="shared" si="11"/>
        <v/>
      </c>
      <c r="M64" t="str">
        <f t="shared" si="11"/>
        <v/>
      </c>
      <c r="N64" t="str">
        <f t="shared" si="11"/>
        <v/>
      </c>
      <c r="O64" t="str">
        <f t="shared" si="11"/>
        <v/>
      </c>
      <c r="P64" t="str">
        <f t="shared" si="11"/>
        <v/>
      </c>
      <c r="Q64" t="str">
        <f t="shared" si="11"/>
        <v/>
      </c>
      <c r="R64" t="str">
        <f t="shared" si="11"/>
        <v/>
      </c>
      <c r="S64" t="str">
        <f t="shared" si="11"/>
        <v/>
      </c>
      <c r="T64" t="str">
        <f t="shared" si="11"/>
        <v/>
      </c>
      <c r="U64" t="str">
        <f t="shared" si="12"/>
        <v/>
      </c>
      <c r="V64" t="str">
        <f t="shared" si="12"/>
        <v/>
      </c>
      <c r="W64" t="str">
        <f t="shared" si="12"/>
        <v/>
      </c>
      <c r="X64" t="str">
        <f t="shared" si="12"/>
        <v/>
      </c>
      <c r="Y64" t="str">
        <f t="shared" si="12"/>
        <v/>
      </c>
      <c r="Z64" t="str">
        <f t="shared" si="12"/>
        <v/>
      </c>
      <c r="AA64" t="str">
        <f t="shared" si="12"/>
        <v/>
      </c>
      <c r="AB64" t="str">
        <f t="shared" si="12"/>
        <v/>
      </c>
      <c r="AC64">
        <f t="shared" si="2"/>
        <v>0</v>
      </c>
    </row>
    <row r="65" spans="1:29" x14ac:dyDescent="0.35">
      <c r="A65">
        <v>60</v>
      </c>
      <c r="B65" t="s">
        <v>11</v>
      </c>
      <c r="C65" t="s">
        <v>287</v>
      </c>
      <c r="D65" t="s">
        <v>288</v>
      </c>
      <c r="E65" t="s">
        <v>1</v>
      </c>
      <c r="F65" t="s">
        <v>889</v>
      </c>
      <c r="G65" t="s">
        <v>2</v>
      </c>
      <c r="H65">
        <v>2.0640000000000001</v>
      </c>
      <c r="I65">
        <v>2.7149999999999999</v>
      </c>
      <c r="J65" t="s">
        <v>6</v>
      </c>
      <c r="K65" t="str">
        <f t="shared" si="11"/>
        <v/>
      </c>
      <c r="L65" t="str">
        <f t="shared" si="11"/>
        <v/>
      </c>
      <c r="M65" t="str">
        <f t="shared" si="11"/>
        <v/>
      </c>
      <c r="N65" t="str">
        <f t="shared" si="11"/>
        <v/>
      </c>
      <c r="O65" t="str">
        <f t="shared" si="11"/>
        <v/>
      </c>
      <c r="P65" t="str">
        <f t="shared" si="11"/>
        <v/>
      </c>
      <c r="Q65" t="str">
        <f t="shared" si="11"/>
        <v/>
      </c>
      <c r="R65" t="str">
        <f t="shared" si="11"/>
        <v/>
      </c>
      <c r="S65" t="str">
        <f t="shared" si="11"/>
        <v/>
      </c>
      <c r="T65" t="str">
        <f t="shared" si="11"/>
        <v/>
      </c>
      <c r="U65" t="str">
        <f t="shared" si="12"/>
        <v/>
      </c>
      <c r="V65" t="str">
        <f t="shared" si="12"/>
        <v/>
      </c>
      <c r="W65" t="str">
        <f t="shared" si="12"/>
        <v/>
      </c>
      <c r="X65" t="str">
        <f t="shared" si="12"/>
        <v/>
      </c>
      <c r="Y65" t="str">
        <f t="shared" si="12"/>
        <v/>
      </c>
      <c r="Z65" t="str">
        <f t="shared" si="12"/>
        <v/>
      </c>
      <c r="AA65" t="str">
        <f t="shared" si="12"/>
        <v/>
      </c>
      <c r="AB65" t="str">
        <f t="shared" si="12"/>
        <v/>
      </c>
      <c r="AC65">
        <f t="shared" si="2"/>
        <v>0</v>
      </c>
    </row>
    <row r="66" spans="1:29" x14ac:dyDescent="0.35">
      <c r="A66">
        <v>61</v>
      </c>
      <c r="B66" t="s">
        <v>11</v>
      </c>
      <c r="C66" t="s">
        <v>354</v>
      </c>
      <c r="D66" t="s">
        <v>355</v>
      </c>
      <c r="E66" t="s">
        <v>1</v>
      </c>
      <c r="F66" t="s">
        <v>889</v>
      </c>
      <c r="G66" t="s">
        <v>2</v>
      </c>
      <c r="H66">
        <v>1.99</v>
      </c>
      <c r="I66">
        <v>3</v>
      </c>
      <c r="J66" t="s">
        <v>6</v>
      </c>
      <c r="K66" t="str">
        <f t="shared" ref="K66:T75" si="13">IFERROR(IFERROR(IF(K$5=$K$1,VLOOKUP($A66,dormitorios,2,0),IF(K$5=$L$1,VLOOKUP($A66,comedor,2,0),IF(K$5=$M$1,VLOOKUP($A66,alojamiento,2,0),IF(K$5=$N$1,VLOOKUP($A66,sanidad,2,0),IF(K$5=$O$1,VLOOKUP($A66,servicios,2,0),IF(K$5=$P$1,VLOOKUP($A66,comyaloj,2,0),IF(K$5=$Q$1,VLOOKUP($A66,comandancia,2,0),IF(K$5=$R$1,VLOOKUP($A66,mantenimiento,2,0),IF(K$5=$S$1,VLOOKUP($A66,serestatal,2,0),IF(K$5=$T$1,VLOOKUP($A66,conferencias,2,0),"")))))))))),"")*K$3,"")</f>
        <v/>
      </c>
      <c r="L66" t="str">
        <f t="shared" si="13"/>
        <v/>
      </c>
      <c r="M66" t="str">
        <f t="shared" si="13"/>
        <v/>
      </c>
      <c r="N66" t="str">
        <f t="shared" si="13"/>
        <v/>
      </c>
      <c r="O66" t="str">
        <f t="shared" si="13"/>
        <v/>
      </c>
      <c r="P66" t="str">
        <f t="shared" si="13"/>
        <v/>
      </c>
      <c r="Q66" t="str">
        <f t="shared" si="13"/>
        <v/>
      </c>
      <c r="R66" t="str">
        <f t="shared" si="13"/>
        <v/>
      </c>
      <c r="S66" t="str">
        <f t="shared" si="13"/>
        <v/>
      </c>
      <c r="T66" t="str">
        <f t="shared" si="13"/>
        <v/>
      </c>
      <c r="U66" t="str">
        <f t="shared" ref="U66:AB75" si="14">IFERROR(IFERROR(IF(U$5=$K$1,VLOOKUP($A66,dormitorios,2,0),IF(U$5=$L$1,VLOOKUP($A66,comedor,2,0),IF(U$5=$M$1,VLOOKUP($A66,alojamiento,2,0),IF(U$5=$N$1,VLOOKUP($A66,sanidad,2,0),IF(U$5=$O$1,VLOOKUP($A66,servicios,2,0),IF(U$5=$P$1,VLOOKUP($A66,comyaloj,2,0),IF(U$5=$Q$1,VLOOKUP($A66,comandancia,2,0),IF(U$5=$R$1,VLOOKUP($A66,mantenimiento,2,0),IF(U$5=$S$1,VLOOKUP($A66,serestatal,2,0),IF(U$5=$T$1,VLOOKUP($A66,conferencias,2,0),"")))))))))),"")*U$3,"")</f>
        <v/>
      </c>
      <c r="V66" t="str">
        <f t="shared" si="14"/>
        <v/>
      </c>
      <c r="W66" t="str">
        <f t="shared" si="14"/>
        <v/>
      </c>
      <c r="X66" t="str">
        <f t="shared" si="14"/>
        <v/>
      </c>
      <c r="Y66" t="str">
        <f t="shared" si="14"/>
        <v/>
      </c>
      <c r="Z66" t="str">
        <f t="shared" si="14"/>
        <v/>
      </c>
      <c r="AA66" t="str">
        <f t="shared" si="14"/>
        <v/>
      </c>
      <c r="AB66" t="str">
        <f t="shared" si="14"/>
        <v/>
      </c>
      <c r="AC66">
        <f t="shared" si="2"/>
        <v>0</v>
      </c>
    </row>
    <row r="67" spans="1:29" x14ac:dyDescent="0.35">
      <c r="A67">
        <v>62</v>
      </c>
      <c r="B67" t="s">
        <v>11</v>
      </c>
      <c r="C67" t="s">
        <v>356</v>
      </c>
      <c r="D67" t="s">
        <v>357</v>
      </c>
      <c r="E67" t="s">
        <v>1</v>
      </c>
      <c r="F67" t="s">
        <v>889</v>
      </c>
      <c r="G67" t="s">
        <v>0</v>
      </c>
      <c r="H67">
        <v>2.02</v>
      </c>
      <c r="I67">
        <v>3</v>
      </c>
      <c r="J67" t="s">
        <v>6</v>
      </c>
      <c r="K67" t="str">
        <f t="shared" si="13"/>
        <v/>
      </c>
      <c r="L67" t="str">
        <f t="shared" si="13"/>
        <v/>
      </c>
      <c r="M67" t="str">
        <f t="shared" si="13"/>
        <v/>
      </c>
      <c r="N67" t="str">
        <f t="shared" si="13"/>
        <v/>
      </c>
      <c r="O67" t="str">
        <f t="shared" si="13"/>
        <v/>
      </c>
      <c r="P67" t="str">
        <f t="shared" si="13"/>
        <v/>
      </c>
      <c r="Q67" t="str">
        <f t="shared" si="13"/>
        <v/>
      </c>
      <c r="R67" t="str">
        <f t="shared" si="13"/>
        <v/>
      </c>
      <c r="S67" t="str">
        <f t="shared" si="13"/>
        <v/>
      </c>
      <c r="T67" t="str">
        <f t="shared" si="13"/>
        <v/>
      </c>
      <c r="U67" t="str">
        <f t="shared" si="14"/>
        <v/>
      </c>
      <c r="V67" t="str">
        <f t="shared" si="14"/>
        <v/>
      </c>
      <c r="W67" t="str">
        <f t="shared" si="14"/>
        <v/>
      </c>
      <c r="X67" t="str">
        <f t="shared" si="14"/>
        <v/>
      </c>
      <c r="Y67" t="str">
        <f t="shared" si="14"/>
        <v/>
      </c>
      <c r="Z67" t="str">
        <f t="shared" si="14"/>
        <v/>
      </c>
      <c r="AA67" t="str">
        <f t="shared" si="14"/>
        <v/>
      </c>
      <c r="AB67" t="str">
        <f t="shared" si="14"/>
        <v/>
      </c>
      <c r="AC67">
        <f t="shared" si="2"/>
        <v>0</v>
      </c>
    </row>
    <row r="68" spans="1:29" x14ac:dyDescent="0.35">
      <c r="A68">
        <v>63</v>
      </c>
      <c r="B68" t="s">
        <v>11</v>
      </c>
      <c r="C68" t="s">
        <v>358</v>
      </c>
      <c r="D68" t="s">
        <v>359</v>
      </c>
      <c r="E68" t="s">
        <v>1</v>
      </c>
      <c r="F68" t="s">
        <v>889</v>
      </c>
      <c r="G68" t="s">
        <v>0</v>
      </c>
      <c r="H68">
        <v>1.95</v>
      </c>
      <c r="I68">
        <v>3</v>
      </c>
      <c r="J68" t="s">
        <v>6</v>
      </c>
      <c r="K68" t="str">
        <f t="shared" si="13"/>
        <v/>
      </c>
      <c r="L68" t="str">
        <f t="shared" si="13"/>
        <v/>
      </c>
      <c r="M68" t="str">
        <f t="shared" si="13"/>
        <v/>
      </c>
      <c r="N68" t="str">
        <f t="shared" si="13"/>
        <v/>
      </c>
      <c r="O68" t="str">
        <f t="shared" si="13"/>
        <v/>
      </c>
      <c r="P68" t="str">
        <f t="shared" si="13"/>
        <v/>
      </c>
      <c r="Q68" t="str">
        <f t="shared" si="13"/>
        <v/>
      </c>
      <c r="R68" t="str">
        <f t="shared" si="13"/>
        <v/>
      </c>
      <c r="S68" t="str">
        <f t="shared" si="13"/>
        <v/>
      </c>
      <c r="T68" t="str">
        <f t="shared" si="13"/>
        <v/>
      </c>
      <c r="U68" t="str">
        <f t="shared" si="14"/>
        <v/>
      </c>
      <c r="V68" t="str">
        <f t="shared" si="14"/>
        <v/>
      </c>
      <c r="W68" t="str">
        <f t="shared" si="14"/>
        <v/>
      </c>
      <c r="X68" t="str">
        <f t="shared" si="14"/>
        <v/>
      </c>
      <c r="Y68" t="str">
        <f t="shared" si="14"/>
        <v/>
      </c>
      <c r="Z68" t="str">
        <f t="shared" si="14"/>
        <v/>
      </c>
      <c r="AA68" t="str">
        <f t="shared" si="14"/>
        <v/>
      </c>
      <c r="AB68" t="str">
        <f t="shared" si="14"/>
        <v/>
      </c>
      <c r="AC68">
        <f t="shared" si="2"/>
        <v>0</v>
      </c>
    </row>
    <row r="69" spans="1:29" x14ac:dyDescent="0.35">
      <c r="A69">
        <v>64</v>
      </c>
      <c r="B69" t="s">
        <v>11</v>
      </c>
      <c r="C69" t="s">
        <v>372</v>
      </c>
      <c r="D69" t="s">
        <v>373</v>
      </c>
      <c r="E69" t="s">
        <v>1</v>
      </c>
      <c r="F69" t="s">
        <v>889</v>
      </c>
      <c r="G69" t="s">
        <v>0</v>
      </c>
      <c r="H69">
        <v>1.8965000000000001</v>
      </c>
      <c r="I69">
        <v>2.5</v>
      </c>
      <c r="J69" t="s">
        <v>6</v>
      </c>
      <c r="K69" t="str">
        <f t="shared" si="13"/>
        <v/>
      </c>
      <c r="L69" t="str">
        <f t="shared" si="13"/>
        <v/>
      </c>
      <c r="M69" t="str">
        <f t="shared" si="13"/>
        <v/>
      </c>
      <c r="N69" t="str">
        <f t="shared" si="13"/>
        <v/>
      </c>
      <c r="O69" t="str">
        <f t="shared" si="13"/>
        <v/>
      </c>
      <c r="P69" t="str">
        <f t="shared" si="13"/>
        <v/>
      </c>
      <c r="Q69" t="str">
        <f t="shared" si="13"/>
        <v/>
      </c>
      <c r="R69" t="str">
        <f t="shared" si="13"/>
        <v/>
      </c>
      <c r="S69" t="str">
        <f t="shared" si="13"/>
        <v/>
      </c>
      <c r="T69" t="str">
        <f t="shared" si="13"/>
        <v/>
      </c>
      <c r="U69" t="str">
        <f t="shared" si="14"/>
        <v/>
      </c>
      <c r="V69" t="str">
        <f t="shared" si="14"/>
        <v/>
      </c>
      <c r="W69" t="str">
        <f t="shared" si="14"/>
        <v/>
      </c>
      <c r="X69" t="str">
        <f t="shared" si="14"/>
        <v/>
      </c>
      <c r="Y69" t="str">
        <f t="shared" si="14"/>
        <v/>
      </c>
      <c r="Z69" t="str">
        <f t="shared" si="14"/>
        <v/>
      </c>
      <c r="AA69" t="str">
        <f t="shared" si="14"/>
        <v/>
      </c>
      <c r="AB69" t="str">
        <f t="shared" si="14"/>
        <v/>
      </c>
      <c r="AC69">
        <f t="shared" si="2"/>
        <v>0</v>
      </c>
    </row>
    <row r="70" spans="1:29" x14ac:dyDescent="0.35">
      <c r="A70">
        <v>65</v>
      </c>
      <c r="B70" t="s">
        <v>11</v>
      </c>
      <c r="C70" t="s">
        <v>374</v>
      </c>
      <c r="D70" t="s">
        <v>375</v>
      </c>
      <c r="E70" t="s">
        <v>1</v>
      </c>
      <c r="F70" t="s">
        <v>889</v>
      </c>
      <c r="G70" t="s">
        <v>0</v>
      </c>
      <c r="H70">
        <v>2.0975000000000001</v>
      </c>
      <c r="I70">
        <v>2.5</v>
      </c>
      <c r="J70" t="s">
        <v>6</v>
      </c>
      <c r="K70" t="str">
        <f t="shared" si="13"/>
        <v/>
      </c>
      <c r="L70" t="str">
        <f t="shared" si="13"/>
        <v/>
      </c>
      <c r="M70" t="str">
        <f t="shared" si="13"/>
        <v/>
      </c>
      <c r="N70" t="str">
        <f t="shared" si="13"/>
        <v/>
      </c>
      <c r="O70" t="str">
        <f t="shared" si="13"/>
        <v/>
      </c>
      <c r="P70" t="str">
        <f t="shared" si="13"/>
        <v/>
      </c>
      <c r="Q70" t="str">
        <f t="shared" si="13"/>
        <v/>
      </c>
      <c r="R70" t="str">
        <f t="shared" si="13"/>
        <v/>
      </c>
      <c r="S70" t="str">
        <f t="shared" si="13"/>
        <v/>
      </c>
      <c r="T70" t="str">
        <f t="shared" si="13"/>
        <v/>
      </c>
      <c r="U70" t="str">
        <f t="shared" si="14"/>
        <v/>
      </c>
      <c r="V70" t="str">
        <f t="shared" si="14"/>
        <v/>
      </c>
      <c r="W70" t="str">
        <f t="shared" si="14"/>
        <v/>
      </c>
      <c r="X70" t="str">
        <f t="shared" si="14"/>
        <v/>
      </c>
      <c r="Y70" t="str">
        <f t="shared" si="14"/>
        <v/>
      </c>
      <c r="Z70" t="str">
        <f t="shared" si="14"/>
        <v/>
      </c>
      <c r="AA70" t="str">
        <f t="shared" si="14"/>
        <v/>
      </c>
      <c r="AB70" t="str">
        <f t="shared" si="14"/>
        <v/>
      </c>
      <c r="AC70">
        <f t="shared" ref="AC70:AC133" si="15">SUM(K70:AB70)</f>
        <v>0</v>
      </c>
    </row>
    <row r="71" spans="1:29" x14ac:dyDescent="0.35">
      <c r="A71">
        <v>66</v>
      </c>
      <c r="B71" t="s">
        <v>11</v>
      </c>
      <c r="C71" t="s">
        <v>376</v>
      </c>
      <c r="D71" t="s">
        <v>377</v>
      </c>
      <c r="E71" t="s">
        <v>1</v>
      </c>
      <c r="F71" t="s">
        <v>889</v>
      </c>
      <c r="G71" t="s">
        <v>0</v>
      </c>
      <c r="H71">
        <v>1.79</v>
      </c>
      <c r="I71">
        <v>2.7149999999999999</v>
      </c>
      <c r="J71" t="s">
        <v>6</v>
      </c>
      <c r="K71" t="str">
        <f t="shared" si="13"/>
        <v/>
      </c>
      <c r="L71" t="str">
        <f t="shared" si="13"/>
        <v/>
      </c>
      <c r="M71" t="str">
        <f t="shared" si="13"/>
        <v/>
      </c>
      <c r="N71" t="str">
        <f t="shared" si="13"/>
        <v/>
      </c>
      <c r="O71" t="str">
        <f t="shared" si="13"/>
        <v/>
      </c>
      <c r="P71" t="str">
        <f t="shared" si="13"/>
        <v/>
      </c>
      <c r="Q71" t="str">
        <f t="shared" si="13"/>
        <v/>
      </c>
      <c r="R71" t="str">
        <f t="shared" si="13"/>
        <v/>
      </c>
      <c r="S71" t="str">
        <f t="shared" si="13"/>
        <v/>
      </c>
      <c r="T71" t="str">
        <f t="shared" si="13"/>
        <v/>
      </c>
      <c r="U71" t="str">
        <f t="shared" si="14"/>
        <v/>
      </c>
      <c r="V71" t="str">
        <f t="shared" si="14"/>
        <v/>
      </c>
      <c r="W71" t="str">
        <f t="shared" si="14"/>
        <v/>
      </c>
      <c r="X71" t="str">
        <f t="shared" si="14"/>
        <v/>
      </c>
      <c r="Y71" t="str">
        <f t="shared" si="14"/>
        <v/>
      </c>
      <c r="Z71" t="str">
        <f t="shared" si="14"/>
        <v/>
      </c>
      <c r="AA71" t="str">
        <f t="shared" si="14"/>
        <v/>
      </c>
      <c r="AB71" t="str">
        <f t="shared" si="14"/>
        <v/>
      </c>
      <c r="AC71">
        <f t="shared" si="15"/>
        <v>0</v>
      </c>
    </row>
    <row r="72" spans="1:29" x14ac:dyDescent="0.35">
      <c r="A72">
        <v>67</v>
      </c>
      <c r="B72" t="s">
        <v>11</v>
      </c>
      <c r="C72" t="s">
        <v>471</v>
      </c>
      <c r="D72" t="s">
        <v>472</v>
      </c>
      <c r="E72" t="s">
        <v>1</v>
      </c>
      <c r="F72" t="s">
        <v>889</v>
      </c>
      <c r="G72" t="s">
        <v>0</v>
      </c>
      <c r="H72">
        <v>2.02</v>
      </c>
      <c r="I72">
        <v>3.5</v>
      </c>
      <c r="J72" t="s">
        <v>6</v>
      </c>
      <c r="K72" t="str">
        <f t="shared" si="13"/>
        <v/>
      </c>
      <c r="L72" t="str">
        <f t="shared" si="13"/>
        <v/>
      </c>
      <c r="M72" t="str">
        <f t="shared" si="13"/>
        <v/>
      </c>
      <c r="N72" t="str">
        <f t="shared" si="13"/>
        <v/>
      </c>
      <c r="O72" t="str">
        <f t="shared" si="13"/>
        <v/>
      </c>
      <c r="P72" t="str">
        <f t="shared" si="13"/>
        <v/>
      </c>
      <c r="Q72" t="str">
        <f t="shared" si="13"/>
        <v/>
      </c>
      <c r="R72" t="str">
        <f t="shared" si="13"/>
        <v/>
      </c>
      <c r="S72" t="str">
        <f t="shared" si="13"/>
        <v/>
      </c>
      <c r="T72" t="str">
        <f t="shared" si="13"/>
        <v/>
      </c>
      <c r="U72" t="str">
        <f t="shared" si="14"/>
        <v/>
      </c>
      <c r="V72" t="str">
        <f t="shared" si="14"/>
        <v/>
      </c>
      <c r="W72" t="str">
        <f t="shared" si="14"/>
        <v/>
      </c>
      <c r="X72" t="str">
        <f t="shared" si="14"/>
        <v/>
      </c>
      <c r="Y72" t="str">
        <f t="shared" si="14"/>
        <v/>
      </c>
      <c r="Z72" t="str">
        <f t="shared" si="14"/>
        <v/>
      </c>
      <c r="AA72" t="str">
        <f t="shared" si="14"/>
        <v/>
      </c>
      <c r="AB72" t="str">
        <f t="shared" si="14"/>
        <v/>
      </c>
      <c r="AC72">
        <f t="shared" si="15"/>
        <v>0</v>
      </c>
    </row>
    <row r="73" spans="1:29" x14ac:dyDescent="0.35">
      <c r="A73">
        <v>68</v>
      </c>
      <c r="B73" t="s">
        <v>11</v>
      </c>
      <c r="C73" t="s">
        <v>473</v>
      </c>
      <c r="D73" t="s">
        <v>474</v>
      </c>
      <c r="E73" t="s">
        <v>1</v>
      </c>
      <c r="F73" t="s">
        <v>889</v>
      </c>
      <c r="G73" t="s">
        <v>0</v>
      </c>
      <c r="H73">
        <v>1.99</v>
      </c>
      <c r="I73">
        <v>3.5</v>
      </c>
      <c r="J73" t="s">
        <v>6</v>
      </c>
      <c r="K73" t="str">
        <f t="shared" si="13"/>
        <v/>
      </c>
      <c r="L73" t="str">
        <f t="shared" si="13"/>
        <v/>
      </c>
      <c r="M73" t="str">
        <f t="shared" si="13"/>
        <v/>
      </c>
      <c r="N73" t="str">
        <f t="shared" si="13"/>
        <v/>
      </c>
      <c r="O73" t="str">
        <f t="shared" si="13"/>
        <v/>
      </c>
      <c r="P73" t="str">
        <f t="shared" si="13"/>
        <v/>
      </c>
      <c r="Q73" t="str">
        <f t="shared" si="13"/>
        <v/>
      </c>
      <c r="R73" t="str">
        <f t="shared" si="13"/>
        <v/>
      </c>
      <c r="S73" t="str">
        <f t="shared" si="13"/>
        <v/>
      </c>
      <c r="T73" t="str">
        <f t="shared" si="13"/>
        <v/>
      </c>
      <c r="U73" t="str">
        <f t="shared" si="14"/>
        <v/>
      </c>
      <c r="V73" t="str">
        <f t="shared" si="14"/>
        <v/>
      </c>
      <c r="W73" t="str">
        <f t="shared" si="14"/>
        <v/>
      </c>
      <c r="X73" t="str">
        <f t="shared" si="14"/>
        <v/>
      </c>
      <c r="Y73" t="str">
        <f t="shared" si="14"/>
        <v/>
      </c>
      <c r="Z73" t="str">
        <f t="shared" si="14"/>
        <v/>
      </c>
      <c r="AA73" t="str">
        <f t="shared" si="14"/>
        <v/>
      </c>
      <c r="AB73" t="str">
        <f t="shared" si="14"/>
        <v/>
      </c>
      <c r="AC73">
        <f t="shared" si="15"/>
        <v>0</v>
      </c>
    </row>
    <row r="74" spans="1:29" x14ac:dyDescent="0.35">
      <c r="A74">
        <v>69</v>
      </c>
      <c r="B74" t="s">
        <v>11</v>
      </c>
      <c r="C74" t="s">
        <v>475</v>
      </c>
      <c r="D74" t="s">
        <v>476</v>
      </c>
      <c r="E74" t="s">
        <v>1</v>
      </c>
      <c r="F74" t="s">
        <v>889</v>
      </c>
      <c r="G74" t="s">
        <v>0</v>
      </c>
      <c r="H74">
        <v>1.91</v>
      </c>
      <c r="I74">
        <v>3.5</v>
      </c>
      <c r="J74" t="s">
        <v>6</v>
      </c>
      <c r="K74" t="str">
        <f t="shared" si="13"/>
        <v/>
      </c>
      <c r="L74" t="str">
        <f t="shared" si="13"/>
        <v/>
      </c>
      <c r="M74" t="str">
        <f t="shared" si="13"/>
        <v/>
      </c>
      <c r="N74" t="str">
        <f t="shared" si="13"/>
        <v/>
      </c>
      <c r="O74" t="str">
        <f t="shared" si="13"/>
        <v/>
      </c>
      <c r="P74" t="str">
        <f t="shared" si="13"/>
        <v/>
      </c>
      <c r="Q74" t="str">
        <f t="shared" si="13"/>
        <v/>
      </c>
      <c r="R74" t="str">
        <f t="shared" si="13"/>
        <v/>
      </c>
      <c r="S74" t="str">
        <f t="shared" si="13"/>
        <v/>
      </c>
      <c r="T74" t="str">
        <f t="shared" si="13"/>
        <v/>
      </c>
      <c r="U74" t="str">
        <f t="shared" si="14"/>
        <v/>
      </c>
      <c r="V74" t="str">
        <f t="shared" si="14"/>
        <v/>
      </c>
      <c r="W74" t="str">
        <f t="shared" si="14"/>
        <v/>
      </c>
      <c r="X74" t="str">
        <f t="shared" si="14"/>
        <v/>
      </c>
      <c r="Y74" t="str">
        <f t="shared" si="14"/>
        <v/>
      </c>
      <c r="Z74" t="str">
        <f t="shared" si="14"/>
        <v/>
      </c>
      <c r="AA74" t="str">
        <f t="shared" si="14"/>
        <v/>
      </c>
      <c r="AB74" t="str">
        <f t="shared" si="14"/>
        <v/>
      </c>
      <c r="AC74">
        <f t="shared" si="15"/>
        <v>0</v>
      </c>
    </row>
    <row r="75" spans="1:29" x14ac:dyDescent="0.35">
      <c r="A75">
        <v>70</v>
      </c>
      <c r="B75" t="s">
        <v>11</v>
      </c>
      <c r="C75" t="s">
        <v>477</v>
      </c>
      <c r="D75" t="s">
        <v>478</v>
      </c>
      <c r="E75" t="s">
        <v>1</v>
      </c>
      <c r="F75" t="s">
        <v>889</v>
      </c>
      <c r="G75" t="s">
        <v>0</v>
      </c>
      <c r="H75">
        <v>0.88500000000000001</v>
      </c>
      <c r="I75">
        <v>3.5</v>
      </c>
      <c r="J75" t="s">
        <v>6</v>
      </c>
      <c r="K75" t="str">
        <f t="shared" si="13"/>
        <v/>
      </c>
      <c r="L75" t="str">
        <f t="shared" si="13"/>
        <v/>
      </c>
      <c r="M75" t="str">
        <f t="shared" si="13"/>
        <v/>
      </c>
      <c r="N75" t="str">
        <f t="shared" si="13"/>
        <v/>
      </c>
      <c r="O75" t="str">
        <f t="shared" si="13"/>
        <v/>
      </c>
      <c r="P75" t="str">
        <f t="shared" si="13"/>
        <v/>
      </c>
      <c r="Q75" t="str">
        <f t="shared" si="13"/>
        <v/>
      </c>
      <c r="R75" t="str">
        <f t="shared" si="13"/>
        <v/>
      </c>
      <c r="S75" t="str">
        <f t="shared" si="13"/>
        <v/>
      </c>
      <c r="T75" t="str">
        <f t="shared" si="13"/>
        <v/>
      </c>
      <c r="U75" t="str">
        <f t="shared" si="14"/>
        <v/>
      </c>
      <c r="V75" t="str">
        <f t="shared" si="14"/>
        <v/>
      </c>
      <c r="W75" t="str">
        <f t="shared" si="14"/>
        <v/>
      </c>
      <c r="X75" t="str">
        <f t="shared" si="14"/>
        <v/>
      </c>
      <c r="Y75" t="str">
        <f t="shared" si="14"/>
        <v/>
      </c>
      <c r="Z75" t="str">
        <f t="shared" si="14"/>
        <v/>
      </c>
      <c r="AA75" t="str">
        <f t="shared" si="14"/>
        <v/>
      </c>
      <c r="AB75" t="str">
        <f t="shared" si="14"/>
        <v/>
      </c>
      <c r="AC75">
        <f t="shared" si="15"/>
        <v>0</v>
      </c>
    </row>
    <row r="76" spans="1:29" x14ac:dyDescent="0.35">
      <c r="A76">
        <v>71</v>
      </c>
      <c r="B76" t="s">
        <v>11</v>
      </c>
      <c r="C76" t="s">
        <v>479</v>
      </c>
      <c r="D76" t="s">
        <v>480</v>
      </c>
      <c r="E76" t="s">
        <v>1</v>
      </c>
      <c r="F76" t="s">
        <v>889</v>
      </c>
      <c r="G76" t="s">
        <v>0</v>
      </c>
      <c r="H76">
        <v>0.77</v>
      </c>
      <c r="I76">
        <v>3.5</v>
      </c>
      <c r="J76" t="s">
        <v>6</v>
      </c>
      <c r="K76" t="str">
        <f t="shared" ref="K76:T85" si="16">IFERROR(IFERROR(IF(K$5=$K$1,VLOOKUP($A76,dormitorios,2,0),IF(K$5=$L$1,VLOOKUP($A76,comedor,2,0),IF(K$5=$M$1,VLOOKUP($A76,alojamiento,2,0),IF(K$5=$N$1,VLOOKUP($A76,sanidad,2,0),IF(K$5=$O$1,VLOOKUP($A76,servicios,2,0),IF(K$5=$P$1,VLOOKUP($A76,comyaloj,2,0),IF(K$5=$Q$1,VLOOKUP($A76,comandancia,2,0),IF(K$5=$R$1,VLOOKUP($A76,mantenimiento,2,0),IF(K$5=$S$1,VLOOKUP($A76,serestatal,2,0),IF(K$5=$T$1,VLOOKUP($A76,conferencias,2,0),"")))))))))),"")*K$3,"")</f>
        <v/>
      </c>
      <c r="L76" t="str">
        <f t="shared" si="16"/>
        <v/>
      </c>
      <c r="M76" t="str">
        <f t="shared" si="16"/>
        <v/>
      </c>
      <c r="N76" t="str">
        <f t="shared" si="16"/>
        <v/>
      </c>
      <c r="O76" t="str">
        <f t="shared" si="16"/>
        <v/>
      </c>
      <c r="P76" t="str">
        <f t="shared" si="16"/>
        <v/>
      </c>
      <c r="Q76" t="str">
        <f t="shared" si="16"/>
        <v/>
      </c>
      <c r="R76" t="str">
        <f t="shared" si="16"/>
        <v/>
      </c>
      <c r="S76" t="str">
        <f t="shared" si="16"/>
        <v/>
      </c>
      <c r="T76" t="str">
        <f t="shared" si="16"/>
        <v/>
      </c>
      <c r="U76" t="str">
        <f t="shared" ref="U76:AB85" si="17">IFERROR(IFERROR(IF(U$5=$K$1,VLOOKUP($A76,dormitorios,2,0),IF(U$5=$L$1,VLOOKUP($A76,comedor,2,0),IF(U$5=$M$1,VLOOKUP($A76,alojamiento,2,0),IF(U$5=$N$1,VLOOKUP($A76,sanidad,2,0),IF(U$5=$O$1,VLOOKUP($A76,servicios,2,0),IF(U$5=$P$1,VLOOKUP($A76,comyaloj,2,0),IF(U$5=$Q$1,VLOOKUP($A76,comandancia,2,0),IF(U$5=$R$1,VLOOKUP($A76,mantenimiento,2,0),IF(U$5=$S$1,VLOOKUP($A76,serestatal,2,0),IF(U$5=$T$1,VLOOKUP($A76,conferencias,2,0),"")))))))))),"")*U$3,"")</f>
        <v/>
      </c>
      <c r="V76" t="str">
        <f t="shared" si="17"/>
        <v/>
      </c>
      <c r="W76" t="str">
        <f t="shared" si="17"/>
        <v/>
      </c>
      <c r="X76" t="str">
        <f t="shared" si="17"/>
        <v/>
      </c>
      <c r="Y76" t="str">
        <f t="shared" si="17"/>
        <v/>
      </c>
      <c r="Z76" t="str">
        <f t="shared" si="17"/>
        <v/>
      </c>
      <c r="AA76" t="str">
        <f t="shared" si="17"/>
        <v/>
      </c>
      <c r="AB76" t="str">
        <f t="shared" si="17"/>
        <v/>
      </c>
      <c r="AC76">
        <f t="shared" si="15"/>
        <v>0</v>
      </c>
    </row>
    <row r="77" spans="1:29" x14ac:dyDescent="0.35">
      <c r="A77">
        <v>72</v>
      </c>
      <c r="B77" t="s">
        <v>11</v>
      </c>
      <c r="C77" t="s">
        <v>481</v>
      </c>
      <c r="D77" t="s">
        <v>482</v>
      </c>
      <c r="E77" t="s">
        <v>1</v>
      </c>
      <c r="F77" t="s">
        <v>889</v>
      </c>
      <c r="G77" t="s">
        <v>0</v>
      </c>
      <c r="H77">
        <v>0.91</v>
      </c>
      <c r="I77">
        <v>3.5</v>
      </c>
      <c r="J77" t="s">
        <v>6</v>
      </c>
      <c r="K77" t="str">
        <f t="shared" si="16"/>
        <v/>
      </c>
      <c r="L77" t="str">
        <f t="shared" si="16"/>
        <v/>
      </c>
      <c r="M77" t="str">
        <f t="shared" si="16"/>
        <v/>
      </c>
      <c r="N77" t="str">
        <f t="shared" si="16"/>
        <v/>
      </c>
      <c r="O77" t="str">
        <f t="shared" si="16"/>
        <v/>
      </c>
      <c r="P77" t="str">
        <f t="shared" si="16"/>
        <v/>
      </c>
      <c r="Q77" t="str">
        <f t="shared" si="16"/>
        <v/>
      </c>
      <c r="R77" t="str">
        <f t="shared" si="16"/>
        <v/>
      </c>
      <c r="S77" t="str">
        <f t="shared" si="16"/>
        <v/>
      </c>
      <c r="T77" t="str">
        <f t="shared" si="16"/>
        <v/>
      </c>
      <c r="U77" t="str">
        <f t="shared" si="17"/>
        <v/>
      </c>
      <c r="V77" t="str">
        <f t="shared" si="17"/>
        <v/>
      </c>
      <c r="W77" t="str">
        <f t="shared" si="17"/>
        <v/>
      </c>
      <c r="X77" t="str">
        <f t="shared" si="17"/>
        <v/>
      </c>
      <c r="Y77" t="str">
        <f t="shared" si="17"/>
        <v/>
      </c>
      <c r="Z77" t="str">
        <f t="shared" si="17"/>
        <v/>
      </c>
      <c r="AA77" t="str">
        <f t="shared" si="17"/>
        <v/>
      </c>
      <c r="AB77" t="str">
        <f t="shared" si="17"/>
        <v/>
      </c>
      <c r="AC77">
        <f t="shared" si="15"/>
        <v>0</v>
      </c>
    </row>
    <row r="78" spans="1:29" x14ac:dyDescent="0.35">
      <c r="A78">
        <v>73</v>
      </c>
      <c r="B78" t="s">
        <v>11</v>
      </c>
      <c r="C78" t="s">
        <v>483</v>
      </c>
      <c r="D78" t="s">
        <v>484</v>
      </c>
      <c r="E78" t="s">
        <v>1</v>
      </c>
      <c r="F78" t="s">
        <v>889</v>
      </c>
      <c r="G78" t="s">
        <v>0</v>
      </c>
      <c r="H78">
        <v>1.96</v>
      </c>
      <c r="I78">
        <v>3.5</v>
      </c>
      <c r="J78" t="s">
        <v>6</v>
      </c>
      <c r="K78" t="str">
        <f t="shared" si="16"/>
        <v/>
      </c>
      <c r="L78" t="str">
        <f t="shared" si="16"/>
        <v/>
      </c>
      <c r="M78" t="str">
        <f t="shared" si="16"/>
        <v/>
      </c>
      <c r="N78" t="str">
        <f t="shared" si="16"/>
        <v/>
      </c>
      <c r="O78" t="str">
        <f t="shared" si="16"/>
        <v/>
      </c>
      <c r="P78" t="str">
        <f t="shared" si="16"/>
        <v/>
      </c>
      <c r="Q78" t="str">
        <f t="shared" si="16"/>
        <v/>
      </c>
      <c r="R78" t="str">
        <f t="shared" si="16"/>
        <v/>
      </c>
      <c r="S78" t="str">
        <f t="shared" si="16"/>
        <v/>
      </c>
      <c r="T78" t="str">
        <f t="shared" si="16"/>
        <v/>
      </c>
      <c r="U78" t="str">
        <f t="shared" si="17"/>
        <v/>
      </c>
      <c r="V78" t="str">
        <f t="shared" si="17"/>
        <v/>
      </c>
      <c r="W78" t="str">
        <f t="shared" si="17"/>
        <v/>
      </c>
      <c r="X78" t="str">
        <f t="shared" si="17"/>
        <v/>
      </c>
      <c r="Y78" t="str">
        <f t="shared" si="17"/>
        <v/>
      </c>
      <c r="Z78" t="str">
        <f t="shared" si="17"/>
        <v/>
      </c>
      <c r="AA78" t="str">
        <f t="shared" si="17"/>
        <v/>
      </c>
      <c r="AB78" t="str">
        <f t="shared" si="17"/>
        <v/>
      </c>
      <c r="AC78">
        <f t="shared" si="15"/>
        <v>0</v>
      </c>
    </row>
    <row r="79" spans="1:29" x14ac:dyDescent="0.35">
      <c r="A79">
        <v>74</v>
      </c>
      <c r="B79" t="s">
        <v>11</v>
      </c>
      <c r="C79" t="s">
        <v>485</v>
      </c>
      <c r="D79" t="s">
        <v>486</v>
      </c>
      <c r="E79" t="s">
        <v>1</v>
      </c>
      <c r="F79" t="s">
        <v>889</v>
      </c>
      <c r="G79" t="s">
        <v>0</v>
      </c>
      <c r="H79">
        <v>1.07</v>
      </c>
      <c r="I79">
        <v>3.5</v>
      </c>
      <c r="J79" t="s">
        <v>6</v>
      </c>
      <c r="K79" t="str">
        <f t="shared" si="16"/>
        <v/>
      </c>
      <c r="L79" t="str">
        <f t="shared" si="16"/>
        <v/>
      </c>
      <c r="M79" t="str">
        <f t="shared" si="16"/>
        <v/>
      </c>
      <c r="N79" t="str">
        <f t="shared" si="16"/>
        <v/>
      </c>
      <c r="O79" t="str">
        <f t="shared" si="16"/>
        <v/>
      </c>
      <c r="P79" t="str">
        <f t="shared" si="16"/>
        <v/>
      </c>
      <c r="Q79" t="str">
        <f t="shared" si="16"/>
        <v/>
      </c>
      <c r="R79" t="str">
        <f t="shared" si="16"/>
        <v/>
      </c>
      <c r="S79" t="str">
        <f t="shared" si="16"/>
        <v/>
      </c>
      <c r="T79" t="str">
        <f t="shared" si="16"/>
        <v/>
      </c>
      <c r="U79" t="str">
        <f t="shared" si="17"/>
        <v/>
      </c>
      <c r="V79" t="str">
        <f t="shared" si="17"/>
        <v/>
      </c>
      <c r="W79" t="str">
        <f t="shared" si="17"/>
        <v/>
      </c>
      <c r="X79" t="str">
        <f t="shared" si="17"/>
        <v/>
      </c>
      <c r="Y79" t="str">
        <f t="shared" si="17"/>
        <v/>
      </c>
      <c r="Z79" t="str">
        <f t="shared" si="17"/>
        <v/>
      </c>
      <c r="AA79" t="str">
        <f t="shared" si="17"/>
        <v/>
      </c>
      <c r="AB79" t="str">
        <f t="shared" si="17"/>
        <v/>
      </c>
      <c r="AC79">
        <f t="shared" si="15"/>
        <v>0</v>
      </c>
    </row>
    <row r="80" spans="1:29" x14ac:dyDescent="0.35">
      <c r="A80">
        <v>75</v>
      </c>
      <c r="B80" t="s">
        <v>11</v>
      </c>
      <c r="C80" t="s">
        <v>487</v>
      </c>
      <c r="D80" t="s">
        <v>488</v>
      </c>
      <c r="E80" t="s">
        <v>1</v>
      </c>
      <c r="F80" t="s">
        <v>889</v>
      </c>
      <c r="G80" t="s">
        <v>0</v>
      </c>
      <c r="H80">
        <v>2.09</v>
      </c>
      <c r="I80">
        <v>3.5</v>
      </c>
      <c r="J80" t="s">
        <v>6</v>
      </c>
      <c r="K80" t="str">
        <f t="shared" si="16"/>
        <v/>
      </c>
      <c r="L80" t="str">
        <f t="shared" si="16"/>
        <v/>
      </c>
      <c r="M80" t="str">
        <f t="shared" si="16"/>
        <v/>
      </c>
      <c r="N80" t="str">
        <f t="shared" si="16"/>
        <v/>
      </c>
      <c r="O80" t="str">
        <f t="shared" si="16"/>
        <v/>
      </c>
      <c r="P80" t="str">
        <f t="shared" si="16"/>
        <v/>
      </c>
      <c r="Q80" t="str">
        <f t="shared" si="16"/>
        <v/>
      </c>
      <c r="R80" t="str">
        <f t="shared" si="16"/>
        <v/>
      </c>
      <c r="S80" t="str">
        <f t="shared" si="16"/>
        <v/>
      </c>
      <c r="T80" t="str">
        <f t="shared" si="16"/>
        <v/>
      </c>
      <c r="U80" t="str">
        <f t="shared" si="17"/>
        <v/>
      </c>
      <c r="V80" t="str">
        <f t="shared" si="17"/>
        <v/>
      </c>
      <c r="W80" t="str">
        <f t="shared" si="17"/>
        <v/>
      </c>
      <c r="X80" t="str">
        <f t="shared" si="17"/>
        <v/>
      </c>
      <c r="Y80" t="str">
        <f t="shared" si="17"/>
        <v/>
      </c>
      <c r="Z80" t="str">
        <f t="shared" si="17"/>
        <v/>
      </c>
      <c r="AA80" t="str">
        <f t="shared" si="17"/>
        <v/>
      </c>
      <c r="AB80" t="str">
        <f t="shared" si="17"/>
        <v/>
      </c>
      <c r="AC80">
        <f t="shared" si="15"/>
        <v>0</v>
      </c>
    </row>
    <row r="81" spans="1:29" x14ac:dyDescent="0.35">
      <c r="A81">
        <v>76</v>
      </c>
      <c r="B81" t="s">
        <v>11</v>
      </c>
      <c r="C81" t="s">
        <v>489</v>
      </c>
      <c r="D81" t="s">
        <v>490</v>
      </c>
      <c r="E81" t="s">
        <v>1</v>
      </c>
      <c r="F81" t="s">
        <v>889</v>
      </c>
      <c r="G81" t="s">
        <v>0</v>
      </c>
      <c r="H81">
        <v>2.0640000000000001</v>
      </c>
      <c r="I81">
        <v>3.5</v>
      </c>
      <c r="J81" t="s">
        <v>6</v>
      </c>
      <c r="K81" t="str">
        <f t="shared" si="16"/>
        <v/>
      </c>
      <c r="L81" t="str">
        <f t="shared" si="16"/>
        <v/>
      </c>
      <c r="M81" t="str">
        <f t="shared" si="16"/>
        <v/>
      </c>
      <c r="N81" t="str">
        <f t="shared" si="16"/>
        <v/>
      </c>
      <c r="O81" t="str">
        <f t="shared" si="16"/>
        <v/>
      </c>
      <c r="P81" t="str">
        <f t="shared" si="16"/>
        <v/>
      </c>
      <c r="Q81" t="str">
        <f t="shared" si="16"/>
        <v/>
      </c>
      <c r="R81" t="str">
        <f t="shared" si="16"/>
        <v/>
      </c>
      <c r="S81" t="str">
        <f t="shared" si="16"/>
        <v/>
      </c>
      <c r="T81" t="str">
        <f t="shared" si="16"/>
        <v/>
      </c>
      <c r="U81" t="str">
        <f t="shared" si="17"/>
        <v/>
      </c>
      <c r="V81" t="str">
        <f t="shared" si="17"/>
        <v/>
      </c>
      <c r="W81" t="str">
        <f t="shared" si="17"/>
        <v/>
      </c>
      <c r="X81" t="str">
        <f t="shared" si="17"/>
        <v/>
      </c>
      <c r="Y81" t="str">
        <f t="shared" si="17"/>
        <v/>
      </c>
      <c r="Z81" t="str">
        <f t="shared" si="17"/>
        <v/>
      </c>
      <c r="AA81" t="str">
        <f t="shared" si="17"/>
        <v/>
      </c>
      <c r="AB81" t="str">
        <f t="shared" si="17"/>
        <v/>
      </c>
      <c r="AC81">
        <f t="shared" si="15"/>
        <v>0</v>
      </c>
    </row>
    <row r="82" spans="1:29" x14ac:dyDescent="0.35">
      <c r="A82">
        <v>77</v>
      </c>
      <c r="B82" t="s">
        <v>11</v>
      </c>
      <c r="C82" t="s">
        <v>520</v>
      </c>
      <c r="D82" t="s">
        <v>514</v>
      </c>
      <c r="E82" t="s">
        <v>1</v>
      </c>
      <c r="F82" t="s">
        <v>516</v>
      </c>
      <c r="G82" t="s">
        <v>0</v>
      </c>
      <c r="H82">
        <v>1.95</v>
      </c>
      <c r="I82">
        <v>2.7149999999999999</v>
      </c>
      <c r="J82" t="s">
        <v>6</v>
      </c>
      <c r="K82" t="str">
        <f t="shared" si="16"/>
        <v/>
      </c>
      <c r="L82" t="str">
        <f t="shared" si="16"/>
        <v/>
      </c>
      <c r="M82" t="str">
        <f t="shared" si="16"/>
        <v/>
      </c>
      <c r="N82" t="str">
        <f t="shared" si="16"/>
        <v/>
      </c>
      <c r="O82" t="str">
        <f t="shared" si="16"/>
        <v/>
      </c>
      <c r="P82" t="str">
        <f t="shared" si="16"/>
        <v/>
      </c>
      <c r="Q82" t="str">
        <f t="shared" si="16"/>
        <v/>
      </c>
      <c r="R82" t="str">
        <f t="shared" si="16"/>
        <v/>
      </c>
      <c r="S82" t="str">
        <f t="shared" si="16"/>
        <v/>
      </c>
      <c r="T82" t="str">
        <f t="shared" si="16"/>
        <v/>
      </c>
      <c r="U82" t="str">
        <f t="shared" si="17"/>
        <v/>
      </c>
      <c r="V82" t="str">
        <f t="shared" si="17"/>
        <v/>
      </c>
      <c r="W82" t="str">
        <f t="shared" si="17"/>
        <v/>
      </c>
      <c r="X82" t="str">
        <f t="shared" si="17"/>
        <v/>
      </c>
      <c r="Y82" t="str">
        <f t="shared" si="17"/>
        <v/>
      </c>
      <c r="Z82" t="str">
        <f t="shared" si="17"/>
        <v/>
      </c>
      <c r="AA82" t="str">
        <f t="shared" si="17"/>
        <v/>
      </c>
      <c r="AB82" t="str">
        <f t="shared" si="17"/>
        <v/>
      </c>
      <c r="AC82">
        <f t="shared" si="15"/>
        <v>0</v>
      </c>
    </row>
    <row r="83" spans="1:29" x14ac:dyDescent="0.35">
      <c r="A83">
        <v>78</v>
      </c>
      <c r="B83" t="s">
        <v>11</v>
      </c>
      <c r="C83" t="s">
        <v>564</v>
      </c>
      <c r="D83" t="s">
        <v>558</v>
      </c>
      <c r="E83" t="s">
        <v>1</v>
      </c>
      <c r="F83" t="s">
        <v>889</v>
      </c>
      <c r="G83" t="s">
        <v>0</v>
      </c>
      <c r="H83">
        <v>1.61</v>
      </c>
      <c r="I83">
        <v>2.7149999999999999</v>
      </c>
      <c r="J83" t="s">
        <v>6</v>
      </c>
      <c r="K83" t="str">
        <f t="shared" si="16"/>
        <v/>
      </c>
      <c r="L83" t="str">
        <f t="shared" si="16"/>
        <v/>
      </c>
      <c r="M83" t="str">
        <f t="shared" si="16"/>
        <v/>
      </c>
      <c r="N83" t="str">
        <f t="shared" si="16"/>
        <v/>
      </c>
      <c r="O83" t="str">
        <f t="shared" si="16"/>
        <v/>
      </c>
      <c r="P83" t="str">
        <f t="shared" si="16"/>
        <v/>
      </c>
      <c r="Q83" t="str">
        <f t="shared" si="16"/>
        <v/>
      </c>
      <c r="R83" t="str">
        <f t="shared" si="16"/>
        <v/>
      </c>
      <c r="S83" t="str">
        <f t="shared" si="16"/>
        <v/>
      </c>
      <c r="T83" t="str">
        <f t="shared" si="16"/>
        <v/>
      </c>
      <c r="U83" t="str">
        <f t="shared" si="17"/>
        <v/>
      </c>
      <c r="V83" t="str">
        <f t="shared" si="17"/>
        <v/>
      </c>
      <c r="W83" t="str">
        <f t="shared" si="17"/>
        <v/>
      </c>
      <c r="X83" t="str">
        <f t="shared" si="17"/>
        <v/>
      </c>
      <c r="Y83" t="str">
        <f t="shared" si="17"/>
        <v/>
      </c>
      <c r="Z83" t="str">
        <f t="shared" si="17"/>
        <v/>
      </c>
      <c r="AA83" t="str">
        <f t="shared" si="17"/>
        <v/>
      </c>
      <c r="AB83" t="str">
        <f t="shared" si="17"/>
        <v/>
      </c>
      <c r="AC83">
        <f t="shared" si="15"/>
        <v>0</v>
      </c>
    </row>
    <row r="84" spans="1:29" x14ac:dyDescent="0.35">
      <c r="A84">
        <v>79</v>
      </c>
      <c r="B84" t="s">
        <v>11</v>
      </c>
      <c r="C84" t="s">
        <v>565</v>
      </c>
      <c r="D84" t="s">
        <v>559</v>
      </c>
      <c r="E84" t="s">
        <v>1</v>
      </c>
      <c r="F84" t="s">
        <v>889</v>
      </c>
      <c r="G84" t="s">
        <v>0</v>
      </c>
      <c r="H84">
        <v>1.31</v>
      </c>
      <c r="I84">
        <v>2.7149999999999999</v>
      </c>
      <c r="J84" t="s">
        <v>6</v>
      </c>
      <c r="K84" t="str">
        <f t="shared" si="16"/>
        <v/>
      </c>
      <c r="L84" t="str">
        <f t="shared" si="16"/>
        <v/>
      </c>
      <c r="M84" t="str">
        <f t="shared" si="16"/>
        <v/>
      </c>
      <c r="N84" t="str">
        <f t="shared" si="16"/>
        <v/>
      </c>
      <c r="O84" t="str">
        <f t="shared" si="16"/>
        <v/>
      </c>
      <c r="P84" t="str">
        <f t="shared" si="16"/>
        <v/>
      </c>
      <c r="Q84" t="str">
        <f t="shared" si="16"/>
        <v/>
      </c>
      <c r="R84" t="str">
        <f t="shared" si="16"/>
        <v/>
      </c>
      <c r="S84" t="str">
        <f t="shared" si="16"/>
        <v/>
      </c>
      <c r="T84" t="str">
        <f t="shared" si="16"/>
        <v/>
      </c>
      <c r="U84" t="str">
        <f t="shared" si="17"/>
        <v/>
      </c>
      <c r="V84" t="str">
        <f t="shared" si="17"/>
        <v/>
      </c>
      <c r="W84" t="str">
        <f t="shared" si="17"/>
        <v/>
      </c>
      <c r="X84" t="str">
        <f t="shared" si="17"/>
        <v/>
      </c>
      <c r="Y84" t="str">
        <f t="shared" si="17"/>
        <v/>
      </c>
      <c r="Z84" t="str">
        <f t="shared" si="17"/>
        <v/>
      </c>
      <c r="AA84" t="str">
        <f t="shared" si="17"/>
        <v/>
      </c>
      <c r="AB84" t="str">
        <f t="shared" si="17"/>
        <v/>
      </c>
      <c r="AC84">
        <f t="shared" si="15"/>
        <v>0</v>
      </c>
    </row>
    <row r="85" spans="1:29" x14ac:dyDescent="0.35">
      <c r="A85">
        <v>80</v>
      </c>
      <c r="B85" t="s">
        <v>11</v>
      </c>
      <c r="C85" t="s">
        <v>566</v>
      </c>
      <c r="D85" t="s">
        <v>563</v>
      </c>
      <c r="E85" t="s">
        <v>1</v>
      </c>
      <c r="F85" t="s">
        <v>889</v>
      </c>
      <c r="G85" t="s">
        <v>2</v>
      </c>
      <c r="H85">
        <v>1.74</v>
      </c>
      <c r="I85">
        <v>2.7149999999999999</v>
      </c>
      <c r="J85" t="s">
        <v>6</v>
      </c>
      <c r="K85" t="str">
        <f t="shared" si="16"/>
        <v/>
      </c>
      <c r="L85" t="str">
        <f t="shared" si="16"/>
        <v/>
      </c>
      <c r="M85" t="str">
        <f t="shared" si="16"/>
        <v/>
      </c>
      <c r="N85" t="str">
        <f t="shared" si="16"/>
        <v/>
      </c>
      <c r="O85" t="str">
        <f t="shared" si="16"/>
        <v/>
      </c>
      <c r="P85" t="str">
        <f t="shared" si="16"/>
        <v/>
      </c>
      <c r="Q85" t="str">
        <f t="shared" si="16"/>
        <v/>
      </c>
      <c r="R85" t="str">
        <f t="shared" si="16"/>
        <v/>
      </c>
      <c r="S85" t="str">
        <f t="shared" si="16"/>
        <v/>
      </c>
      <c r="T85" t="str">
        <f t="shared" si="16"/>
        <v/>
      </c>
      <c r="U85" t="str">
        <f t="shared" si="17"/>
        <v/>
      </c>
      <c r="V85" t="str">
        <f t="shared" si="17"/>
        <v/>
      </c>
      <c r="W85" t="str">
        <f t="shared" si="17"/>
        <v/>
      </c>
      <c r="X85" t="str">
        <f t="shared" si="17"/>
        <v/>
      </c>
      <c r="Y85" t="str">
        <f t="shared" si="17"/>
        <v/>
      </c>
      <c r="Z85" t="str">
        <f t="shared" si="17"/>
        <v/>
      </c>
      <c r="AA85" t="str">
        <f t="shared" si="17"/>
        <v/>
      </c>
      <c r="AB85" t="str">
        <f t="shared" si="17"/>
        <v/>
      </c>
      <c r="AC85">
        <f t="shared" si="15"/>
        <v>0</v>
      </c>
    </row>
    <row r="86" spans="1:29" x14ac:dyDescent="0.35">
      <c r="A86">
        <v>81</v>
      </c>
      <c r="B86" t="s">
        <v>11</v>
      </c>
      <c r="C86" t="s">
        <v>587</v>
      </c>
      <c r="D86" t="s">
        <v>588</v>
      </c>
      <c r="E86" t="s">
        <v>1</v>
      </c>
      <c r="F86" t="s">
        <v>889</v>
      </c>
      <c r="G86" t="s">
        <v>2</v>
      </c>
      <c r="H86">
        <v>2.12</v>
      </c>
      <c r="I86">
        <v>2.7149999999999999</v>
      </c>
      <c r="J86" t="s">
        <v>6</v>
      </c>
      <c r="K86" t="str">
        <f t="shared" ref="K86:T95" si="18">IFERROR(IFERROR(IF(K$5=$K$1,VLOOKUP($A86,dormitorios,2,0),IF(K$5=$L$1,VLOOKUP($A86,comedor,2,0),IF(K$5=$M$1,VLOOKUP($A86,alojamiento,2,0),IF(K$5=$N$1,VLOOKUP($A86,sanidad,2,0),IF(K$5=$O$1,VLOOKUP($A86,servicios,2,0),IF(K$5=$P$1,VLOOKUP($A86,comyaloj,2,0),IF(K$5=$Q$1,VLOOKUP($A86,comandancia,2,0),IF(K$5=$R$1,VLOOKUP($A86,mantenimiento,2,0),IF(K$5=$S$1,VLOOKUP($A86,serestatal,2,0),IF(K$5=$T$1,VLOOKUP($A86,conferencias,2,0),"")))))))))),"")*K$3,"")</f>
        <v/>
      </c>
      <c r="L86" t="str">
        <f t="shared" si="18"/>
        <v/>
      </c>
      <c r="M86" t="str">
        <f t="shared" si="18"/>
        <v/>
      </c>
      <c r="N86" t="str">
        <f t="shared" si="18"/>
        <v/>
      </c>
      <c r="O86" t="str">
        <f t="shared" si="18"/>
        <v/>
      </c>
      <c r="P86" t="str">
        <f t="shared" si="18"/>
        <v/>
      </c>
      <c r="Q86" t="str">
        <f t="shared" si="18"/>
        <v/>
      </c>
      <c r="R86" t="str">
        <f t="shared" si="18"/>
        <v/>
      </c>
      <c r="S86" t="str">
        <f t="shared" si="18"/>
        <v/>
      </c>
      <c r="T86" t="str">
        <f t="shared" si="18"/>
        <v/>
      </c>
      <c r="U86" t="str">
        <f t="shared" ref="U86:AB95" si="19">IFERROR(IFERROR(IF(U$5=$K$1,VLOOKUP($A86,dormitorios,2,0),IF(U$5=$L$1,VLOOKUP($A86,comedor,2,0),IF(U$5=$M$1,VLOOKUP($A86,alojamiento,2,0),IF(U$5=$N$1,VLOOKUP($A86,sanidad,2,0),IF(U$5=$O$1,VLOOKUP($A86,servicios,2,0),IF(U$5=$P$1,VLOOKUP($A86,comyaloj,2,0),IF(U$5=$Q$1,VLOOKUP($A86,comandancia,2,0),IF(U$5=$R$1,VLOOKUP($A86,mantenimiento,2,0),IF(U$5=$S$1,VLOOKUP($A86,serestatal,2,0),IF(U$5=$T$1,VLOOKUP($A86,conferencias,2,0),"")))))))))),"")*U$3,"")</f>
        <v/>
      </c>
      <c r="V86" t="str">
        <f t="shared" si="19"/>
        <v/>
      </c>
      <c r="W86" t="str">
        <f t="shared" si="19"/>
        <v/>
      </c>
      <c r="X86" t="str">
        <f t="shared" si="19"/>
        <v/>
      </c>
      <c r="Y86" t="str">
        <f t="shared" si="19"/>
        <v/>
      </c>
      <c r="Z86" t="str">
        <f t="shared" si="19"/>
        <v/>
      </c>
      <c r="AA86" t="str">
        <f t="shared" si="19"/>
        <v/>
      </c>
      <c r="AB86" t="str">
        <f t="shared" si="19"/>
        <v/>
      </c>
      <c r="AC86">
        <f t="shared" si="15"/>
        <v>0</v>
      </c>
    </row>
    <row r="87" spans="1:29" x14ac:dyDescent="0.35">
      <c r="A87">
        <v>82</v>
      </c>
      <c r="B87" t="s">
        <v>11</v>
      </c>
      <c r="C87" t="s">
        <v>589</v>
      </c>
      <c r="D87" t="s">
        <v>590</v>
      </c>
      <c r="E87" t="s">
        <v>1</v>
      </c>
      <c r="F87" t="s">
        <v>889</v>
      </c>
      <c r="G87" t="s">
        <v>2</v>
      </c>
      <c r="H87">
        <v>1.81</v>
      </c>
      <c r="I87">
        <v>2.7149999999999999</v>
      </c>
      <c r="J87" t="s">
        <v>6</v>
      </c>
      <c r="K87" t="str">
        <f t="shared" si="18"/>
        <v/>
      </c>
      <c r="L87" t="str">
        <f t="shared" si="18"/>
        <v/>
      </c>
      <c r="M87" t="str">
        <f t="shared" si="18"/>
        <v/>
      </c>
      <c r="N87" t="str">
        <f t="shared" si="18"/>
        <v/>
      </c>
      <c r="O87" t="str">
        <f t="shared" si="18"/>
        <v/>
      </c>
      <c r="P87" t="str">
        <f t="shared" si="18"/>
        <v/>
      </c>
      <c r="Q87" t="str">
        <f t="shared" si="18"/>
        <v/>
      </c>
      <c r="R87" t="str">
        <f t="shared" si="18"/>
        <v/>
      </c>
      <c r="S87" t="str">
        <f t="shared" si="18"/>
        <v/>
      </c>
      <c r="T87" t="str">
        <f t="shared" si="18"/>
        <v/>
      </c>
      <c r="U87" t="str">
        <f t="shared" si="19"/>
        <v/>
      </c>
      <c r="V87" t="str">
        <f t="shared" si="19"/>
        <v/>
      </c>
      <c r="W87" t="str">
        <f t="shared" si="19"/>
        <v/>
      </c>
      <c r="X87" t="str">
        <f t="shared" si="19"/>
        <v/>
      </c>
      <c r="Y87" t="str">
        <f t="shared" si="19"/>
        <v/>
      </c>
      <c r="Z87" t="str">
        <f t="shared" si="19"/>
        <v/>
      </c>
      <c r="AA87" t="str">
        <f t="shared" si="19"/>
        <v/>
      </c>
      <c r="AB87" t="str">
        <f t="shared" si="19"/>
        <v/>
      </c>
      <c r="AC87">
        <f t="shared" si="15"/>
        <v>0</v>
      </c>
    </row>
    <row r="88" spans="1:29" x14ac:dyDescent="0.35">
      <c r="A88">
        <v>83</v>
      </c>
      <c r="B88" t="s">
        <v>11</v>
      </c>
      <c r="C88" t="s">
        <v>591</v>
      </c>
      <c r="D88" t="s">
        <v>592</v>
      </c>
      <c r="E88" t="s">
        <v>1</v>
      </c>
      <c r="F88" t="s">
        <v>889</v>
      </c>
      <c r="G88" t="s">
        <v>0</v>
      </c>
      <c r="H88">
        <v>2.0299999999999998</v>
      </c>
      <c r="I88">
        <v>2.7149999999999999</v>
      </c>
      <c r="J88" t="s">
        <v>6</v>
      </c>
      <c r="K88" t="str">
        <f t="shared" si="18"/>
        <v/>
      </c>
      <c r="L88" t="str">
        <f t="shared" si="18"/>
        <v/>
      </c>
      <c r="M88" t="str">
        <f t="shared" si="18"/>
        <v/>
      </c>
      <c r="N88" t="str">
        <f t="shared" si="18"/>
        <v/>
      </c>
      <c r="O88" t="str">
        <f t="shared" si="18"/>
        <v/>
      </c>
      <c r="P88" t="str">
        <f t="shared" si="18"/>
        <v/>
      </c>
      <c r="Q88" t="str">
        <f t="shared" si="18"/>
        <v/>
      </c>
      <c r="R88" t="str">
        <f t="shared" si="18"/>
        <v/>
      </c>
      <c r="S88" t="str">
        <f t="shared" si="18"/>
        <v/>
      </c>
      <c r="T88" t="str">
        <f t="shared" si="18"/>
        <v/>
      </c>
      <c r="U88" t="str">
        <f t="shared" si="19"/>
        <v/>
      </c>
      <c r="V88" t="str">
        <f t="shared" si="19"/>
        <v/>
      </c>
      <c r="W88" t="str">
        <f t="shared" si="19"/>
        <v/>
      </c>
      <c r="X88" t="str">
        <f t="shared" si="19"/>
        <v/>
      </c>
      <c r="Y88" t="str">
        <f t="shared" si="19"/>
        <v/>
      </c>
      <c r="Z88" t="str">
        <f t="shared" si="19"/>
        <v/>
      </c>
      <c r="AA88" t="str">
        <f t="shared" si="19"/>
        <v/>
      </c>
      <c r="AB88" t="str">
        <f t="shared" si="19"/>
        <v/>
      </c>
      <c r="AC88">
        <f t="shared" si="15"/>
        <v>0</v>
      </c>
    </row>
    <row r="89" spans="1:29" x14ac:dyDescent="0.35">
      <c r="A89">
        <v>84</v>
      </c>
      <c r="B89" t="s">
        <v>11</v>
      </c>
      <c r="C89" t="s">
        <v>593</v>
      </c>
      <c r="D89" t="s">
        <v>594</v>
      </c>
      <c r="E89" t="s">
        <v>1</v>
      </c>
      <c r="F89" t="s">
        <v>889</v>
      </c>
      <c r="G89" t="s">
        <v>0</v>
      </c>
      <c r="H89">
        <v>0.98</v>
      </c>
      <c r="I89">
        <v>2.7149999999999999</v>
      </c>
      <c r="J89" t="s">
        <v>6</v>
      </c>
      <c r="K89" t="str">
        <f t="shared" si="18"/>
        <v/>
      </c>
      <c r="L89" t="str">
        <f t="shared" si="18"/>
        <v/>
      </c>
      <c r="M89" t="str">
        <f t="shared" si="18"/>
        <v/>
      </c>
      <c r="N89" t="str">
        <f t="shared" si="18"/>
        <v/>
      </c>
      <c r="O89" t="str">
        <f t="shared" si="18"/>
        <v/>
      </c>
      <c r="P89" t="str">
        <f t="shared" si="18"/>
        <v/>
      </c>
      <c r="Q89" t="str">
        <f t="shared" si="18"/>
        <v/>
      </c>
      <c r="R89" t="str">
        <f t="shared" si="18"/>
        <v/>
      </c>
      <c r="S89" t="str">
        <f t="shared" si="18"/>
        <v/>
      </c>
      <c r="T89" t="str">
        <f t="shared" si="18"/>
        <v/>
      </c>
      <c r="U89" t="str">
        <f t="shared" si="19"/>
        <v/>
      </c>
      <c r="V89" t="str">
        <f t="shared" si="19"/>
        <v/>
      </c>
      <c r="W89" t="str">
        <f t="shared" si="19"/>
        <v/>
      </c>
      <c r="X89" t="str">
        <f t="shared" si="19"/>
        <v/>
      </c>
      <c r="Y89" t="str">
        <f t="shared" si="19"/>
        <v/>
      </c>
      <c r="Z89" t="str">
        <f t="shared" si="19"/>
        <v/>
      </c>
      <c r="AA89" t="str">
        <f t="shared" si="19"/>
        <v/>
      </c>
      <c r="AB89" t="str">
        <f t="shared" si="19"/>
        <v/>
      </c>
      <c r="AC89">
        <f t="shared" si="15"/>
        <v>0</v>
      </c>
    </row>
    <row r="90" spans="1:29" x14ac:dyDescent="0.35">
      <c r="A90">
        <v>85</v>
      </c>
      <c r="B90" t="s">
        <v>11</v>
      </c>
      <c r="C90" t="s">
        <v>595</v>
      </c>
      <c r="D90" t="s">
        <v>596</v>
      </c>
      <c r="E90" t="s">
        <v>1</v>
      </c>
      <c r="F90" t="s">
        <v>516</v>
      </c>
      <c r="G90" t="s">
        <v>0</v>
      </c>
      <c r="H90">
        <v>1.96</v>
      </c>
      <c r="I90">
        <v>2.7149999999999999</v>
      </c>
      <c r="J90" t="s">
        <v>6</v>
      </c>
      <c r="K90" t="str">
        <f t="shared" si="18"/>
        <v/>
      </c>
      <c r="L90" t="str">
        <f t="shared" si="18"/>
        <v/>
      </c>
      <c r="M90" t="str">
        <f t="shared" si="18"/>
        <v/>
      </c>
      <c r="N90" t="str">
        <f t="shared" si="18"/>
        <v/>
      </c>
      <c r="O90" t="str">
        <f t="shared" si="18"/>
        <v/>
      </c>
      <c r="P90" t="str">
        <f t="shared" si="18"/>
        <v/>
      </c>
      <c r="Q90" t="str">
        <f t="shared" si="18"/>
        <v/>
      </c>
      <c r="R90" t="str">
        <f t="shared" si="18"/>
        <v/>
      </c>
      <c r="S90" t="str">
        <f t="shared" si="18"/>
        <v/>
      </c>
      <c r="T90" t="str">
        <f t="shared" si="18"/>
        <v/>
      </c>
      <c r="U90" t="str">
        <f t="shared" si="19"/>
        <v/>
      </c>
      <c r="V90" t="str">
        <f t="shared" si="19"/>
        <v/>
      </c>
      <c r="W90" t="str">
        <f t="shared" si="19"/>
        <v/>
      </c>
      <c r="X90" t="str">
        <f t="shared" si="19"/>
        <v/>
      </c>
      <c r="Y90" t="str">
        <f t="shared" si="19"/>
        <v/>
      </c>
      <c r="Z90" t="str">
        <f t="shared" si="19"/>
        <v/>
      </c>
      <c r="AA90" t="str">
        <f t="shared" si="19"/>
        <v/>
      </c>
      <c r="AB90" t="str">
        <f t="shared" si="19"/>
        <v/>
      </c>
      <c r="AC90">
        <f t="shared" si="15"/>
        <v>0</v>
      </c>
    </row>
    <row r="91" spans="1:29" x14ac:dyDescent="0.35">
      <c r="A91">
        <v>86</v>
      </c>
      <c r="B91" t="s">
        <v>11</v>
      </c>
      <c r="C91" t="s">
        <v>629</v>
      </c>
      <c r="D91" t="s">
        <v>630</v>
      </c>
      <c r="E91" t="s">
        <v>1</v>
      </c>
      <c r="F91" t="s">
        <v>889</v>
      </c>
      <c r="G91" t="s">
        <v>0</v>
      </c>
      <c r="H91">
        <v>1.2</v>
      </c>
      <c r="I91">
        <v>2.7149999999999999</v>
      </c>
      <c r="J91" t="s">
        <v>6</v>
      </c>
      <c r="K91" t="str">
        <f t="shared" si="18"/>
        <v/>
      </c>
      <c r="L91" t="str">
        <f t="shared" si="18"/>
        <v/>
      </c>
      <c r="M91">
        <f t="shared" si="18"/>
        <v>4</v>
      </c>
      <c r="N91" t="str">
        <f t="shared" si="18"/>
        <v/>
      </c>
      <c r="O91" t="str">
        <f t="shared" si="18"/>
        <v/>
      </c>
      <c r="P91" t="str">
        <f t="shared" si="18"/>
        <v/>
      </c>
      <c r="Q91" t="str">
        <f t="shared" si="18"/>
        <v/>
      </c>
      <c r="R91" t="str">
        <f t="shared" si="18"/>
        <v/>
      </c>
      <c r="S91" t="str">
        <f t="shared" si="18"/>
        <v/>
      </c>
      <c r="T91" t="str">
        <f t="shared" si="18"/>
        <v/>
      </c>
      <c r="U91" t="str">
        <f t="shared" si="19"/>
        <v/>
      </c>
      <c r="V91" t="str">
        <f t="shared" si="19"/>
        <v/>
      </c>
      <c r="W91" t="str">
        <f t="shared" si="19"/>
        <v/>
      </c>
      <c r="X91" t="str">
        <f t="shared" si="19"/>
        <v/>
      </c>
      <c r="Y91" t="str">
        <f t="shared" si="19"/>
        <v/>
      </c>
      <c r="Z91" t="str">
        <f t="shared" si="19"/>
        <v/>
      </c>
      <c r="AA91" t="str">
        <f t="shared" si="19"/>
        <v/>
      </c>
      <c r="AB91" t="str">
        <f t="shared" si="19"/>
        <v/>
      </c>
      <c r="AC91">
        <f t="shared" si="15"/>
        <v>4</v>
      </c>
    </row>
    <row r="92" spans="1:29" x14ac:dyDescent="0.35">
      <c r="A92">
        <v>87</v>
      </c>
      <c r="B92" t="s">
        <v>11</v>
      </c>
      <c r="C92" t="s">
        <v>631</v>
      </c>
      <c r="D92" t="s">
        <v>632</v>
      </c>
      <c r="E92" t="s">
        <v>1</v>
      </c>
      <c r="F92" t="s">
        <v>889</v>
      </c>
      <c r="G92" t="s">
        <v>0</v>
      </c>
      <c r="H92">
        <v>1.65</v>
      </c>
      <c r="I92">
        <v>2.7149999999999999</v>
      </c>
      <c r="J92" t="s">
        <v>6</v>
      </c>
      <c r="K92" t="str">
        <f t="shared" si="18"/>
        <v/>
      </c>
      <c r="L92" t="str">
        <f t="shared" si="18"/>
        <v/>
      </c>
      <c r="M92" t="str">
        <f t="shared" si="18"/>
        <v/>
      </c>
      <c r="N92" t="str">
        <f t="shared" si="18"/>
        <v/>
      </c>
      <c r="O92" t="str">
        <f t="shared" si="18"/>
        <v/>
      </c>
      <c r="P92" t="str">
        <f t="shared" si="18"/>
        <v/>
      </c>
      <c r="Q92" t="str">
        <f t="shared" si="18"/>
        <v/>
      </c>
      <c r="R92" t="str">
        <f t="shared" si="18"/>
        <v/>
      </c>
      <c r="S92" t="str">
        <f t="shared" si="18"/>
        <v/>
      </c>
      <c r="T92" t="str">
        <f t="shared" si="18"/>
        <v/>
      </c>
      <c r="U92" t="str">
        <f t="shared" si="19"/>
        <v/>
      </c>
      <c r="V92" t="str">
        <f t="shared" si="19"/>
        <v/>
      </c>
      <c r="W92" t="str">
        <f t="shared" si="19"/>
        <v/>
      </c>
      <c r="X92" t="str">
        <f t="shared" si="19"/>
        <v/>
      </c>
      <c r="Y92" t="str">
        <f t="shared" si="19"/>
        <v/>
      </c>
      <c r="Z92" t="str">
        <f t="shared" si="19"/>
        <v/>
      </c>
      <c r="AA92" t="str">
        <f t="shared" si="19"/>
        <v/>
      </c>
      <c r="AB92" t="str">
        <f t="shared" si="19"/>
        <v/>
      </c>
      <c r="AC92">
        <f t="shared" si="15"/>
        <v>0</v>
      </c>
    </row>
    <row r="93" spans="1:29" x14ac:dyDescent="0.35">
      <c r="A93">
        <v>88</v>
      </c>
      <c r="B93" t="s">
        <v>11</v>
      </c>
      <c r="C93" t="s">
        <v>638</v>
      </c>
      <c r="D93" t="s">
        <v>637</v>
      </c>
      <c r="E93" t="s">
        <v>1</v>
      </c>
      <c r="F93" t="s">
        <v>889</v>
      </c>
      <c r="G93" t="s">
        <v>2</v>
      </c>
      <c r="H93">
        <v>1.68</v>
      </c>
      <c r="I93">
        <v>2.7149999999999999</v>
      </c>
      <c r="J93" t="s">
        <v>6</v>
      </c>
      <c r="K93" t="str">
        <f t="shared" si="18"/>
        <v/>
      </c>
      <c r="L93" t="str">
        <f t="shared" si="18"/>
        <v/>
      </c>
      <c r="M93" t="str">
        <f t="shared" si="18"/>
        <v/>
      </c>
      <c r="N93" t="str">
        <f t="shared" si="18"/>
        <v/>
      </c>
      <c r="O93" t="str">
        <f t="shared" si="18"/>
        <v/>
      </c>
      <c r="P93" t="str">
        <f t="shared" si="18"/>
        <v/>
      </c>
      <c r="Q93" t="str">
        <f t="shared" si="18"/>
        <v/>
      </c>
      <c r="R93" t="str">
        <f t="shared" si="18"/>
        <v/>
      </c>
      <c r="S93" t="str">
        <f t="shared" si="18"/>
        <v/>
      </c>
      <c r="T93" t="str">
        <f t="shared" si="18"/>
        <v/>
      </c>
      <c r="U93" t="str">
        <f t="shared" si="19"/>
        <v/>
      </c>
      <c r="V93" t="str">
        <f t="shared" si="19"/>
        <v/>
      </c>
      <c r="W93" t="str">
        <f t="shared" si="19"/>
        <v/>
      </c>
      <c r="X93" t="str">
        <f t="shared" si="19"/>
        <v/>
      </c>
      <c r="Y93" t="str">
        <f t="shared" si="19"/>
        <v/>
      </c>
      <c r="Z93" t="str">
        <f t="shared" si="19"/>
        <v/>
      </c>
      <c r="AA93" t="str">
        <f t="shared" si="19"/>
        <v/>
      </c>
      <c r="AB93" t="str">
        <f t="shared" si="19"/>
        <v/>
      </c>
      <c r="AC93">
        <f t="shared" si="15"/>
        <v>0</v>
      </c>
    </row>
    <row r="94" spans="1:29" x14ac:dyDescent="0.35">
      <c r="A94">
        <v>89</v>
      </c>
      <c r="B94" t="s">
        <v>11</v>
      </c>
      <c r="C94" t="s">
        <v>639</v>
      </c>
      <c r="D94" t="s">
        <v>640</v>
      </c>
      <c r="E94" t="s">
        <v>1</v>
      </c>
      <c r="F94" t="s">
        <v>889</v>
      </c>
      <c r="G94" t="s">
        <v>0</v>
      </c>
      <c r="H94">
        <v>0.81</v>
      </c>
      <c r="I94">
        <v>2.7149999999999999</v>
      </c>
      <c r="J94" t="s">
        <v>6</v>
      </c>
      <c r="K94" t="str">
        <f t="shared" si="18"/>
        <v/>
      </c>
      <c r="L94" t="str">
        <f t="shared" si="18"/>
        <v/>
      </c>
      <c r="M94" t="str">
        <f t="shared" si="18"/>
        <v/>
      </c>
      <c r="N94" t="str">
        <f t="shared" si="18"/>
        <v/>
      </c>
      <c r="O94" t="str">
        <f t="shared" si="18"/>
        <v/>
      </c>
      <c r="P94" t="str">
        <f t="shared" si="18"/>
        <v/>
      </c>
      <c r="Q94" t="str">
        <f t="shared" si="18"/>
        <v/>
      </c>
      <c r="R94" t="str">
        <f t="shared" si="18"/>
        <v/>
      </c>
      <c r="S94" t="str">
        <f t="shared" si="18"/>
        <v/>
      </c>
      <c r="T94" t="str">
        <f t="shared" si="18"/>
        <v/>
      </c>
      <c r="U94" t="str">
        <f t="shared" si="19"/>
        <v/>
      </c>
      <c r="V94" t="str">
        <f t="shared" si="19"/>
        <v/>
      </c>
      <c r="W94" t="str">
        <f t="shared" si="19"/>
        <v/>
      </c>
      <c r="X94" t="str">
        <f t="shared" si="19"/>
        <v/>
      </c>
      <c r="Y94" t="str">
        <f t="shared" si="19"/>
        <v/>
      </c>
      <c r="Z94" t="str">
        <f t="shared" si="19"/>
        <v/>
      </c>
      <c r="AA94" t="str">
        <f t="shared" si="19"/>
        <v/>
      </c>
      <c r="AB94" t="str">
        <f t="shared" si="19"/>
        <v/>
      </c>
      <c r="AC94">
        <f t="shared" si="15"/>
        <v>0</v>
      </c>
    </row>
    <row r="95" spans="1:29" x14ac:dyDescent="0.35">
      <c r="A95">
        <v>90</v>
      </c>
      <c r="B95" t="s">
        <v>11</v>
      </c>
      <c r="C95" t="s">
        <v>645</v>
      </c>
      <c r="D95" t="s">
        <v>646</v>
      </c>
      <c r="E95" t="s">
        <v>1</v>
      </c>
      <c r="F95" t="s">
        <v>889</v>
      </c>
      <c r="G95" t="s">
        <v>2</v>
      </c>
      <c r="H95">
        <v>1.1299999999999999</v>
      </c>
      <c r="I95">
        <v>2.7149999999999999</v>
      </c>
      <c r="J95" t="s">
        <v>6</v>
      </c>
      <c r="K95" t="str">
        <f t="shared" si="18"/>
        <v/>
      </c>
      <c r="L95" t="str">
        <f t="shared" si="18"/>
        <v/>
      </c>
      <c r="M95" t="str">
        <f t="shared" si="18"/>
        <v/>
      </c>
      <c r="N95" t="str">
        <f t="shared" si="18"/>
        <v/>
      </c>
      <c r="O95" t="str">
        <f t="shared" si="18"/>
        <v/>
      </c>
      <c r="P95" t="str">
        <f t="shared" si="18"/>
        <v/>
      </c>
      <c r="Q95" t="str">
        <f t="shared" si="18"/>
        <v/>
      </c>
      <c r="R95" t="str">
        <f t="shared" si="18"/>
        <v/>
      </c>
      <c r="S95" t="str">
        <f t="shared" si="18"/>
        <v/>
      </c>
      <c r="T95" t="str">
        <f t="shared" si="18"/>
        <v/>
      </c>
      <c r="U95" t="str">
        <f t="shared" si="19"/>
        <v/>
      </c>
      <c r="V95" t="str">
        <f t="shared" si="19"/>
        <v/>
      </c>
      <c r="W95" t="str">
        <f t="shared" si="19"/>
        <v/>
      </c>
      <c r="X95" t="str">
        <f t="shared" si="19"/>
        <v/>
      </c>
      <c r="Y95" t="str">
        <f t="shared" si="19"/>
        <v/>
      </c>
      <c r="Z95" t="str">
        <f t="shared" si="19"/>
        <v/>
      </c>
      <c r="AA95" t="str">
        <f t="shared" si="19"/>
        <v/>
      </c>
      <c r="AB95" t="str">
        <f t="shared" si="19"/>
        <v/>
      </c>
      <c r="AC95">
        <f t="shared" si="15"/>
        <v>0</v>
      </c>
    </row>
    <row r="96" spans="1:29" x14ac:dyDescent="0.35">
      <c r="A96">
        <v>91</v>
      </c>
      <c r="B96" t="s">
        <v>11</v>
      </c>
      <c r="C96" t="s">
        <v>647</v>
      </c>
      <c r="D96" t="s">
        <v>648</v>
      </c>
      <c r="E96" t="s">
        <v>1</v>
      </c>
      <c r="F96" t="s">
        <v>889</v>
      </c>
      <c r="G96" t="s">
        <v>0</v>
      </c>
      <c r="H96">
        <v>2.4300000000000002</v>
      </c>
      <c r="I96">
        <v>2.7149999999999999</v>
      </c>
      <c r="J96" t="s">
        <v>6</v>
      </c>
      <c r="K96" t="str">
        <f t="shared" ref="K96:T105" si="20">IFERROR(IFERROR(IF(K$5=$K$1,VLOOKUP($A96,dormitorios,2,0),IF(K$5=$L$1,VLOOKUP($A96,comedor,2,0),IF(K$5=$M$1,VLOOKUP($A96,alojamiento,2,0),IF(K$5=$N$1,VLOOKUP($A96,sanidad,2,0),IF(K$5=$O$1,VLOOKUP($A96,servicios,2,0),IF(K$5=$P$1,VLOOKUP($A96,comyaloj,2,0),IF(K$5=$Q$1,VLOOKUP($A96,comandancia,2,0),IF(K$5=$R$1,VLOOKUP($A96,mantenimiento,2,0),IF(K$5=$S$1,VLOOKUP($A96,serestatal,2,0),IF(K$5=$T$1,VLOOKUP($A96,conferencias,2,0),"")))))))))),"")*K$3,"")</f>
        <v/>
      </c>
      <c r="L96" t="str">
        <f t="shared" si="20"/>
        <v/>
      </c>
      <c r="M96" t="str">
        <f t="shared" si="20"/>
        <v/>
      </c>
      <c r="N96" t="str">
        <f t="shared" si="20"/>
        <v/>
      </c>
      <c r="O96" t="str">
        <f t="shared" si="20"/>
        <v/>
      </c>
      <c r="P96" t="str">
        <f t="shared" si="20"/>
        <v/>
      </c>
      <c r="Q96" t="str">
        <f t="shared" si="20"/>
        <v/>
      </c>
      <c r="R96" t="str">
        <f t="shared" si="20"/>
        <v/>
      </c>
      <c r="S96" t="str">
        <f t="shared" si="20"/>
        <v/>
      </c>
      <c r="T96" t="str">
        <f t="shared" si="20"/>
        <v/>
      </c>
      <c r="U96" t="str">
        <f t="shared" ref="U96:AB105" si="21">IFERROR(IFERROR(IF(U$5=$K$1,VLOOKUP($A96,dormitorios,2,0),IF(U$5=$L$1,VLOOKUP($A96,comedor,2,0),IF(U$5=$M$1,VLOOKUP($A96,alojamiento,2,0),IF(U$5=$N$1,VLOOKUP($A96,sanidad,2,0),IF(U$5=$O$1,VLOOKUP($A96,servicios,2,0),IF(U$5=$P$1,VLOOKUP($A96,comyaloj,2,0),IF(U$5=$Q$1,VLOOKUP($A96,comandancia,2,0),IF(U$5=$R$1,VLOOKUP($A96,mantenimiento,2,0),IF(U$5=$S$1,VLOOKUP($A96,serestatal,2,0),IF(U$5=$T$1,VLOOKUP($A96,conferencias,2,0),"")))))))))),"")*U$3,"")</f>
        <v/>
      </c>
      <c r="V96" t="str">
        <f t="shared" si="21"/>
        <v/>
      </c>
      <c r="W96" t="str">
        <f t="shared" si="21"/>
        <v/>
      </c>
      <c r="X96" t="str">
        <f t="shared" si="21"/>
        <v/>
      </c>
      <c r="Y96" t="str">
        <f t="shared" si="21"/>
        <v/>
      </c>
      <c r="Z96" t="str">
        <f t="shared" si="21"/>
        <v/>
      </c>
      <c r="AA96" t="str">
        <f t="shared" si="21"/>
        <v/>
      </c>
      <c r="AB96" t="str">
        <f t="shared" si="21"/>
        <v/>
      </c>
      <c r="AC96">
        <f t="shared" si="15"/>
        <v>0</v>
      </c>
    </row>
    <row r="97" spans="1:29" x14ac:dyDescent="0.35">
      <c r="A97">
        <v>92</v>
      </c>
      <c r="B97" t="s">
        <v>11</v>
      </c>
      <c r="C97" t="s">
        <v>649</v>
      </c>
      <c r="D97" t="s">
        <v>650</v>
      </c>
      <c r="E97" t="s">
        <v>1</v>
      </c>
      <c r="F97" t="s">
        <v>889</v>
      </c>
      <c r="G97" t="s">
        <v>0</v>
      </c>
      <c r="H97">
        <v>2.11</v>
      </c>
      <c r="I97">
        <v>2.7149999999999999</v>
      </c>
      <c r="J97" t="s">
        <v>6</v>
      </c>
      <c r="K97" t="str">
        <f t="shared" si="20"/>
        <v/>
      </c>
      <c r="L97" t="str">
        <f t="shared" si="20"/>
        <v/>
      </c>
      <c r="M97" t="str">
        <f t="shared" si="20"/>
        <v/>
      </c>
      <c r="N97" t="str">
        <f t="shared" si="20"/>
        <v/>
      </c>
      <c r="O97" t="str">
        <f t="shared" si="20"/>
        <v/>
      </c>
      <c r="P97" t="str">
        <f t="shared" si="20"/>
        <v/>
      </c>
      <c r="Q97" t="str">
        <f t="shared" si="20"/>
        <v/>
      </c>
      <c r="R97" t="str">
        <f t="shared" si="20"/>
        <v/>
      </c>
      <c r="S97" t="str">
        <f t="shared" si="20"/>
        <v/>
      </c>
      <c r="T97" t="str">
        <f t="shared" si="20"/>
        <v/>
      </c>
      <c r="U97" t="str">
        <f t="shared" si="21"/>
        <v/>
      </c>
      <c r="V97" t="str">
        <f t="shared" si="21"/>
        <v/>
      </c>
      <c r="W97" t="str">
        <f t="shared" si="21"/>
        <v/>
      </c>
      <c r="X97" t="str">
        <f t="shared" si="21"/>
        <v/>
      </c>
      <c r="Y97" t="str">
        <f t="shared" si="21"/>
        <v/>
      </c>
      <c r="Z97" t="str">
        <f t="shared" si="21"/>
        <v/>
      </c>
      <c r="AA97" t="str">
        <f t="shared" si="21"/>
        <v/>
      </c>
      <c r="AB97" t="str">
        <f t="shared" si="21"/>
        <v/>
      </c>
      <c r="AC97">
        <f t="shared" si="15"/>
        <v>0</v>
      </c>
    </row>
    <row r="98" spans="1:29" x14ac:dyDescent="0.35">
      <c r="A98">
        <v>93</v>
      </c>
      <c r="B98" t="s">
        <v>11</v>
      </c>
      <c r="C98" t="s">
        <v>653</v>
      </c>
      <c r="D98" t="s">
        <v>654</v>
      </c>
      <c r="E98" t="s">
        <v>1</v>
      </c>
      <c r="F98" t="s">
        <v>889</v>
      </c>
      <c r="G98" t="s">
        <v>2</v>
      </c>
      <c r="H98">
        <v>1.36</v>
      </c>
      <c r="I98">
        <v>2.7149999999999999</v>
      </c>
      <c r="J98" t="s">
        <v>6</v>
      </c>
      <c r="K98" t="str">
        <f t="shared" si="20"/>
        <v/>
      </c>
      <c r="L98" t="str">
        <f t="shared" si="20"/>
        <v/>
      </c>
      <c r="M98" t="str">
        <f t="shared" si="20"/>
        <v/>
      </c>
      <c r="N98" t="str">
        <f t="shared" si="20"/>
        <v/>
      </c>
      <c r="O98" t="str">
        <f t="shared" si="20"/>
        <v/>
      </c>
      <c r="P98" t="str">
        <f t="shared" si="20"/>
        <v/>
      </c>
      <c r="Q98" t="str">
        <f t="shared" si="20"/>
        <v/>
      </c>
      <c r="R98" t="str">
        <f t="shared" si="20"/>
        <v/>
      </c>
      <c r="S98" t="str">
        <f t="shared" si="20"/>
        <v/>
      </c>
      <c r="T98" t="str">
        <f t="shared" si="20"/>
        <v/>
      </c>
      <c r="U98" t="str">
        <f t="shared" si="21"/>
        <v/>
      </c>
      <c r="V98" t="str">
        <f t="shared" si="21"/>
        <v/>
      </c>
      <c r="W98" t="str">
        <f t="shared" si="21"/>
        <v/>
      </c>
      <c r="X98" t="str">
        <f t="shared" si="21"/>
        <v/>
      </c>
      <c r="Y98" t="str">
        <f t="shared" si="21"/>
        <v/>
      </c>
      <c r="Z98" t="str">
        <f t="shared" si="21"/>
        <v/>
      </c>
      <c r="AA98" t="str">
        <f t="shared" si="21"/>
        <v/>
      </c>
      <c r="AB98" t="str">
        <f t="shared" si="21"/>
        <v/>
      </c>
      <c r="AC98">
        <f t="shared" si="15"/>
        <v>0</v>
      </c>
    </row>
    <row r="99" spans="1:29" x14ac:dyDescent="0.35">
      <c r="A99">
        <v>94</v>
      </c>
      <c r="B99" t="s">
        <v>11</v>
      </c>
      <c r="C99" t="s">
        <v>667</v>
      </c>
      <c r="D99" t="s">
        <v>668</v>
      </c>
      <c r="E99" t="s">
        <v>662</v>
      </c>
      <c r="F99" t="s">
        <v>516</v>
      </c>
      <c r="G99" t="s">
        <v>0</v>
      </c>
      <c r="H99">
        <v>2.02</v>
      </c>
      <c r="I99">
        <v>2.7149999999999999</v>
      </c>
      <c r="J99" t="s">
        <v>6</v>
      </c>
      <c r="K99">
        <f t="shared" si="20"/>
        <v>21</v>
      </c>
      <c r="L99">
        <f t="shared" si="20"/>
        <v>12</v>
      </c>
      <c r="M99">
        <f t="shared" si="20"/>
        <v>20</v>
      </c>
      <c r="N99" t="str">
        <f t="shared" si="20"/>
        <v/>
      </c>
      <c r="O99" t="str">
        <f t="shared" si="20"/>
        <v/>
      </c>
      <c r="P99" t="str">
        <f t="shared" si="20"/>
        <v/>
      </c>
      <c r="Q99" t="str">
        <f t="shared" si="20"/>
        <v/>
      </c>
      <c r="R99" t="str">
        <f t="shared" si="20"/>
        <v/>
      </c>
      <c r="S99" t="str">
        <f t="shared" si="20"/>
        <v/>
      </c>
      <c r="T99" t="str">
        <f t="shared" si="20"/>
        <v/>
      </c>
      <c r="U99" t="str">
        <f t="shared" si="21"/>
        <v/>
      </c>
      <c r="V99" t="str">
        <f t="shared" si="21"/>
        <v/>
      </c>
      <c r="W99" t="str">
        <f t="shared" si="21"/>
        <v/>
      </c>
      <c r="X99" t="str">
        <f t="shared" si="21"/>
        <v/>
      </c>
      <c r="Y99" t="str">
        <f t="shared" si="21"/>
        <v/>
      </c>
      <c r="Z99" t="str">
        <f t="shared" si="21"/>
        <v/>
      </c>
      <c r="AA99" t="str">
        <f t="shared" si="21"/>
        <v/>
      </c>
      <c r="AB99" t="str">
        <f t="shared" si="21"/>
        <v/>
      </c>
      <c r="AC99">
        <f t="shared" si="15"/>
        <v>53</v>
      </c>
    </row>
    <row r="100" spans="1:29" x14ac:dyDescent="0.35">
      <c r="A100">
        <v>95</v>
      </c>
      <c r="B100" t="s">
        <v>11</v>
      </c>
      <c r="C100" t="s">
        <v>669</v>
      </c>
      <c r="D100" t="s">
        <v>670</v>
      </c>
      <c r="E100" t="s">
        <v>662</v>
      </c>
      <c r="F100" t="s">
        <v>673</v>
      </c>
      <c r="G100" t="s">
        <v>0</v>
      </c>
      <c r="H100">
        <v>2.02</v>
      </c>
      <c r="I100">
        <v>2.7149999999999999</v>
      </c>
      <c r="J100" t="s">
        <v>6</v>
      </c>
      <c r="K100">
        <f t="shared" si="20"/>
        <v>6</v>
      </c>
      <c r="L100" t="str">
        <f t="shared" si="20"/>
        <v/>
      </c>
      <c r="M100" t="str">
        <f t="shared" si="20"/>
        <v/>
      </c>
      <c r="N100" t="str">
        <f t="shared" si="20"/>
        <v/>
      </c>
      <c r="O100" t="str">
        <f t="shared" si="20"/>
        <v/>
      </c>
      <c r="P100" t="str">
        <f t="shared" si="20"/>
        <v/>
      </c>
      <c r="Q100" t="str">
        <f t="shared" si="20"/>
        <v/>
      </c>
      <c r="R100" t="str">
        <f t="shared" si="20"/>
        <v/>
      </c>
      <c r="S100" t="str">
        <f t="shared" si="20"/>
        <v/>
      </c>
      <c r="T100" t="str">
        <f t="shared" si="20"/>
        <v/>
      </c>
      <c r="U100" t="str">
        <f t="shared" si="21"/>
        <v/>
      </c>
      <c r="V100" t="str">
        <f t="shared" si="21"/>
        <v/>
      </c>
      <c r="W100" t="str">
        <f t="shared" si="21"/>
        <v/>
      </c>
      <c r="X100" t="str">
        <f t="shared" si="21"/>
        <v/>
      </c>
      <c r="Y100" t="str">
        <f t="shared" si="21"/>
        <v/>
      </c>
      <c r="Z100" t="str">
        <f t="shared" si="21"/>
        <v/>
      </c>
      <c r="AA100" t="str">
        <f t="shared" si="21"/>
        <v/>
      </c>
      <c r="AB100" t="str">
        <f t="shared" si="21"/>
        <v/>
      </c>
      <c r="AC100">
        <f t="shared" si="15"/>
        <v>6</v>
      </c>
    </row>
    <row r="101" spans="1:29" x14ac:dyDescent="0.35">
      <c r="A101">
        <v>96</v>
      </c>
      <c r="B101" t="s">
        <v>11</v>
      </c>
      <c r="C101" t="s">
        <v>671</v>
      </c>
      <c r="D101" t="s">
        <v>672</v>
      </c>
      <c r="E101" t="s">
        <v>662</v>
      </c>
      <c r="F101" t="s">
        <v>516</v>
      </c>
      <c r="G101" t="s">
        <v>2</v>
      </c>
      <c r="H101">
        <v>1.99</v>
      </c>
      <c r="I101">
        <v>2.7149999999999999</v>
      </c>
      <c r="J101" t="s">
        <v>6</v>
      </c>
      <c r="K101" t="str">
        <f t="shared" si="20"/>
        <v/>
      </c>
      <c r="L101" t="str">
        <f t="shared" si="20"/>
        <v/>
      </c>
      <c r="M101" t="str">
        <f t="shared" si="20"/>
        <v/>
      </c>
      <c r="N101" t="str">
        <f t="shared" si="20"/>
        <v/>
      </c>
      <c r="O101" t="str">
        <f t="shared" si="20"/>
        <v/>
      </c>
      <c r="P101" t="str">
        <f t="shared" si="20"/>
        <v/>
      </c>
      <c r="Q101" t="str">
        <f t="shared" si="20"/>
        <v/>
      </c>
      <c r="R101" t="str">
        <f t="shared" si="20"/>
        <v/>
      </c>
      <c r="S101" t="str">
        <f t="shared" si="20"/>
        <v/>
      </c>
      <c r="T101" t="str">
        <f t="shared" si="20"/>
        <v/>
      </c>
      <c r="U101" t="str">
        <f t="shared" si="21"/>
        <v/>
      </c>
      <c r="V101" t="str">
        <f t="shared" si="21"/>
        <v/>
      </c>
      <c r="W101" t="str">
        <f t="shared" si="21"/>
        <v/>
      </c>
      <c r="X101" t="str">
        <f t="shared" si="21"/>
        <v/>
      </c>
      <c r="Y101" t="str">
        <f t="shared" si="21"/>
        <v/>
      </c>
      <c r="Z101" t="str">
        <f t="shared" si="21"/>
        <v/>
      </c>
      <c r="AA101" t="str">
        <f t="shared" si="21"/>
        <v/>
      </c>
      <c r="AB101" t="str">
        <f t="shared" si="21"/>
        <v/>
      </c>
      <c r="AC101">
        <f t="shared" si="15"/>
        <v>0</v>
      </c>
    </row>
    <row r="102" spans="1:29" x14ac:dyDescent="0.35">
      <c r="A102">
        <v>97</v>
      </c>
      <c r="B102" t="s">
        <v>11</v>
      </c>
      <c r="C102" t="s">
        <v>674</v>
      </c>
      <c r="D102" t="s">
        <v>675</v>
      </c>
      <c r="E102" t="s">
        <v>662</v>
      </c>
      <c r="F102" t="s">
        <v>516</v>
      </c>
      <c r="G102" t="s">
        <v>0</v>
      </c>
      <c r="H102">
        <v>1.96</v>
      </c>
      <c r="I102">
        <v>2.7149999999999999</v>
      </c>
      <c r="J102" t="s">
        <v>6</v>
      </c>
      <c r="K102" t="str">
        <f t="shared" si="20"/>
        <v/>
      </c>
      <c r="L102" t="str">
        <f t="shared" si="20"/>
        <v/>
      </c>
      <c r="M102" t="str">
        <f t="shared" si="20"/>
        <v/>
      </c>
      <c r="N102" t="str">
        <f t="shared" si="20"/>
        <v/>
      </c>
      <c r="O102" t="str">
        <f t="shared" si="20"/>
        <v/>
      </c>
      <c r="P102" t="str">
        <f t="shared" si="20"/>
        <v/>
      </c>
      <c r="Q102" t="str">
        <f t="shared" si="20"/>
        <v/>
      </c>
      <c r="R102" t="str">
        <f t="shared" si="20"/>
        <v/>
      </c>
      <c r="S102" t="str">
        <f t="shared" si="20"/>
        <v/>
      </c>
      <c r="T102" t="str">
        <f t="shared" si="20"/>
        <v/>
      </c>
      <c r="U102" t="str">
        <f t="shared" si="21"/>
        <v/>
      </c>
      <c r="V102" t="str">
        <f t="shared" si="21"/>
        <v/>
      </c>
      <c r="W102" t="str">
        <f t="shared" si="21"/>
        <v/>
      </c>
      <c r="X102" t="str">
        <f t="shared" si="21"/>
        <v/>
      </c>
      <c r="Y102" t="str">
        <f t="shared" si="21"/>
        <v/>
      </c>
      <c r="Z102" t="str">
        <f t="shared" si="21"/>
        <v/>
      </c>
      <c r="AA102" t="str">
        <f t="shared" si="21"/>
        <v/>
      </c>
      <c r="AB102" t="str">
        <f t="shared" si="21"/>
        <v/>
      </c>
      <c r="AC102">
        <f t="shared" si="15"/>
        <v>0</v>
      </c>
    </row>
    <row r="103" spans="1:29" x14ac:dyDescent="0.35">
      <c r="A103">
        <v>98</v>
      </c>
      <c r="B103" t="s">
        <v>11</v>
      </c>
      <c r="C103" t="s">
        <v>676</v>
      </c>
      <c r="D103" t="s">
        <v>677</v>
      </c>
      <c r="E103" t="s">
        <v>662</v>
      </c>
      <c r="F103" t="s">
        <v>673</v>
      </c>
      <c r="G103" t="s">
        <v>0</v>
      </c>
      <c r="H103">
        <v>1.96</v>
      </c>
      <c r="I103">
        <v>2.7149999999999999</v>
      </c>
      <c r="J103" t="s">
        <v>6</v>
      </c>
      <c r="K103" t="str">
        <f t="shared" si="20"/>
        <v/>
      </c>
      <c r="L103" t="str">
        <f t="shared" si="20"/>
        <v/>
      </c>
      <c r="M103" t="str">
        <f t="shared" si="20"/>
        <v/>
      </c>
      <c r="N103" t="str">
        <f t="shared" si="20"/>
        <v/>
      </c>
      <c r="O103" t="str">
        <f t="shared" si="20"/>
        <v/>
      </c>
      <c r="P103" t="str">
        <f t="shared" si="20"/>
        <v/>
      </c>
      <c r="Q103" t="str">
        <f t="shared" si="20"/>
        <v/>
      </c>
      <c r="R103" t="str">
        <f t="shared" si="20"/>
        <v/>
      </c>
      <c r="S103" t="str">
        <f t="shared" si="20"/>
        <v/>
      </c>
      <c r="T103" t="str">
        <f t="shared" si="20"/>
        <v/>
      </c>
      <c r="U103" t="str">
        <f t="shared" si="21"/>
        <v/>
      </c>
      <c r="V103" t="str">
        <f t="shared" si="21"/>
        <v/>
      </c>
      <c r="W103" t="str">
        <f t="shared" si="21"/>
        <v/>
      </c>
      <c r="X103" t="str">
        <f t="shared" si="21"/>
        <v/>
      </c>
      <c r="Y103" t="str">
        <f t="shared" si="21"/>
        <v/>
      </c>
      <c r="Z103" t="str">
        <f t="shared" si="21"/>
        <v/>
      </c>
      <c r="AA103" t="str">
        <f t="shared" si="21"/>
        <v/>
      </c>
      <c r="AB103" t="str">
        <f t="shared" si="21"/>
        <v/>
      </c>
      <c r="AC103">
        <f t="shared" si="15"/>
        <v>0</v>
      </c>
    </row>
    <row r="104" spans="1:29" x14ac:dyDescent="0.35">
      <c r="A104">
        <v>99</v>
      </c>
      <c r="B104" t="s">
        <v>11</v>
      </c>
      <c r="C104" t="s">
        <v>678</v>
      </c>
      <c r="D104" t="s">
        <v>679</v>
      </c>
      <c r="E104" t="s">
        <v>662</v>
      </c>
      <c r="F104" t="s">
        <v>673</v>
      </c>
      <c r="G104" t="s">
        <v>0</v>
      </c>
      <c r="H104">
        <v>2.09</v>
      </c>
      <c r="I104">
        <v>2.7149999999999999</v>
      </c>
      <c r="J104" t="s">
        <v>6</v>
      </c>
      <c r="K104" t="str">
        <f t="shared" si="20"/>
        <v/>
      </c>
      <c r="L104" t="str">
        <f t="shared" si="20"/>
        <v/>
      </c>
      <c r="M104" t="str">
        <f t="shared" si="20"/>
        <v/>
      </c>
      <c r="N104" t="str">
        <f t="shared" si="20"/>
        <v/>
      </c>
      <c r="O104" t="str">
        <f t="shared" si="20"/>
        <v/>
      </c>
      <c r="P104" t="str">
        <f t="shared" si="20"/>
        <v/>
      </c>
      <c r="Q104" t="str">
        <f t="shared" si="20"/>
        <v/>
      </c>
      <c r="R104" t="str">
        <f t="shared" si="20"/>
        <v/>
      </c>
      <c r="S104" t="str">
        <f t="shared" si="20"/>
        <v/>
      </c>
      <c r="T104" t="str">
        <f t="shared" si="20"/>
        <v/>
      </c>
      <c r="U104" t="str">
        <f t="shared" si="21"/>
        <v/>
      </c>
      <c r="V104" t="str">
        <f t="shared" si="21"/>
        <v/>
      </c>
      <c r="W104" t="str">
        <f t="shared" si="21"/>
        <v/>
      </c>
      <c r="X104" t="str">
        <f t="shared" si="21"/>
        <v/>
      </c>
      <c r="Y104" t="str">
        <f t="shared" si="21"/>
        <v/>
      </c>
      <c r="Z104" t="str">
        <f t="shared" si="21"/>
        <v/>
      </c>
      <c r="AA104" t="str">
        <f t="shared" si="21"/>
        <v/>
      </c>
      <c r="AB104" t="str">
        <f t="shared" si="21"/>
        <v/>
      </c>
      <c r="AC104">
        <f t="shared" si="15"/>
        <v>0</v>
      </c>
    </row>
    <row r="105" spans="1:29" x14ac:dyDescent="0.35">
      <c r="A105">
        <v>100</v>
      </c>
      <c r="B105" t="s">
        <v>11</v>
      </c>
      <c r="C105" t="s">
        <v>680</v>
      </c>
      <c r="D105" t="s">
        <v>681</v>
      </c>
      <c r="E105" t="s">
        <v>662</v>
      </c>
      <c r="F105" t="s">
        <v>673</v>
      </c>
      <c r="G105" t="s">
        <v>0</v>
      </c>
      <c r="H105">
        <v>1.56</v>
      </c>
      <c r="I105">
        <v>2.7149999999999999</v>
      </c>
      <c r="J105" t="s">
        <v>6</v>
      </c>
      <c r="K105">
        <f t="shared" si="20"/>
        <v>9</v>
      </c>
      <c r="L105" t="str">
        <f t="shared" si="20"/>
        <v/>
      </c>
      <c r="M105" t="str">
        <f t="shared" si="20"/>
        <v/>
      </c>
      <c r="N105" t="str">
        <f t="shared" si="20"/>
        <v/>
      </c>
      <c r="O105" t="str">
        <f t="shared" si="20"/>
        <v/>
      </c>
      <c r="P105" t="str">
        <f t="shared" si="20"/>
        <v/>
      </c>
      <c r="Q105" t="str">
        <f t="shared" si="20"/>
        <v/>
      </c>
      <c r="R105" t="str">
        <f t="shared" si="20"/>
        <v/>
      </c>
      <c r="S105" t="str">
        <f t="shared" si="20"/>
        <v/>
      </c>
      <c r="T105" t="str">
        <f t="shared" si="20"/>
        <v/>
      </c>
      <c r="U105" t="str">
        <f t="shared" si="21"/>
        <v/>
      </c>
      <c r="V105" t="str">
        <f t="shared" si="21"/>
        <v/>
      </c>
      <c r="W105" t="str">
        <f t="shared" si="21"/>
        <v/>
      </c>
      <c r="X105" t="str">
        <f t="shared" si="21"/>
        <v/>
      </c>
      <c r="Y105" t="str">
        <f t="shared" si="21"/>
        <v/>
      </c>
      <c r="Z105" t="str">
        <f t="shared" si="21"/>
        <v/>
      </c>
      <c r="AA105" t="str">
        <f t="shared" si="21"/>
        <v/>
      </c>
      <c r="AB105" t="str">
        <f t="shared" si="21"/>
        <v/>
      </c>
      <c r="AC105">
        <f t="shared" si="15"/>
        <v>9</v>
      </c>
    </row>
    <row r="106" spans="1:29" x14ac:dyDescent="0.35">
      <c r="A106">
        <v>101</v>
      </c>
      <c r="B106" t="s">
        <v>11</v>
      </c>
      <c r="C106" t="s">
        <v>690</v>
      </c>
      <c r="D106" t="s">
        <v>691</v>
      </c>
      <c r="E106" t="s">
        <v>662</v>
      </c>
      <c r="F106" t="s">
        <v>516</v>
      </c>
      <c r="G106" t="s">
        <v>0</v>
      </c>
      <c r="H106">
        <v>0.94</v>
      </c>
      <c r="I106">
        <v>2.7149999999999999</v>
      </c>
      <c r="J106" t="s">
        <v>6</v>
      </c>
      <c r="K106" t="str">
        <f t="shared" ref="K106:T115" si="22">IFERROR(IFERROR(IF(K$5=$K$1,VLOOKUP($A106,dormitorios,2,0),IF(K$5=$L$1,VLOOKUP($A106,comedor,2,0),IF(K$5=$M$1,VLOOKUP($A106,alojamiento,2,0),IF(K$5=$N$1,VLOOKUP($A106,sanidad,2,0),IF(K$5=$O$1,VLOOKUP($A106,servicios,2,0),IF(K$5=$P$1,VLOOKUP($A106,comyaloj,2,0),IF(K$5=$Q$1,VLOOKUP($A106,comandancia,2,0),IF(K$5=$R$1,VLOOKUP($A106,mantenimiento,2,0),IF(K$5=$S$1,VLOOKUP($A106,serestatal,2,0),IF(K$5=$T$1,VLOOKUP($A106,conferencias,2,0),"")))))))))),"")*K$3,"")</f>
        <v/>
      </c>
      <c r="L106" t="str">
        <f t="shared" si="22"/>
        <v/>
      </c>
      <c r="M106" t="str">
        <f t="shared" si="22"/>
        <v/>
      </c>
      <c r="N106" t="str">
        <f t="shared" si="22"/>
        <v/>
      </c>
      <c r="O106" t="str">
        <f t="shared" si="22"/>
        <v/>
      </c>
      <c r="P106" t="str">
        <f t="shared" si="22"/>
        <v/>
      </c>
      <c r="Q106" t="str">
        <f t="shared" si="22"/>
        <v/>
      </c>
      <c r="R106" t="str">
        <f t="shared" si="22"/>
        <v/>
      </c>
      <c r="S106" t="str">
        <f t="shared" si="22"/>
        <v/>
      </c>
      <c r="T106" t="str">
        <f t="shared" si="22"/>
        <v/>
      </c>
      <c r="U106" t="str">
        <f t="shared" ref="U106:AB115" si="23">IFERROR(IFERROR(IF(U$5=$K$1,VLOOKUP($A106,dormitorios,2,0),IF(U$5=$L$1,VLOOKUP($A106,comedor,2,0),IF(U$5=$M$1,VLOOKUP($A106,alojamiento,2,0),IF(U$5=$N$1,VLOOKUP($A106,sanidad,2,0),IF(U$5=$O$1,VLOOKUP($A106,servicios,2,0),IF(U$5=$P$1,VLOOKUP($A106,comyaloj,2,0),IF(U$5=$Q$1,VLOOKUP($A106,comandancia,2,0),IF(U$5=$R$1,VLOOKUP($A106,mantenimiento,2,0),IF(U$5=$S$1,VLOOKUP($A106,serestatal,2,0),IF(U$5=$T$1,VLOOKUP($A106,conferencias,2,0),"")))))))))),"")*U$3,"")</f>
        <v/>
      </c>
      <c r="V106" t="str">
        <f t="shared" si="23"/>
        <v/>
      </c>
      <c r="W106" t="str">
        <f t="shared" si="23"/>
        <v/>
      </c>
      <c r="X106" t="str">
        <f t="shared" si="23"/>
        <v/>
      </c>
      <c r="Y106" t="str">
        <f t="shared" si="23"/>
        <v/>
      </c>
      <c r="Z106" t="str">
        <f t="shared" si="23"/>
        <v/>
      </c>
      <c r="AA106" t="str">
        <f t="shared" si="23"/>
        <v/>
      </c>
      <c r="AB106" t="str">
        <f t="shared" si="23"/>
        <v/>
      </c>
      <c r="AC106">
        <f t="shared" si="15"/>
        <v>0</v>
      </c>
    </row>
    <row r="107" spans="1:29" x14ac:dyDescent="0.35">
      <c r="A107">
        <v>102</v>
      </c>
      <c r="B107" t="s">
        <v>11</v>
      </c>
      <c r="C107" t="s">
        <v>692</v>
      </c>
      <c r="D107" t="s">
        <v>693</v>
      </c>
      <c r="E107" t="s">
        <v>662</v>
      </c>
      <c r="F107" t="s">
        <v>516</v>
      </c>
      <c r="G107" t="s">
        <v>0</v>
      </c>
      <c r="H107">
        <v>0.95</v>
      </c>
      <c r="I107">
        <v>2.7149999999999999</v>
      </c>
      <c r="J107" t="s">
        <v>6</v>
      </c>
      <c r="K107" t="str">
        <f t="shared" si="22"/>
        <v/>
      </c>
      <c r="L107">
        <f t="shared" si="22"/>
        <v>6</v>
      </c>
      <c r="M107" t="str">
        <f t="shared" si="22"/>
        <v/>
      </c>
      <c r="N107" t="str">
        <f t="shared" si="22"/>
        <v/>
      </c>
      <c r="O107" t="str">
        <f t="shared" si="22"/>
        <v/>
      </c>
      <c r="P107" t="str">
        <f t="shared" si="22"/>
        <v/>
      </c>
      <c r="Q107" t="str">
        <f t="shared" si="22"/>
        <v/>
      </c>
      <c r="R107" t="str">
        <f t="shared" si="22"/>
        <v/>
      </c>
      <c r="S107" t="str">
        <f t="shared" si="22"/>
        <v/>
      </c>
      <c r="T107" t="str">
        <f t="shared" si="22"/>
        <v/>
      </c>
      <c r="U107" t="str">
        <f t="shared" si="23"/>
        <v/>
      </c>
      <c r="V107" t="str">
        <f t="shared" si="23"/>
        <v/>
      </c>
      <c r="W107" t="str">
        <f t="shared" si="23"/>
        <v/>
      </c>
      <c r="X107" t="str">
        <f t="shared" si="23"/>
        <v/>
      </c>
      <c r="Y107" t="str">
        <f t="shared" si="23"/>
        <v/>
      </c>
      <c r="Z107" t="str">
        <f t="shared" si="23"/>
        <v/>
      </c>
      <c r="AA107" t="str">
        <f t="shared" si="23"/>
        <v/>
      </c>
      <c r="AB107" t="str">
        <f t="shared" si="23"/>
        <v/>
      </c>
      <c r="AC107">
        <f t="shared" si="15"/>
        <v>6</v>
      </c>
    </row>
    <row r="108" spans="1:29" x14ac:dyDescent="0.35">
      <c r="A108">
        <v>103</v>
      </c>
      <c r="B108" t="s">
        <v>11</v>
      </c>
      <c r="C108" t="s">
        <v>694</v>
      </c>
      <c r="D108" t="s">
        <v>695</v>
      </c>
      <c r="E108" t="s">
        <v>919</v>
      </c>
      <c r="F108" t="s">
        <v>516</v>
      </c>
      <c r="G108" t="s">
        <v>0</v>
      </c>
      <c r="H108">
        <v>2.02</v>
      </c>
      <c r="I108">
        <v>2.7149999999999999</v>
      </c>
      <c r="J108" t="s">
        <v>6</v>
      </c>
      <c r="K108" t="str">
        <f t="shared" si="22"/>
        <v/>
      </c>
      <c r="L108" t="str">
        <f t="shared" si="22"/>
        <v/>
      </c>
      <c r="M108">
        <f t="shared" si="22"/>
        <v>4</v>
      </c>
      <c r="N108" t="str">
        <f t="shared" si="22"/>
        <v/>
      </c>
      <c r="O108" t="str">
        <f t="shared" si="22"/>
        <v/>
      </c>
      <c r="P108" t="str">
        <f t="shared" si="22"/>
        <v/>
      </c>
      <c r="Q108" t="str">
        <f t="shared" si="22"/>
        <v/>
      </c>
      <c r="R108" t="str">
        <f t="shared" si="22"/>
        <v/>
      </c>
      <c r="S108" t="str">
        <f t="shared" si="22"/>
        <v/>
      </c>
      <c r="T108" t="str">
        <f t="shared" si="22"/>
        <v/>
      </c>
      <c r="U108" t="str">
        <f t="shared" si="23"/>
        <v/>
      </c>
      <c r="V108" t="str">
        <f t="shared" si="23"/>
        <v/>
      </c>
      <c r="W108" t="str">
        <f t="shared" si="23"/>
        <v/>
      </c>
      <c r="X108" t="str">
        <f t="shared" si="23"/>
        <v/>
      </c>
      <c r="Y108" t="str">
        <f t="shared" si="23"/>
        <v/>
      </c>
      <c r="Z108" t="str">
        <f t="shared" si="23"/>
        <v/>
      </c>
      <c r="AA108" t="str">
        <f t="shared" si="23"/>
        <v/>
      </c>
      <c r="AB108" t="str">
        <f t="shared" si="23"/>
        <v/>
      </c>
      <c r="AC108">
        <f t="shared" si="15"/>
        <v>4</v>
      </c>
    </row>
    <row r="109" spans="1:29" x14ac:dyDescent="0.35">
      <c r="A109">
        <v>104</v>
      </c>
      <c r="B109" t="s">
        <v>11</v>
      </c>
      <c r="C109" t="s">
        <v>696</v>
      </c>
      <c r="D109" t="s">
        <v>697</v>
      </c>
      <c r="E109" t="s">
        <v>920</v>
      </c>
      <c r="F109" t="s">
        <v>516</v>
      </c>
      <c r="G109" t="s">
        <v>0</v>
      </c>
      <c r="H109">
        <v>2.02</v>
      </c>
      <c r="I109">
        <v>2.7149999999999999</v>
      </c>
      <c r="J109" t="s">
        <v>6</v>
      </c>
      <c r="K109" t="str">
        <f t="shared" si="22"/>
        <v/>
      </c>
      <c r="L109" t="str">
        <f t="shared" si="22"/>
        <v/>
      </c>
      <c r="M109" t="str">
        <f t="shared" si="22"/>
        <v/>
      </c>
      <c r="N109" t="str">
        <f t="shared" si="22"/>
        <v/>
      </c>
      <c r="O109" t="str">
        <f t="shared" si="22"/>
        <v/>
      </c>
      <c r="P109" t="str">
        <f t="shared" si="22"/>
        <v/>
      </c>
      <c r="Q109" t="str">
        <f t="shared" si="22"/>
        <v/>
      </c>
      <c r="R109" t="str">
        <f t="shared" si="22"/>
        <v/>
      </c>
      <c r="S109" t="str">
        <f t="shared" si="22"/>
        <v/>
      </c>
      <c r="T109" t="str">
        <f t="shared" si="22"/>
        <v/>
      </c>
      <c r="U109" t="str">
        <f t="shared" si="23"/>
        <v/>
      </c>
      <c r="V109" t="str">
        <f t="shared" si="23"/>
        <v/>
      </c>
      <c r="W109" t="str">
        <f t="shared" si="23"/>
        <v/>
      </c>
      <c r="X109" t="str">
        <f t="shared" si="23"/>
        <v/>
      </c>
      <c r="Y109" t="str">
        <f t="shared" si="23"/>
        <v/>
      </c>
      <c r="Z109" t="str">
        <f t="shared" si="23"/>
        <v/>
      </c>
      <c r="AA109" t="str">
        <f t="shared" si="23"/>
        <v/>
      </c>
      <c r="AB109" t="str">
        <f t="shared" si="23"/>
        <v/>
      </c>
      <c r="AC109">
        <f t="shared" si="15"/>
        <v>0</v>
      </c>
    </row>
    <row r="110" spans="1:29" x14ac:dyDescent="0.35">
      <c r="A110">
        <v>105</v>
      </c>
      <c r="B110" t="s">
        <v>11</v>
      </c>
      <c r="C110" t="s">
        <v>698</v>
      </c>
      <c r="D110" t="s">
        <v>699</v>
      </c>
      <c r="E110" t="s">
        <v>662</v>
      </c>
      <c r="F110" t="s">
        <v>516</v>
      </c>
      <c r="G110" t="s">
        <v>0</v>
      </c>
      <c r="H110">
        <v>2.16</v>
      </c>
      <c r="I110">
        <v>2.7149999999999999</v>
      </c>
      <c r="J110" t="s">
        <v>6</v>
      </c>
      <c r="K110" t="str">
        <f t="shared" si="22"/>
        <v/>
      </c>
      <c r="L110" t="str">
        <f t="shared" si="22"/>
        <v/>
      </c>
      <c r="M110" t="str">
        <f t="shared" si="22"/>
        <v/>
      </c>
      <c r="N110" t="str">
        <f t="shared" si="22"/>
        <v/>
      </c>
      <c r="O110" t="str">
        <f t="shared" si="22"/>
        <v/>
      </c>
      <c r="P110" t="str">
        <f t="shared" si="22"/>
        <v/>
      </c>
      <c r="Q110" t="str">
        <f t="shared" si="22"/>
        <v/>
      </c>
      <c r="R110" t="str">
        <f t="shared" si="22"/>
        <v/>
      </c>
      <c r="S110" t="str">
        <f t="shared" si="22"/>
        <v/>
      </c>
      <c r="T110" t="str">
        <f t="shared" si="22"/>
        <v/>
      </c>
      <c r="U110" t="str">
        <f t="shared" si="23"/>
        <v/>
      </c>
      <c r="V110" t="str">
        <f t="shared" si="23"/>
        <v/>
      </c>
      <c r="W110" t="str">
        <f t="shared" si="23"/>
        <v/>
      </c>
      <c r="X110" t="str">
        <f t="shared" si="23"/>
        <v/>
      </c>
      <c r="Y110" t="str">
        <f t="shared" si="23"/>
        <v/>
      </c>
      <c r="Z110" t="str">
        <f t="shared" si="23"/>
        <v/>
      </c>
      <c r="AA110" t="str">
        <f t="shared" si="23"/>
        <v/>
      </c>
      <c r="AB110" t="str">
        <f t="shared" si="23"/>
        <v/>
      </c>
      <c r="AC110">
        <f t="shared" si="15"/>
        <v>0</v>
      </c>
    </row>
    <row r="111" spans="1:29" x14ac:dyDescent="0.35">
      <c r="A111">
        <v>106</v>
      </c>
      <c r="B111" t="s">
        <v>11</v>
      </c>
      <c r="C111" t="s">
        <v>716</v>
      </c>
      <c r="D111" t="s">
        <v>717</v>
      </c>
      <c r="E111" t="s">
        <v>662</v>
      </c>
      <c r="F111" t="s">
        <v>516</v>
      </c>
      <c r="G111" t="s">
        <v>2</v>
      </c>
      <c r="H111">
        <v>1.36</v>
      </c>
      <c r="I111">
        <v>2.7149999999999999</v>
      </c>
      <c r="J111" t="s">
        <v>6</v>
      </c>
      <c r="K111" t="str">
        <f t="shared" si="22"/>
        <v/>
      </c>
      <c r="L111" t="str">
        <f t="shared" si="22"/>
        <v/>
      </c>
      <c r="M111" t="str">
        <f t="shared" si="22"/>
        <v/>
      </c>
      <c r="N111" t="str">
        <f t="shared" si="22"/>
        <v/>
      </c>
      <c r="O111" t="str">
        <f t="shared" si="22"/>
        <v/>
      </c>
      <c r="P111" t="str">
        <f t="shared" si="22"/>
        <v/>
      </c>
      <c r="Q111" t="str">
        <f t="shared" si="22"/>
        <v/>
      </c>
      <c r="R111" t="str">
        <f t="shared" si="22"/>
        <v/>
      </c>
      <c r="S111" t="str">
        <f t="shared" si="22"/>
        <v/>
      </c>
      <c r="T111" t="str">
        <f t="shared" si="22"/>
        <v/>
      </c>
      <c r="U111" t="str">
        <f t="shared" si="23"/>
        <v/>
      </c>
      <c r="V111" t="str">
        <f t="shared" si="23"/>
        <v/>
      </c>
      <c r="W111" t="str">
        <f t="shared" si="23"/>
        <v/>
      </c>
      <c r="X111" t="str">
        <f t="shared" si="23"/>
        <v/>
      </c>
      <c r="Y111" t="str">
        <f t="shared" si="23"/>
        <v/>
      </c>
      <c r="Z111" t="str">
        <f t="shared" si="23"/>
        <v/>
      </c>
      <c r="AA111" t="str">
        <f t="shared" si="23"/>
        <v/>
      </c>
      <c r="AB111" t="str">
        <f t="shared" si="23"/>
        <v/>
      </c>
      <c r="AC111">
        <f t="shared" si="15"/>
        <v>0</v>
      </c>
    </row>
    <row r="112" spans="1:29" x14ac:dyDescent="0.35">
      <c r="A112">
        <v>107</v>
      </c>
      <c r="B112" t="s">
        <v>11</v>
      </c>
      <c r="C112" t="s">
        <v>718</v>
      </c>
      <c r="D112" t="s">
        <v>719</v>
      </c>
      <c r="E112" t="s">
        <v>662</v>
      </c>
      <c r="F112" t="s">
        <v>516</v>
      </c>
      <c r="G112" t="s">
        <v>2</v>
      </c>
      <c r="H112">
        <v>1.92</v>
      </c>
      <c r="I112">
        <v>2.7149999999999999</v>
      </c>
      <c r="J112" t="s">
        <v>6</v>
      </c>
      <c r="K112" t="str">
        <f t="shared" si="22"/>
        <v/>
      </c>
      <c r="L112" t="str">
        <f t="shared" si="22"/>
        <v/>
      </c>
      <c r="M112" t="str">
        <f t="shared" si="22"/>
        <v/>
      </c>
      <c r="N112" t="str">
        <f t="shared" si="22"/>
        <v/>
      </c>
      <c r="O112" t="str">
        <f t="shared" si="22"/>
        <v/>
      </c>
      <c r="P112" t="str">
        <f t="shared" si="22"/>
        <v/>
      </c>
      <c r="Q112" t="str">
        <f t="shared" si="22"/>
        <v/>
      </c>
      <c r="R112" t="str">
        <f t="shared" si="22"/>
        <v/>
      </c>
      <c r="S112" t="str">
        <f t="shared" si="22"/>
        <v/>
      </c>
      <c r="T112" t="str">
        <f t="shared" si="22"/>
        <v/>
      </c>
      <c r="U112" t="str">
        <f t="shared" si="23"/>
        <v/>
      </c>
      <c r="V112" t="str">
        <f t="shared" si="23"/>
        <v/>
      </c>
      <c r="W112" t="str">
        <f t="shared" si="23"/>
        <v/>
      </c>
      <c r="X112" t="str">
        <f t="shared" si="23"/>
        <v/>
      </c>
      <c r="Y112" t="str">
        <f t="shared" si="23"/>
        <v/>
      </c>
      <c r="Z112" t="str">
        <f t="shared" si="23"/>
        <v/>
      </c>
      <c r="AA112" t="str">
        <f t="shared" si="23"/>
        <v/>
      </c>
      <c r="AB112" t="str">
        <f t="shared" si="23"/>
        <v/>
      </c>
      <c r="AC112">
        <f t="shared" si="15"/>
        <v>0</v>
      </c>
    </row>
    <row r="113" spans="1:29" x14ac:dyDescent="0.35">
      <c r="A113">
        <v>108</v>
      </c>
      <c r="B113" t="s">
        <v>11</v>
      </c>
      <c r="C113" t="s">
        <v>720</v>
      </c>
      <c r="D113" t="s">
        <v>721</v>
      </c>
      <c r="E113" t="s">
        <v>662</v>
      </c>
      <c r="F113" t="s">
        <v>516</v>
      </c>
      <c r="G113" t="s">
        <v>0</v>
      </c>
      <c r="H113">
        <v>0.66</v>
      </c>
      <c r="I113">
        <v>2.7149999999999999</v>
      </c>
      <c r="J113" t="s">
        <v>6</v>
      </c>
      <c r="K113" t="str">
        <f t="shared" si="22"/>
        <v/>
      </c>
      <c r="L113" t="str">
        <f t="shared" si="22"/>
        <v/>
      </c>
      <c r="M113" t="str">
        <f t="shared" si="22"/>
        <v/>
      </c>
      <c r="N113" t="str">
        <f t="shared" si="22"/>
        <v/>
      </c>
      <c r="O113" t="str">
        <f t="shared" si="22"/>
        <v/>
      </c>
      <c r="P113" t="str">
        <f t="shared" si="22"/>
        <v/>
      </c>
      <c r="Q113" t="str">
        <f t="shared" si="22"/>
        <v/>
      </c>
      <c r="R113" t="str">
        <f t="shared" si="22"/>
        <v/>
      </c>
      <c r="S113" t="str">
        <f t="shared" si="22"/>
        <v/>
      </c>
      <c r="T113" t="str">
        <f t="shared" si="22"/>
        <v/>
      </c>
      <c r="U113" t="str">
        <f t="shared" si="23"/>
        <v/>
      </c>
      <c r="V113" t="str">
        <f t="shared" si="23"/>
        <v/>
      </c>
      <c r="W113" t="str">
        <f t="shared" si="23"/>
        <v/>
      </c>
      <c r="X113" t="str">
        <f t="shared" si="23"/>
        <v/>
      </c>
      <c r="Y113" t="str">
        <f t="shared" si="23"/>
        <v/>
      </c>
      <c r="Z113" t="str">
        <f t="shared" si="23"/>
        <v/>
      </c>
      <c r="AA113" t="str">
        <f t="shared" si="23"/>
        <v/>
      </c>
      <c r="AB113" t="str">
        <f t="shared" si="23"/>
        <v/>
      </c>
      <c r="AC113">
        <f t="shared" si="15"/>
        <v>0</v>
      </c>
    </row>
    <row r="114" spans="1:29" x14ac:dyDescent="0.35">
      <c r="A114">
        <v>109</v>
      </c>
      <c r="B114" t="s">
        <v>11</v>
      </c>
      <c r="C114" t="s">
        <v>724</v>
      </c>
      <c r="D114" t="s">
        <v>725</v>
      </c>
      <c r="E114" t="s">
        <v>662</v>
      </c>
      <c r="F114" t="s">
        <v>516</v>
      </c>
      <c r="G114" t="s">
        <v>0</v>
      </c>
      <c r="H114">
        <v>2.11</v>
      </c>
      <c r="I114">
        <v>2.7149999999999999</v>
      </c>
      <c r="J114" t="s">
        <v>6</v>
      </c>
      <c r="K114" t="str">
        <f t="shared" si="22"/>
        <v/>
      </c>
      <c r="L114" t="str">
        <f t="shared" si="22"/>
        <v/>
      </c>
      <c r="M114" t="str">
        <f t="shared" si="22"/>
        <v/>
      </c>
      <c r="N114" t="str">
        <f t="shared" si="22"/>
        <v/>
      </c>
      <c r="O114" t="str">
        <f t="shared" si="22"/>
        <v/>
      </c>
      <c r="P114" t="str">
        <f t="shared" si="22"/>
        <v/>
      </c>
      <c r="Q114" t="str">
        <f t="shared" si="22"/>
        <v/>
      </c>
      <c r="R114" t="str">
        <f t="shared" si="22"/>
        <v/>
      </c>
      <c r="S114" t="str">
        <f t="shared" si="22"/>
        <v/>
      </c>
      <c r="T114" t="str">
        <f t="shared" si="22"/>
        <v/>
      </c>
      <c r="U114" t="str">
        <f t="shared" si="23"/>
        <v/>
      </c>
      <c r="V114" t="str">
        <f t="shared" si="23"/>
        <v/>
      </c>
      <c r="W114" t="str">
        <f t="shared" si="23"/>
        <v/>
      </c>
      <c r="X114" t="str">
        <f t="shared" si="23"/>
        <v/>
      </c>
      <c r="Y114" t="str">
        <f t="shared" si="23"/>
        <v/>
      </c>
      <c r="Z114" t="str">
        <f t="shared" si="23"/>
        <v/>
      </c>
      <c r="AA114" t="str">
        <f t="shared" si="23"/>
        <v/>
      </c>
      <c r="AB114" t="str">
        <f t="shared" si="23"/>
        <v/>
      </c>
      <c r="AC114">
        <f t="shared" si="15"/>
        <v>0</v>
      </c>
    </row>
    <row r="115" spans="1:29" x14ac:dyDescent="0.35">
      <c r="A115">
        <v>110</v>
      </c>
      <c r="B115" t="s">
        <v>11</v>
      </c>
      <c r="C115" t="s">
        <v>726</v>
      </c>
      <c r="D115" t="s">
        <v>728</v>
      </c>
      <c r="E115" t="s">
        <v>662</v>
      </c>
      <c r="F115" t="s">
        <v>516</v>
      </c>
      <c r="G115" t="s">
        <v>0</v>
      </c>
      <c r="H115">
        <v>1.23</v>
      </c>
      <c r="I115">
        <v>2.7149999999999999</v>
      </c>
      <c r="J115" t="s">
        <v>6</v>
      </c>
      <c r="K115" t="str">
        <f t="shared" si="22"/>
        <v/>
      </c>
      <c r="L115" t="str">
        <f t="shared" si="22"/>
        <v/>
      </c>
      <c r="M115" t="str">
        <f t="shared" si="22"/>
        <v/>
      </c>
      <c r="N115" t="str">
        <f t="shared" si="22"/>
        <v/>
      </c>
      <c r="O115" t="str">
        <f t="shared" si="22"/>
        <v/>
      </c>
      <c r="P115" t="str">
        <f t="shared" si="22"/>
        <v/>
      </c>
      <c r="Q115" t="str">
        <f t="shared" si="22"/>
        <v/>
      </c>
      <c r="R115" t="str">
        <f t="shared" si="22"/>
        <v/>
      </c>
      <c r="S115" t="str">
        <f t="shared" si="22"/>
        <v/>
      </c>
      <c r="T115" t="str">
        <f t="shared" si="22"/>
        <v/>
      </c>
      <c r="U115" t="str">
        <f t="shared" si="23"/>
        <v/>
      </c>
      <c r="V115" t="str">
        <f t="shared" si="23"/>
        <v/>
      </c>
      <c r="W115" t="str">
        <f t="shared" si="23"/>
        <v/>
      </c>
      <c r="X115" t="str">
        <f t="shared" si="23"/>
        <v/>
      </c>
      <c r="Y115" t="str">
        <f t="shared" si="23"/>
        <v/>
      </c>
      <c r="Z115" t="str">
        <f t="shared" si="23"/>
        <v/>
      </c>
      <c r="AA115" t="str">
        <f t="shared" si="23"/>
        <v/>
      </c>
      <c r="AB115" t="str">
        <f t="shared" si="23"/>
        <v/>
      </c>
      <c r="AC115">
        <f t="shared" si="15"/>
        <v>0</v>
      </c>
    </row>
    <row r="116" spans="1:29" x14ac:dyDescent="0.35">
      <c r="A116">
        <v>111</v>
      </c>
      <c r="B116" t="s">
        <v>11</v>
      </c>
      <c r="C116" t="s">
        <v>727</v>
      </c>
      <c r="D116" t="s">
        <v>729</v>
      </c>
      <c r="E116" t="s">
        <v>662</v>
      </c>
      <c r="F116" t="s">
        <v>673</v>
      </c>
      <c r="G116" t="s">
        <v>2</v>
      </c>
      <c r="H116">
        <v>1.81</v>
      </c>
      <c r="I116">
        <v>2.7149999999999999</v>
      </c>
      <c r="J116" t="s">
        <v>6</v>
      </c>
      <c r="K116" t="str">
        <f t="shared" ref="K116:T125" si="24">IFERROR(IFERROR(IF(K$5=$K$1,VLOOKUP($A116,dormitorios,2,0),IF(K$5=$L$1,VLOOKUP($A116,comedor,2,0),IF(K$5=$M$1,VLOOKUP($A116,alojamiento,2,0),IF(K$5=$N$1,VLOOKUP($A116,sanidad,2,0),IF(K$5=$O$1,VLOOKUP($A116,servicios,2,0),IF(K$5=$P$1,VLOOKUP($A116,comyaloj,2,0),IF(K$5=$Q$1,VLOOKUP($A116,comandancia,2,0),IF(K$5=$R$1,VLOOKUP($A116,mantenimiento,2,0),IF(K$5=$S$1,VLOOKUP($A116,serestatal,2,0),IF(K$5=$T$1,VLOOKUP($A116,conferencias,2,0),"")))))))))),"")*K$3,"")</f>
        <v/>
      </c>
      <c r="L116" t="str">
        <f t="shared" si="24"/>
        <v/>
      </c>
      <c r="M116" t="str">
        <f t="shared" si="24"/>
        <v/>
      </c>
      <c r="N116" t="str">
        <f t="shared" si="24"/>
        <v/>
      </c>
      <c r="O116" t="str">
        <f t="shared" si="24"/>
        <v/>
      </c>
      <c r="P116" t="str">
        <f t="shared" si="24"/>
        <v/>
      </c>
      <c r="Q116" t="str">
        <f t="shared" si="24"/>
        <v/>
      </c>
      <c r="R116" t="str">
        <f t="shared" si="24"/>
        <v/>
      </c>
      <c r="S116" t="str">
        <f t="shared" si="24"/>
        <v/>
      </c>
      <c r="T116" t="str">
        <f t="shared" si="24"/>
        <v/>
      </c>
      <c r="U116" t="str">
        <f t="shared" ref="U116:AB125" si="25">IFERROR(IFERROR(IF(U$5=$K$1,VLOOKUP($A116,dormitorios,2,0),IF(U$5=$L$1,VLOOKUP($A116,comedor,2,0),IF(U$5=$M$1,VLOOKUP($A116,alojamiento,2,0),IF(U$5=$N$1,VLOOKUP($A116,sanidad,2,0),IF(U$5=$O$1,VLOOKUP($A116,servicios,2,0),IF(U$5=$P$1,VLOOKUP($A116,comyaloj,2,0),IF(U$5=$Q$1,VLOOKUP($A116,comandancia,2,0),IF(U$5=$R$1,VLOOKUP($A116,mantenimiento,2,0),IF(U$5=$S$1,VLOOKUP($A116,serestatal,2,0),IF(U$5=$T$1,VLOOKUP($A116,conferencias,2,0),"")))))))))),"")*U$3,"")</f>
        <v/>
      </c>
      <c r="V116" t="str">
        <f t="shared" si="25"/>
        <v/>
      </c>
      <c r="W116" t="str">
        <f t="shared" si="25"/>
        <v/>
      </c>
      <c r="X116" t="str">
        <f t="shared" si="25"/>
        <v/>
      </c>
      <c r="Y116" t="str">
        <f t="shared" si="25"/>
        <v/>
      </c>
      <c r="Z116" t="str">
        <f t="shared" si="25"/>
        <v/>
      </c>
      <c r="AA116" t="str">
        <f t="shared" si="25"/>
        <v/>
      </c>
      <c r="AB116" t="str">
        <f t="shared" si="25"/>
        <v/>
      </c>
      <c r="AC116">
        <f t="shared" si="15"/>
        <v>0</v>
      </c>
    </row>
    <row r="117" spans="1:29" x14ac:dyDescent="0.35">
      <c r="A117">
        <v>112</v>
      </c>
      <c r="B117" t="s">
        <v>11</v>
      </c>
      <c r="C117" t="s">
        <v>730</v>
      </c>
      <c r="D117" t="s">
        <v>731</v>
      </c>
      <c r="E117" t="s">
        <v>662</v>
      </c>
      <c r="F117" t="s">
        <v>673</v>
      </c>
      <c r="G117" t="s">
        <v>0</v>
      </c>
      <c r="H117">
        <v>1.1200000000000001</v>
      </c>
      <c r="I117">
        <v>2.7149999999999999</v>
      </c>
      <c r="J117" t="s">
        <v>6</v>
      </c>
      <c r="K117" t="str">
        <f t="shared" si="24"/>
        <v/>
      </c>
      <c r="L117" t="str">
        <f t="shared" si="24"/>
        <v/>
      </c>
      <c r="M117" t="str">
        <f t="shared" si="24"/>
        <v/>
      </c>
      <c r="N117" t="str">
        <f t="shared" si="24"/>
        <v/>
      </c>
      <c r="O117" t="str">
        <f t="shared" si="24"/>
        <v/>
      </c>
      <c r="P117" t="str">
        <f t="shared" si="24"/>
        <v/>
      </c>
      <c r="Q117" t="str">
        <f t="shared" si="24"/>
        <v/>
      </c>
      <c r="R117" t="str">
        <f t="shared" si="24"/>
        <v/>
      </c>
      <c r="S117" t="str">
        <f t="shared" si="24"/>
        <v/>
      </c>
      <c r="T117" t="str">
        <f t="shared" si="24"/>
        <v/>
      </c>
      <c r="U117" t="str">
        <f t="shared" si="25"/>
        <v/>
      </c>
      <c r="V117" t="str">
        <f t="shared" si="25"/>
        <v/>
      </c>
      <c r="W117" t="str">
        <f t="shared" si="25"/>
        <v/>
      </c>
      <c r="X117" t="str">
        <f t="shared" si="25"/>
        <v/>
      </c>
      <c r="Y117" t="str">
        <f t="shared" si="25"/>
        <v/>
      </c>
      <c r="Z117" t="str">
        <f t="shared" si="25"/>
        <v/>
      </c>
      <c r="AA117" t="str">
        <f t="shared" si="25"/>
        <v/>
      </c>
      <c r="AB117" t="str">
        <f t="shared" si="25"/>
        <v/>
      </c>
      <c r="AC117">
        <f t="shared" si="15"/>
        <v>0</v>
      </c>
    </row>
    <row r="118" spans="1:29" x14ac:dyDescent="0.35">
      <c r="A118">
        <v>113</v>
      </c>
      <c r="B118" t="s">
        <v>11</v>
      </c>
      <c r="C118" t="s">
        <v>732</v>
      </c>
      <c r="D118" t="s">
        <v>733</v>
      </c>
      <c r="E118" t="s">
        <v>662</v>
      </c>
      <c r="F118" t="s">
        <v>516</v>
      </c>
      <c r="G118" t="s">
        <v>0</v>
      </c>
      <c r="H118">
        <v>0.91</v>
      </c>
      <c r="I118">
        <v>2.7149999999999999</v>
      </c>
      <c r="J118" t="s">
        <v>6</v>
      </c>
      <c r="K118" t="str">
        <f t="shared" si="24"/>
        <v/>
      </c>
      <c r="L118" t="str">
        <f t="shared" si="24"/>
        <v/>
      </c>
      <c r="M118" t="str">
        <f t="shared" si="24"/>
        <v/>
      </c>
      <c r="N118" t="str">
        <f t="shared" si="24"/>
        <v/>
      </c>
      <c r="O118" t="str">
        <f t="shared" si="24"/>
        <v/>
      </c>
      <c r="P118" t="str">
        <f t="shared" si="24"/>
        <v/>
      </c>
      <c r="Q118" t="str">
        <f t="shared" si="24"/>
        <v/>
      </c>
      <c r="R118" t="str">
        <f t="shared" si="24"/>
        <v/>
      </c>
      <c r="S118" t="str">
        <f t="shared" si="24"/>
        <v/>
      </c>
      <c r="T118" t="str">
        <f t="shared" si="24"/>
        <v/>
      </c>
      <c r="U118" t="str">
        <f t="shared" si="25"/>
        <v/>
      </c>
      <c r="V118" t="str">
        <f t="shared" si="25"/>
        <v/>
      </c>
      <c r="W118" t="str">
        <f t="shared" si="25"/>
        <v/>
      </c>
      <c r="X118" t="str">
        <f t="shared" si="25"/>
        <v/>
      </c>
      <c r="Y118" t="str">
        <f t="shared" si="25"/>
        <v/>
      </c>
      <c r="Z118" t="str">
        <f t="shared" si="25"/>
        <v/>
      </c>
      <c r="AA118" t="str">
        <f t="shared" si="25"/>
        <v/>
      </c>
      <c r="AB118" t="str">
        <f t="shared" si="25"/>
        <v/>
      </c>
      <c r="AC118">
        <f t="shared" si="15"/>
        <v>0</v>
      </c>
    </row>
    <row r="119" spans="1:29" x14ac:dyDescent="0.35">
      <c r="A119">
        <v>114</v>
      </c>
      <c r="B119" t="s">
        <v>11</v>
      </c>
      <c r="C119" t="s">
        <v>734</v>
      </c>
      <c r="D119" t="s">
        <v>735</v>
      </c>
      <c r="E119" t="s">
        <v>662</v>
      </c>
      <c r="F119" t="s">
        <v>673</v>
      </c>
      <c r="G119" t="s">
        <v>0</v>
      </c>
      <c r="H119">
        <v>0.6</v>
      </c>
      <c r="I119">
        <v>2.7149999999999999</v>
      </c>
      <c r="J119" t="s">
        <v>6</v>
      </c>
      <c r="K119" t="str">
        <f t="shared" si="24"/>
        <v/>
      </c>
      <c r="L119" t="str">
        <f t="shared" si="24"/>
        <v/>
      </c>
      <c r="M119" t="str">
        <f t="shared" si="24"/>
        <v/>
      </c>
      <c r="N119" t="str">
        <f t="shared" si="24"/>
        <v/>
      </c>
      <c r="O119" t="str">
        <f t="shared" si="24"/>
        <v/>
      </c>
      <c r="P119" t="str">
        <f t="shared" si="24"/>
        <v/>
      </c>
      <c r="Q119" t="str">
        <f t="shared" si="24"/>
        <v/>
      </c>
      <c r="R119" t="str">
        <f t="shared" si="24"/>
        <v/>
      </c>
      <c r="S119" t="str">
        <f t="shared" si="24"/>
        <v/>
      </c>
      <c r="T119" t="str">
        <f t="shared" si="24"/>
        <v/>
      </c>
      <c r="U119" t="str">
        <f t="shared" si="25"/>
        <v/>
      </c>
      <c r="V119" t="str">
        <f t="shared" si="25"/>
        <v/>
      </c>
      <c r="W119" t="str">
        <f t="shared" si="25"/>
        <v/>
      </c>
      <c r="X119" t="str">
        <f t="shared" si="25"/>
        <v/>
      </c>
      <c r="Y119" t="str">
        <f t="shared" si="25"/>
        <v/>
      </c>
      <c r="Z119" t="str">
        <f t="shared" si="25"/>
        <v/>
      </c>
      <c r="AA119" t="str">
        <f t="shared" si="25"/>
        <v/>
      </c>
      <c r="AB119" t="str">
        <f t="shared" si="25"/>
        <v/>
      </c>
      <c r="AC119">
        <f t="shared" si="15"/>
        <v>0</v>
      </c>
    </row>
    <row r="120" spans="1:29" x14ac:dyDescent="0.35">
      <c r="A120">
        <v>115</v>
      </c>
      <c r="B120" t="s">
        <v>11</v>
      </c>
      <c r="C120" t="s">
        <v>736</v>
      </c>
      <c r="D120" t="s">
        <v>737</v>
      </c>
      <c r="E120" t="s">
        <v>662</v>
      </c>
      <c r="F120" t="s">
        <v>516</v>
      </c>
      <c r="G120" t="s">
        <v>0</v>
      </c>
      <c r="H120">
        <v>2.09</v>
      </c>
      <c r="I120">
        <v>2.7149999999999999</v>
      </c>
      <c r="J120" t="s">
        <v>6</v>
      </c>
      <c r="K120" t="str">
        <f t="shared" si="24"/>
        <v/>
      </c>
      <c r="L120" t="str">
        <f t="shared" si="24"/>
        <v/>
      </c>
      <c r="M120">
        <f t="shared" si="24"/>
        <v>16</v>
      </c>
      <c r="N120" t="str">
        <f t="shared" si="24"/>
        <v/>
      </c>
      <c r="O120" t="str">
        <f t="shared" si="24"/>
        <v/>
      </c>
      <c r="P120" t="str">
        <f t="shared" si="24"/>
        <v/>
      </c>
      <c r="Q120" t="str">
        <f t="shared" si="24"/>
        <v/>
      </c>
      <c r="R120" t="str">
        <f t="shared" si="24"/>
        <v/>
      </c>
      <c r="S120" t="str">
        <f t="shared" si="24"/>
        <v/>
      </c>
      <c r="T120" t="str">
        <f t="shared" si="24"/>
        <v/>
      </c>
      <c r="U120" t="str">
        <f t="shared" si="25"/>
        <v/>
      </c>
      <c r="V120" t="str">
        <f t="shared" si="25"/>
        <v/>
      </c>
      <c r="W120" t="str">
        <f t="shared" si="25"/>
        <v/>
      </c>
      <c r="X120" t="str">
        <f t="shared" si="25"/>
        <v/>
      </c>
      <c r="Y120" t="str">
        <f t="shared" si="25"/>
        <v/>
      </c>
      <c r="Z120" t="str">
        <f t="shared" si="25"/>
        <v/>
      </c>
      <c r="AA120" t="str">
        <f t="shared" si="25"/>
        <v/>
      </c>
      <c r="AB120" t="str">
        <f t="shared" si="25"/>
        <v/>
      </c>
      <c r="AC120">
        <f t="shared" si="15"/>
        <v>16</v>
      </c>
    </row>
    <row r="121" spans="1:29" x14ac:dyDescent="0.35">
      <c r="A121">
        <v>116</v>
      </c>
      <c r="B121" t="s">
        <v>11</v>
      </c>
      <c r="C121" t="s">
        <v>738</v>
      </c>
      <c r="D121" t="s">
        <v>739</v>
      </c>
      <c r="E121" t="s">
        <v>662</v>
      </c>
      <c r="F121" t="s">
        <v>516</v>
      </c>
      <c r="G121" t="s">
        <v>2</v>
      </c>
      <c r="H121">
        <v>1.06</v>
      </c>
      <c r="I121">
        <v>2.7149999999999999</v>
      </c>
      <c r="J121" t="s">
        <v>6</v>
      </c>
      <c r="K121" t="str">
        <f t="shared" si="24"/>
        <v/>
      </c>
      <c r="L121" t="str">
        <f t="shared" si="24"/>
        <v/>
      </c>
      <c r="M121" t="str">
        <f t="shared" si="24"/>
        <v/>
      </c>
      <c r="N121" t="str">
        <f t="shared" si="24"/>
        <v/>
      </c>
      <c r="O121" t="str">
        <f t="shared" si="24"/>
        <v/>
      </c>
      <c r="P121" t="str">
        <f t="shared" si="24"/>
        <v/>
      </c>
      <c r="Q121" t="str">
        <f t="shared" si="24"/>
        <v/>
      </c>
      <c r="R121" t="str">
        <f t="shared" si="24"/>
        <v/>
      </c>
      <c r="S121" t="str">
        <f t="shared" si="24"/>
        <v/>
      </c>
      <c r="T121" t="str">
        <f t="shared" si="24"/>
        <v/>
      </c>
      <c r="U121" t="str">
        <f t="shared" si="25"/>
        <v/>
      </c>
      <c r="V121" t="str">
        <f t="shared" si="25"/>
        <v/>
      </c>
      <c r="W121" t="str">
        <f t="shared" si="25"/>
        <v/>
      </c>
      <c r="X121" t="str">
        <f t="shared" si="25"/>
        <v/>
      </c>
      <c r="Y121" t="str">
        <f t="shared" si="25"/>
        <v/>
      </c>
      <c r="Z121" t="str">
        <f t="shared" si="25"/>
        <v/>
      </c>
      <c r="AA121" t="str">
        <f t="shared" si="25"/>
        <v/>
      </c>
      <c r="AB121" t="str">
        <f t="shared" si="25"/>
        <v/>
      </c>
      <c r="AC121">
        <f t="shared" si="15"/>
        <v>0</v>
      </c>
    </row>
    <row r="122" spans="1:29" x14ac:dyDescent="0.35">
      <c r="A122">
        <v>117</v>
      </c>
      <c r="B122" t="s">
        <v>11</v>
      </c>
      <c r="C122" t="s">
        <v>742</v>
      </c>
      <c r="D122" t="s">
        <v>743</v>
      </c>
      <c r="E122" t="s">
        <v>662</v>
      </c>
      <c r="F122" t="s">
        <v>516</v>
      </c>
      <c r="G122" t="s">
        <v>0</v>
      </c>
      <c r="H122">
        <v>1.06</v>
      </c>
      <c r="I122">
        <v>2.7149999999999999</v>
      </c>
      <c r="J122" t="s">
        <v>6</v>
      </c>
      <c r="K122" t="str">
        <f t="shared" si="24"/>
        <v/>
      </c>
      <c r="L122" t="str">
        <f t="shared" si="24"/>
        <v/>
      </c>
      <c r="M122" t="str">
        <f t="shared" si="24"/>
        <v/>
      </c>
      <c r="N122" t="str">
        <f t="shared" si="24"/>
        <v/>
      </c>
      <c r="O122" t="str">
        <f t="shared" si="24"/>
        <v/>
      </c>
      <c r="P122" t="str">
        <f t="shared" si="24"/>
        <v/>
      </c>
      <c r="Q122" t="str">
        <f t="shared" si="24"/>
        <v/>
      </c>
      <c r="R122" t="str">
        <f t="shared" si="24"/>
        <v/>
      </c>
      <c r="S122" t="str">
        <f t="shared" si="24"/>
        <v/>
      </c>
      <c r="T122" t="str">
        <f t="shared" si="24"/>
        <v/>
      </c>
      <c r="U122" t="str">
        <f t="shared" si="25"/>
        <v/>
      </c>
      <c r="V122" t="str">
        <f t="shared" si="25"/>
        <v/>
      </c>
      <c r="W122" t="str">
        <f t="shared" si="25"/>
        <v/>
      </c>
      <c r="X122" t="str">
        <f t="shared" si="25"/>
        <v/>
      </c>
      <c r="Y122" t="str">
        <f t="shared" si="25"/>
        <v/>
      </c>
      <c r="Z122" t="str">
        <f t="shared" si="25"/>
        <v/>
      </c>
      <c r="AA122" t="str">
        <f t="shared" si="25"/>
        <v/>
      </c>
      <c r="AB122" t="str">
        <f t="shared" si="25"/>
        <v/>
      </c>
      <c r="AC122">
        <f t="shared" si="15"/>
        <v>0</v>
      </c>
    </row>
    <row r="123" spans="1:29" x14ac:dyDescent="0.35">
      <c r="A123">
        <v>118</v>
      </c>
      <c r="B123" t="s">
        <v>11</v>
      </c>
      <c r="C123" t="s">
        <v>744</v>
      </c>
      <c r="D123" t="s">
        <v>745</v>
      </c>
      <c r="E123" t="s">
        <v>662</v>
      </c>
      <c r="F123" t="s">
        <v>516</v>
      </c>
      <c r="G123" t="s">
        <v>2</v>
      </c>
      <c r="H123">
        <v>2.12</v>
      </c>
      <c r="I123">
        <v>2.7149999999999999</v>
      </c>
      <c r="J123" t="s">
        <v>6</v>
      </c>
      <c r="K123" t="str">
        <f t="shared" si="24"/>
        <v/>
      </c>
      <c r="L123" t="str">
        <f t="shared" si="24"/>
        <v/>
      </c>
      <c r="M123" t="str">
        <f t="shared" si="24"/>
        <v/>
      </c>
      <c r="N123" t="str">
        <f t="shared" si="24"/>
        <v/>
      </c>
      <c r="O123" t="str">
        <f t="shared" si="24"/>
        <v/>
      </c>
      <c r="P123" t="str">
        <f t="shared" si="24"/>
        <v/>
      </c>
      <c r="Q123" t="str">
        <f t="shared" si="24"/>
        <v/>
      </c>
      <c r="R123" t="str">
        <f t="shared" si="24"/>
        <v/>
      </c>
      <c r="S123" t="str">
        <f t="shared" si="24"/>
        <v/>
      </c>
      <c r="T123" t="str">
        <f t="shared" si="24"/>
        <v/>
      </c>
      <c r="U123" t="str">
        <f t="shared" si="25"/>
        <v/>
      </c>
      <c r="V123" t="str">
        <f t="shared" si="25"/>
        <v/>
      </c>
      <c r="W123" t="str">
        <f t="shared" si="25"/>
        <v/>
      </c>
      <c r="X123" t="str">
        <f t="shared" si="25"/>
        <v/>
      </c>
      <c r="Y123" t="str">
        <f t="shared" si="25"/>
        <v/>
      </c>
      <c r="Z123" t="str">
        <f t="shared" si="25"/>
        <v/>
      </c>
      <c r="AA123" t="str">
        <f t="shared" si="25"/>
        <v/>
      </c>
      <c r="AB123" t="str">
        <f t="shared" si="25"/>
        <v/>
      </c>
      <c r="AC123">
        <f t="shared" si="15"/>
        <v>0</v>
      </c>
    </row>
    <row r="124" spans="1:29" x14ac:dyDescent="0.35">
      <c r="A124">
        <v>119</v>
      </c>
      <c r="B124" t="s">
        <v>11</v>
      </c>
      <c r="C124" t="s">
        <v>750</v>
      </c>
      <c r="D124" t="s">
        <v>751</v>
      </c>
      <c r="E124" t="s">
        <v>662</v>
      </c>
      <c r="F124" t="s">
        <v>673</v>
      </c>
      <c r="G124" t="s">
        <v>0</v>
      </c>
      <c r="H124">
        <v>1.02</v>
      </c>
      <c r="I124">
        <v>2.7149999999999999</v>
      </c>
      <c r="J124" t="s">
        <v>6</v>
      </c>
      <c r="K124" t="str">
        <f t="shared" si="24"/>
        <v/>
      </c>
      <c r="L124" t="str">
        <f t="shared" si="24"/>
        <v/>
      </c>
      <c r="M124" t="str">
        <f t="shared" si="24"/>
        <v/>
      </c>
      <c r="N124" t="str">
        <f t="shared" si="24"/>
        <v/>
      </c>
      <c r="O124" t="str">
        <f t="shared" si="24"/>
        <v/>
      </c>
      <c r="P124" t="str">
        <f t="shared" si="24"/>
        <v/>
      </c>
      <c r="Q124" t="str">
        <f t="shared" si="24"/>
        <v/>
      </c>
      <c r="R124" t="str">
        <f t="shared" si="24"/>
        <v/>
      </c>
      <c r="S124" t="str">
        <f t="shared" si="24"/>
        <v/>
      </c>
      <c r="T124" t="str">
        <f t="shared" si="24"/>
        <v/>
      </c>
      <c r="U124" t="str">
        <f t="shared" si="25"/>
        <v/>
      </c>
      <c r="V124" t="str">
        <f t="shared" si="25"/>
        <v/>
      </c>
      <c r="W124" t="str">
        <f t="shared" si="25"/>
        <v/>
      </c>
      <c r="X124" t="str">
        <f t="shared" si="25"/>
        <v/>
      </c>
      <c r="Y124" t="str">
        <f t="shared" si="25"/>
        <v/>
      </c>
      <c r="Z124" t="str">
        <f t="shared" si="25"/>
        <v/>
      </c>
      <c r="AA124" t="str">
        <f t="shared" si="25"/>
        <v/>
      </c>
      <c r="AB124" t="str">
        <f t="shared" si="25"/>
        <v/>
      </c>
      <c r="AC124">
        <f t="shared" si="15"/>
        <v>0</v>
      </c>
    </row>
    <row r="125" spans="1:29" x14ac:dyDescent="0.35">
      <c r="A125">
        <v>120</v>
      </c>
      <c r="B125" t="s">
        <v>11</v>
      </c>
      <c r="C125" t="s">
        <v>752</v>
      </c>
      <c r="D125" t="s">
        <v>753</v>
      </c>
      <c r="E125" t="s">
        <v>662</v>
      </c>
      <c r="F125" t="s">
        <v>673</v>
      </c>
      <c r="G125" t="s">
        <v>0</v>
      </c>
      <c r="H125">
        <v>2.5499999999999998</v>
      </c>
      <c r="I125">
        <v>2.7149999999999999</v>
      </c>
      <c r="J125" t="s">
        <v>6</v>
      </c>
      <c r="K125" t="str">
        <f t="shared" si="24"/>
        <v/>
      </c>
      <c r="L125" t="str">
        <f t="shared" si="24"/>
        <v/>
      </c>
      <c r="M125" t="str">
        <f t="shared" si="24"/>
        <v/>
      </c>
      <c r="N125" t="str">
        <f t="shared" si="24"/>
        <v/>
      </c>
      <c r="O125" t="str">
        <f t="shared" si="24"/>
        <v/>
      </c>
      <c r="P125" t="str">
        <f t="shared" si="24"/>
        <v/>
      </c>
      <c r="Q125" t="str">
        <f t="shared" si="24"/>
        <v/>
      </c>
      <c r="R125" t="str">
        <f t="shared" si="24"/>
        <v/>
      </c>
      <c r="S125" t="str">
        <f t="shared" si="24"/>
        <v/>
      </c>
      <c r="T125" t="str">
        <f t="shared" si="24"/>
        <v/>
      </c>
      <c r="U125" t="str">
        <f t="shared" si="25"/>
        <v/>
      </c>
      <c r="V125" t="str">
        <f t="shared" si="25"/>
        <v/>
      </c>
      <c r="W125" t="str">
        <f t="shared" si="25"/>
        <v/>
      </c>
      <c r="X125" t="str">
        <f t="shared" si="25"/>
        <v/>
      </c>
      <c r="Y125" t="str">
        <f t="shared" si="25"/>
        <v/>
      </c>
      <c r="Z125" t="str">
        <f t="shared" si="25"/>
        <v/>
      </c>
      <c r="AA125" t="str">
        <f t="shared" si="25"/>
        <v/>
      </c>
      <c r="AB125" t="str">
        <f t="shared" si="25"/>
        <v/>
      </c>
      <c r="AC125">
        <f t="shared" si="15"/>
        <v>0</v>
      </c>
    </row>
    <row r="126" spans="1:29" x14ac:dyDescent="0.35">
      <c r="A126">
        <v>121</v>
      </c>
      <c r="B126" t="s">
        <v>11</v>
      </c>
      <c r="C126" t="s">
        <v>754</v>
      </c>
      <c r="D126" t="s">
        <v>755</v>
      </c>
      <c r="E126" t="s">
        <v>662</v>
      </c>
      <c r="F126" t="s">
        <v>673</v>
      </c>
      <c r="G126" t="s">
        <v>2</v>
      </c>
      <c r="H126">
        <v>0.82</v>
      </c>
      <c r="I126">
        <v>2.7149999999999999</v>
      </c>
      <c r="J126" t="s">
        <v>6</v>
      </c>
      <c r="K126" t="str">
        <f t="shared" ref="K126:T135" si="26">IFERROR(IFERROR(IF(K$5=$K$1,VLOOKUP($A126,dormitorios,2,0),IF(K$5=$L$1,VLOOKUP($A126,comedor,2,0),IF(K$5=$M$1,VLOOKUP($A126,alojamiento,2,0),IF(K$5=$N$1,VLOOKUP($A126,sanidad,2,0),IF(K$5=$O$1,VLOOKUP($A126,servicios,2,0),IF(K$5=$P$1,VLOOKUP($A126,comyaloj,2,0),IF(K$5=$Q$1,VLOOKUP($A126,comandancia,2,0),IF(K$5=$R$1,VLOOKUP($A126,mantenimiento,2,0),IF(K$5=$S$1,VLOOKUP($A126,serestatal,2,0),IF(K$5=$T$1,VLOOKUP($A126,conferencias,2,0),"")))))))))),"")*K$3,"")</f>
        <v/>
      </c>
      <c r="L126" t="str">
        <f t="shared" si="26"/>
        <v/>
      </c>
      <c r="M126" t="str">
        <f t="shared" si="26"/>
        <v/>
      </c>
      <c r="N126" t="str">
        <f t="shared" si="26"/>
        <v/>
      </c>
      <c r="O126" t="str">
        <f t="shared" si="26"/>
        <v/>
      </c>
      <c r="P126" t="str">
        <f t="shared" si="26"/>
        <v/>
      </c>
      <c r="Q126" t="str">
        <f t="shared" si="26"/>
        <v/>
      </c>
      <c r="R126" t="str">
        <f t="shared" si="26"/>
        <v/>
      </c>
      <c r="S126" t="str">
        <f t="shared" si="26"/>
        <v/>
      </c>
      <c r="T126" t="str">
        <f t="shared" si="26"/>
        <v/>
      </c>
      <c r="U126" t="str">
        <f t="shared" ref="U126:AB135" si="27">IFERROR(IFERROR(IF(U$5=$K$1,VLOOKUP($A126,dormitorios,2,0),IF(U$5=$L$1,VLOOKUP($A126,comedor,2,0),IF(U$5=$M$1,VLOOKUP($A126,alojamiento,2,0),IF(U$5=$N$1,VLOOKUP($A126,sanidad,2,0),IF(U$5=$O$1,VLOOKUP($A126,servicios,2,0),IF(U$5=$P$1,VLOOKUP($A126,comyaloj,2,0),IF(U$5=$Q$1,VLOOKUP($A126,comandancia,2,0),IF(U$5=$R$1,VLOOKUP($A126,mantenimiento,2,0),IF(U$5=$S$1,VLOOKUP($A126,serestatal,2,0),IF(U$5=$T$1,VLOOKUP($A126,conferencias,2,0),"")))))))))),"")*U$3,"")</f>
        <v/>
      </c>
      <c r="V126" t="str">
        <f t="shared" si="27"/>
        <v/>
      </c>
      <c r="W126" t="str">
        <f t="shared" si="27"/>
        <v/>
      </c>
      <c r="X126" t="str">
        <f t="shared" si="27"/>
        <v/>
      </c>
      <c r="Y126" t="str">
        <f t="shared" si="27"/>
        <v/>
      </c>
      <c r="Z126" t="str">
        <f t="shared" si="27"/>
        <v/>
      </c>
      <c r="AA126" t="str">
        <f t="shared" si="27"/>
        <v/>
      </c>
      <c r="AB126" t="str">
        <f t="shared" si="27"/>
        <v/>
      </c>
      <c r="AC126">
        <f t="shared" si="15"/>
        <v>0</v>
      </c>
    </row>
    <row r="127" spans="1:29" x14ac:dyDescent="0.35">
      <c r="A127">
        <v>122</v>
      </c>
      <c r="B127" t="s">
        <v>11</v>
      </c>
      <c r="C127" t="s">
        <v>756</v>
      </c>
      <c r="D127" t="s">
        <v>757</v>
      </c>
      <c r="E127" t="s">
        <v>662</v>
      </c>
      <c r="F127" t="s">
        <v>673</v>
      </c>
      <c r="G127" t="s">
        <v>0</v>
      </c>
      <c r="H127">
        <v>1.33</v>
      </c>
      <c r="I127">
        <v>2.7149999999999999</v>
      </c>
      <c r="J127" t="s">
        <v>6</v>
      </c>
      <c r="K127" t="str">
        <f t="shared" si="26"/>
        <v/>
      </c>
      <c r="L127" t="str">
        <f t="shared" si="26"/>
        <v/>
      </c>
      <c r="M127" t="str">
        <f t="shared" si="26"/>
        <v/>
      </c>
      <c r="N127" t="str">
        <f t="shared" si="26"/>
        <v/>
      </c>
      <c r="O127" t="str">
        <f t="shared" si="26"/>
        <v/>
      </c>
      <c r="P127" t="str">
        <f t="shared" si="26"/>
        <v/>
      </c>
      <c r="Q127" t="str">
        <f t="shared" si="26"/>
        <v/>
      </c>
      <c r="R127" t="str">
        <f t="shared" si="26"/>
        <v/>
      </c>
      <c r="S127" t="str">
        <f t="shared" si="26"/>
        <v/>
      </c>
      <c r="T127" t="str">
        <f t="shared" si="26"/>
        <v/>
      </c>
      <c r="U127" t="str">
        <f t="shared" si="27"/>
        <v/>
      </c>
      <c r="V127" t="str">
        <f t="shared" si="27"/>
        <v/>
      </c>
      <c r="W127" t="str">
        <f t="shared" si="27"/>
        <v/>
      </c>
      <c r="X127" t="str">
        <f t="shared" si="27"/>
        <v/>
      </c>
      <c r="Y127" t="str">
        <f t="shared" si="27"/>
        <v/>
      </c>
      <c r="Z127" t="str">
        <f t="shared" si="27"/>
        <v/>
      </c>
      <c r="AA127" t="str">
        <f t="shared" si="27"/>
        <v/>
      </c>
      <c r="AB127" t="str">
        <f t="shared" si="27"/>
        <v/>
      </c>
      <c r="AC127">
        <f t="shared" si="15"/>
        <v>0</v>
      </c>
    </row>
    <row r="128" spans="1:29" x14ac:dyDescent="0.35">
      <c r="A128">
        <v>123</v>
      </c>
      <c r="B128" t="s">
        <v>11</v>
      </c>
      <c r="C128" t="s">
        <v>758</v>
      </c>
      <c r="D128" t="s">
        <v>759</v>
      </c>
      <c r="E128" t="s">
        <v>662</v>
      </c>
      <c r="F128" t="s">
        <v>516</v>
      </c>
      <c r="G128" t="s">
        <v>2</v>
      </c>
      <c r="H128">
        <v>1.93</v>
      </c>
      <c r="I128">
        <v>2.7149999999999999</v>
      </c>
      <c r="J128" t="s">
        <v>6</v>
      </c>
      <c r="K128" t="str">
        <f t="shared" si="26"/>
        <v/>
      </c>
      <c r="L128" t="str">
        <f t="shared" si="26"/>
        <v/>
      </c>
      <c r="M128" t="str">
        <f t="shared" si="26"/>
        <v/>
      </c>
      <c r="N128" t="str">
        <f t="shared" si="26"/>
        <v/>
      </c>
      <c r="O128" t="str">
        <f t="shared" si="26"/>
        <v/>
      </c>
      <c r="P128" t="str">
        <f t="shared" si="26"/>
        <v/>
      </c>
      <c r="Q128" t="str">
        <f t="shared" si="26"/>
        <v/>
      </c>
      <c r="R128" t="str">
        <f t="shared" si="26"/>
        <v/>
      </c>
      <c r="S128" t="str">
        <f t="shared" si="26"/>
        <v/>
      </c>
      <c r="T128" t="str">
        <f t="shared" si="26"/>
        <v/>
      </c>
      <c r="U128" t="str">
        <f t="shared" si="27"/>
        <v/>
      </c>
      <c r="V128" t="str">
        <f t="shared" si="27"/>
        <v/>
      </c>
      <c r="W128" t="str">
        <f t="shared" si="27"/>
        <v/>
      </c>
      <c r="X128" t="str">
        <f t="shared" si="27"/>
        <v/>
      </c>
      <c r="Y128" t="str">
        <f t="shared" si="27"/>
        <v/>
      </c>
      <c r="Z128" t="str">
        <f t="shared" si="27"/>
        <v/>
      </c>
      <c r="AA128" t="str">
        <f t="shared" si="27"/>
        <v/>
      </c>
      <c r="AB128" t="str">
        <f t="shared" si="27"/>
        <v/>
      </c>
      <c r="AC128">
        <f t="shared" si="15"/>
        <v>0</v>
      </c>
    </row>
    <row r="129" spans="1:29" x14ac:dyDescent="0.35">
      <c r="A129">
        <v>124</v>
      </c>
      <c r="B129" t="s">
        <v>11</v>
      </c>
      <c r="C129" t="s">
        <v>765</v>
      </c>
      <c r="D129" t="s">
        <v>766</v>
      </c>
      <c r="E129" t="s">
        <v>662</v>
      </c>
      <c r="F129" t="s">
        <v>673</v>
      </c>
      <c r="G129" t="s">
        <v>0</v>
      </c>
      <c r="H129">
        <v>0.94</v>
      </c>
      <c r="I129">
        <v>2.7149999999999999</v>
      </c>
      <c r="J129" t="s">
        <v>6</v>
      </c>
      <c r="K129">
        <f t="shared" si="26"/>
        <v>3</v>
      </c>
      <c r="L129">
        <f t="shared" si="26"/>
        <v>6</v>
      </c>
      <c r="M129" t="str">
        <f t="shared" si="26"/>
        <v/>
      </c>
      <c r="N129" t="str">
        <f t="shared" si="26"/>
        <v/>
      </c>
      <c r="O129" t="str">
        <f t="shared" si="26"/>
        <v/>
      </c>
      <c r="P129" t="str">
        <f t="shared" si="26"/>
        <v/>
      </c>
      <c r="Q129" t="str">
        <f t="shared" si="26"/>
        <v/>
      </c>
      <c r="R129" t="str">
        <f t="shared" si="26"/>
        <v/>
      </c>
      <c r="S129" t="str">
        <f t="shared" si="26"/>
        <v/>
      </c>
      <c r="T129" t="str">
        <f t="shared" si="26"/>
        <v/>
      </c>
      <c r="U129" t="str">
        <f t="shared" si="27"/>
        <v/>
      </c>
      <c r="V129" t="str">
        <f t="shared" si="27"/>
        <v/>
      </c>
      <c r="W129" t="str">
        <f t="shared" si="27"/>
        <v/>
      </c>
      <c r="X129" t="str">
        <f t="shared" si="27"/>
        <v/>
      </c>
      <c r="Y129" t="str">
        <f t="shared" si="27"/>
        <v/>
      </c>
      <c r="Z129" t="str">
        <f t="shared" si="27"/>
        <v/>
      </c>
      <c r="AA129" t="str">
        <f t="shared" si="27"/>
        <v/>
      </c>
      <c r="AB129" t="str">
        <f t="shared" si="27"/>
        <v/>
      </c>
      <c r="AC129">
        <f t="shared" si="15"/>
        <v>9</v>
      </c>
    </row>
    <row r="130" spans="1:29" x14ac:dyDescent="0.35">
      <c r="A130">
        <v>125</v>
      </c>
      <c r="B130" t="s">
        <v>11</v>
      </c>
      <c r="C130" t="s">
        <v>767</v>
      </c>
      <c r="D130" t="s">
        <v>768</v>
      </c>
      <c r="E130" t="s">
        <v>662</v>
      </c>
      <c r="F130" t="s">
        <v>516</v>
      </c>
      <c r="G130" t="s">
        <v>0</v>
      </c>
      <c r="H130">
        <v>1.0900000000000001</v>
      </c>
      <c r="I130">
        <v>2.7149999999999999</v>
      </c>
      <c r="J130" t="s">
        <v>6</v>
      </c>
      <c r="K130" t="str">
        <f t="shared" si="26"/>
        <v/>
      </c>
      <c r="L130" t="str">
        <f t="shared" si="26"/>
        <v/>
      </c>
      <c r="M130" t="str">
        <f t="shared" si="26"/>
        <v/>
      </c>
      <c r="N130" t="str">
        <f t="shared" si="26"/>
        <v/>
      </c>
      <c r="O130" t="str">
        <f t="shared" si="26"/>
        <v/>
      </c>
      <c r="P130" t="str">
        <f t="shared" si="26"/>
        <v/>
      </c>
      <c r="Q130" t="str">
        <f t="shared" si="26"/>
        <v/>
      </c>
      <c r="R130" t="str">
        <f t="shared" si="26"/>
        <v/>
      </c>
      <c r="S130" t="str">
        <f t="shared" si="26"/>
        <v/>
      </c>
      <c r="T130" t="str">
        <f t="shared" si="26"/>
        <v/>
      </c>
      <c r="U130" t="str">
        <f t="shared" si="27"/>
        <v/>
      </c>
      <c r="V130" t="str">
        <f t="shared" si="27"/>
        <v/>
      </c>
      <c r="W130" t="str">
        <f t="shared" si="27"/>
        <v/>
      </c>
      <c r="X130" t="str">
        <f t="shared" si="27"/>
        <v/>
      </c>
      <c r="Y130" t="str">
        <f t="shared" si="27"/>
        <v/>
      </c>
      <c r="Z130" t="str">
        <f t="shared" si="27"/>
        <v/>
      </c>
      <c r="AA130" t="str">
        <f t="shared" si="27"/>
        <v/>
      </c>
      <c r="AB130" t="str">
        <f t="shared" si="27"/>
        <v/>
      </c>
      <c r="AC130">
        <f t="shared" si="15"/>
        <v>0</v>
      </c>
    </row>
    <row r="131" spans="1:29" x14ac:dyDescent="0.35">
      <c r="A131">
        <v>126</v>
      </c>
      <c r="B131" t="s">
        <v>11</v>
      </c>
      <c r="C131" t="s">
        <v>776</v>
      </c>
      <c r="D131" t="s">
        <v>777</v>
      </c>
      <c r="E131" t="s">
        <v>662</v>
      </c>
      <c r="F131" t="s">
        <v>516</v>
      </c>
      <c r="G131" t="s">
        <v>2</v>
      </c>
      <c r="H131">
        <v>2.069</v>
      </c>
      <c r="I131">
        <v>2.7149999999999999</v>
      </c>
      <c r="J131" t="s">
        <v>6</v>
      </c>
      <c r="K131" t="str">
        <f t="shared" si="26"/>
        <v/>
      </c>
      <c r="L131" t="str">
        <f t="shared" si="26"/>
        <v/>
      </c>
      <c r="M131" t="str">
        <f t="shared" si="26"/>
        <v/>
      </c>
      <c r="N131" t="str">
        <f t="shared" si="26"/>
        <v/>
      </c>
      <c r="O131" t="str">
        <f t="shared" si="26"/>
        <v/>
      </c>
      <c r="P131" t="str">
        <f t="shared" si="26"/>
        <v/>
      </c>
      <c r="Q131" t="str">
        <f t="shared" si="26"/>
        <v/>
      </c>
      <c r="R131" t="str">
        <f t="shared" si="26"/>
        <v/>
      </c>
      <c r="S131" t="str">
        <f t="shared" si="26"/>
        <v/>
      </c>
      <c r="T131" t="str">
        <f t="shared" si="26"/>
        <v/>
      </c>
      <c r="U131" t="str">
        <f t="shared" si="27"/>
        <v/>
      </c>
      <c r="V131" t="str">
        <f t="shared" si="27"/>
        <v/>
      </c>
      <c r="W131" t="str">
        <f t="shared" si="27"/>
        <v/>
      </c>
      <c r="X131" t="str">
        <f t="shared" si="27"/>
        <v/>
      </c>
      <c r="Y131" t="str">
        <f t="shared" si="27"/>
        <v/>
      </c>
      <c r="Z131" t="str">
        <f t="shared" si="27"/>
        <v/>
      </c>
      <c r="AA131" t="str">
        <f t="shared" si="27"/>
        <v/>
      </c>
      <c r="AB131" t="str">
        <f t="shared" si="27"/>
        <v/>
      </c>
      <c r="AC131">
        <f t="shared" si="15"/>
        <v>0</v>
      </c>
    </row>
    <row r="132" spans="1:29" x14ac:dyDescent="0.35">
      <c r="A132">
        <v>127</v>
      </c>
      <c r="B132" t="s">
        <v>11</v>
      </c>
      <c r="C132" t="s">
        <v>780</v>
      </c>
      <c r="D132" t="s">
        <v>781</v>
      </c>
      <c r="E132" t="s">
        <v>662</v>
      </c>
      <c r="F132" t="s">
        <v>673</v>
      </c>
      <c r="G132" t="s">
        <v>2</v>
      </c>
      <c r="H132">
        <v>1.99</v>
      </c>
      <c r="I132">
        <v>2.7149999999999999</v>
      </c>
      <c r="J132" t="s">
        <v>6</v>
      </c>
      <c r="K132" t="str">
        <f t="shared" si="26"/>
        <v/>
      </c>
      <c r="L132">
        <f t="shared" si="26"/>
        <v>6</v>
      </c>
      <c r="M132" t="str">
        <f t="shared" si="26"/>
        <v/>
      </c>
      <c r="N132" t="str">
        <f t="shared" si="26"/>
        <v/>
      </c>
      <c r="O132" t="str">
        <f t="shared" si="26"/>
        <v/>
      </c>
      <c r="P132" t="str">
        <f t="shared" si="26"/>
        <v/>
      </c>
      <c r="Q132" t="str">
        <f t="shared" si="26"/>
        <v/>
      </c>
      <c r="R132" t="str">
        <f t="shared" si="26"/>
        <v/>
      </c>
      <c r="S132" t="str">
        <f t="shared" si="26"/>
        <v/>
      </c>
      <c r="T132" t="str">
        <f t="shared" si="26"/>
        <v/>
      </c>
      <c r="U132" t="str">
        <f t="shared" si="27"/>
        <v/>
      </c>
      <c r="V132" t="str">
        <f t="shared" si="27"/>
        <v/>
      </c>
      <c r="W132" t="str">
        <f t="shared" si="27"/>
        <v/>
      </c>
      <c r="X132" t="str">
        <f t="shared" si="27"/>
        <v/>
      </c>
      <c r="Y132" t="str">
        <f t="shared" si="27"/>
        <v/>
      </c>
      <c r="Z132" t="str">
        <f t="shared" si="27"/>
        <v/>
      </c>
      <c r="AA132" t="str">
        <f t="shared" si="27"/>
        <v/>
      </c>
      <c r="AB132" t="str">
        <f t="shared" si="27"/>
        <v/>
      </c>
      <c r="AC132">
        <f t="shared" si="15"/>
        <v>6</v>
      </c>
    </row>
    <row r="133" spans="1:29" x14ac:dyDescent="0.35">
      <c r="A133">
        <v>128</v>
      </c>
      <c r="B133" t="s">
        <v>11</v>
      </c>
      <c r="C133" t="s">
        <v>783</v>
      </c>
      <c r="D133" t="s">
        <v>784</v>
      </c>
      <c r="E133" t="s">
        <v>1002</v>
      </c>
      <c r="F133" t="s">
        <v>890</v>
      </c>
      <c r="G133" t="s">
        <v>0</v>
      </c>
      <c r="H133">
        <v>2.02</v>
      </c>
      <c r="I133">
        <v>2.7149999999999999</v>
      </c>
      <c r="J133" t="s">
        <v>6</v>
      </c>
      <c r="K133">
        <f t="shared" si="26"/>
        <v>3</v>
      </c>
      <c r="L133" t="str">
        <f t="shared" si="26"/>
        <v/>
      </c>
      <c r="M133" t="str">
        <f t="shared" si="26"/>
        <v/>
      </c>
      <c r="N133" t="str">
        <f t="shared" si="26"/>
        <v/>
      </c>
      <c r="O133" t="str">
        <f t="shared" si="26"/>
        <v/>
      </c>
      <c r="P133" t="str">
        <f t="shared" si="26"/>
        <v/>
      </c>
      <c r="Q133" t="str">
        <f t="shared" si="26"/>
        <v/>
      </c>
      <c r="R133" t="str">
        <f t="shared" si="26"/>
        <v/>
      </c>
      <c r="S133" t="str">
        <f t="shared" si="26"/>
        <v/>
      </c>
      <c r="T133" t="str">
        <f t="shared" si="26"/>
        <v/>
      </c>
      <c r="U133" t="str">
        <f t="shared" si="27"/>
        <v/>
      </c>
      <c r="V133" t="str">
        <f t="shared" si="27"/>
        <v/>
      </c>
      <c r="W133" t="str">
        <f t="shared" si="27"/>
        <v/>
      </c>
      <c r="X133" t="str">
        <f t="shared" si="27"/>
        <v/>
      </c>
      <c r="Y133" t="str">
        <f t="shared" si="27"/>
        <v/>
      </c>
      <c r="Z133" t="str">
        <f t="shared" si="27"/>
        <v/>
      </c>
      <c r="AA133" t="str">
        <f t="shared" si="27"/>
        <v/>
      </c>
      <c r="AB133" t="str">
        <f t="shared" si="27"/>
        <v/>
      </c>
      <c r="AC133">
        <f t="shared" si="15"/>
        <v>3</v>
      </c>
    </row>
    <row r="134" spans="1:29" x14ac:dyDescent="0.35">
      <c r="A134">
        <v>129</v>
      </c>
      <c r="B134" t="s">
        <v>11</v>
      </c>
      <c r="C134" t="s">
        <v>791</v>
      </c>
      <c r="D134" t="s">
        <v>792</v>
      </c>
      <c r="E134" t="s">
        <v>662</v>
      </c>
      <c r="F134" t="s">
        <v>673</v>
      </c>
      <c r="G134" t="s">
        <v>0</v>
      </c>
      <c r="H134">
        <v>1.19</v>
      </c>
      <c r="I134">
        <v>2.7149999999999999</v>
      </c>
      <c r="J134" t="s">
        <v>6</v>
      </c>
      <c r="K134" t="str">
        <f t="shared" si="26"/>
        <v/>
      </c>
      <c r="L134" t="str">
        <f t="shared" si="26"/>
        <v/>
      </c>
      <c r="M134" t="str">
        <f t="shared" si="26"/>
        <v/>
      </c>
      <c r="N134" t="str">
        <f t="shared" si="26"/>
        <v/>
      </c>
      <c r="O134" t="str">
        <f t="shared" si="26"/>
        <v/>
      </c>
      <c r="P134" t="str">
        <f t="shared" si="26"/>
        <v/>
      </c>
      <c r="Q134" t="str">
        <f t="shared" si="26"/>
        <v/>
      </c>
      <c r="R134" t="str">
        <f t="shared" si="26"/>
        <v/>
      </c>
      <c r="S134" t="str">
        <f t="shared" si="26"/>
        <v/>
      </c>
      <c r="T134" t="str">
        <f t="shared" si="26"/>
        <v/>
      </c>
      <c r="U134" t="str">
        <f t="shared" si="27"/>
        <v/>
      </c>
      <c r="V134" t="str">
        <f t="shared" si="27"/>
        <v/>
      </c>
      <c r="W134" t="str">
        <f t="shared" si="27"/>
        <v/>
      </c>
      <c r="X134" t="str">
        <f t="shared" si="27"/>
        <v/>
      </c>
      <c r="Y134" t="str">
        <f t="shared" si="27"/>
        <v/>
      </c>
      <c r="Z134" t="str">
        <f t="shared" si="27"/>
        <v/>
      </c>
      <c r="AA134" t="str">
        <f t="shared" si="27"/>
        <v/>
      </c>
      <c r="AB134" t="str">
        <f t="shared" si="27"/>
        <v/>
      </c>
      <c r="AC134">
        <f t="shared" ref="AC134:AC197" si="28">SUM(K134:AB134)</f>
        <v>0</v>
      </c>
    </row>
    <row r="135" spans="1:29" x14ac:dyDescent="0.35">
      <c r="A135">
        <v>130</v>
      </c>
      <c r="B135" t="s">
        <v>11</v>
      </c>
      <c r="C135" t="s">
        <v>797</v>
      </c>
      <c r="D135" t="s">
        <v>798</v>
      </c>
      <c r="E135" t="s">
        <v>662</v>
      </c>
      <c r="F135" t="s">
        <v>516</v>
      </c>
      <c r="G135" t="s">
        <v>0</v>
      </c>
      <c r="H135">
        <v>1.31</v>
      </c>
      <c r="I135">
        <v>2.7149999999999999</v>
      </c>
      <c r="J135" t="s">
        <v>6</v>
      </c>
      <c r="K135" t="str">
        <f t="shared" si="26"/>
        <v/>
      </c>
      <c r="L135" t="str">
        <f t="shared" si="26"/>
        <v/>
      </c>
      <c r="M135" t="str">
        <f t="shared" si="26"/>
        <v/>
      </c>
      <c r="N135" t="str">
        <f t="shared" si="26"/>
        <v/>
      </c>
      <c r="O135" t="str">
        <f t="shared" si="26"/>
        <v/>
      </c>
      <c r="P135" t="str">
        <f t="shared" si="26"/>
        <v/>
      </c>
      <c r="Q135" t="str">
        <f t="shared" si="26"/>
        <v/>
      </c>
      <c r="R135" t="str">
        <f t="shared" si="26"/>
        <v/>
      </c>
      <c r="S135" t="str">
        <f t="shared" si="26"/>
        <v/>
      </c>
      <c r="T135" t="str">
        <f t="shared" si="26"/>
        <v/>
      </c>
      <c r="U135" t="str">
        <f t="shared" si="27"/>
        <v/>
      </c>
      <c r="V135" t="str">
        <f t="shared" si="27"/>
        <v/>
      </c>
      <c r="W135" t="str">
        <f t="shared" si="27"/>
        <v/>
      </c>
      <c r="X135" t="str">
        <f t="shared" si="27"/>
        <v/>
      </c>
      <c r="Y135" t="str">
        <f t="shared" si="27"/>
        <v/>
      </c>
      <c r="Z135" t="str">
        <f t="shared" si="27"/>
        <v/>
      </c>
      <c r="AA135" t="str">
        <f t="shared" si="27"/>
        <v/>
      </c>
      <c r="AB135" t="str">
        <f t="shared" si="27"/>
        <v/>
      </c>
      <c r="AC135">
        <f t="shared" si="28"/>
        <v>0</v>
      </c>
    </row>
    <row r="136" spans="1:29" x14ac:dyDescent="0.35">
      <c r="A136">
        <v>131</v>
      </c>
      <c r="B136" t="s">
        <v>11</v>
      </c>
      <c r="C136" t="s">
        <v>799</v>
      </c>
      <c r="D136" t="s">
        <v>800</v>
      </c>
      <c r="E136" t="s">
        <v>662</v>
      </c>
      <c r="F136" t="s">
        <v>516</v>
      </c>
      <c r="G136" t="s">
        <v>0</v>
      </c>
      <c r="H136">
        <v>1.22</v>
      </c>
      <c r="I136">
        <v>2.7149999999999999</v>
      </c>
      <c r="J136" t="s">
        <v>6</v>
      </c>
      <c r="K136" t="str">
        <f t="shared" ref="K136:T145" si="29">IFERROR(IFERROR(IF(K$5=$K$1,VLOOKUP($A136,dormitorios,2,0),IF(K$5=$L$1,VLOOKUP($A136,comedor,2,0),IF(K$5=$M$1,VLOOKUP($A136,alojamiento,2,0),IF(K$5=$N$1,VLOOKUP($A136,sanidad,2,0),IF(K$5=$O$1,VLOOKUP($A136,servicios,2,0),IF(K$5=$P$1,VLOOKUP($A136,comyaloj,2,0),IF(K$5=$Q$1,VLOOKUP($A136,comandancia,2,0),IF(K$5=$R$1,VLOOKUP($A136,mantenimiento,2,0),IF(K$5=$S$1,VLOOKUP($A136,serestatal,2,0),IF(K$5=$T$1,VLOOKUP($A136,conferencias,2,0),"")))))))))),"")*K$3,"")</f>
        <v/>
      </c>
      <c r="L136" t="str">
        <f t="shared" si="29"/>
        <v/>
      </c>
      <c r="M136" t="str">
        <f t="shared" si="29"/>
        <v/>
      </c>
      <c r="N136" t="str">
        <f t="shared" si="29"/>
        <v/>
      </c>
      <c r="O136" t="str">
        <f t="shared" si="29"/>
        <v/>
      </c>
      <c r="P136" t="str">
        <f t="shared" si="29"/>
        <v/>
      </c>
      <c r="Q136" t="str">
        <f t="shared" si="29"/>
        <v/>
      </c>
      <c r="R136" t="str">
        <f t="shared" si="29"/>
        <v/>
      </c>
      <c r="S136" t="str">
        <f t="shared" si="29"/>
        <v/>
      </c>
      <c r="T136" t="str">
        <f t="shared" si="29"/>
        <v/>
      </c>
      <c r="U136" t="str">
        <f t="shared" ref="U136:AB145" si="30">IFERROR(IFERROR(IF(U$5=$K$1,VLOOKUP($A136,dormitorios,2,0),IF(U$5=$L$1,VLOOKUP($A136,comedor,2,0),IF(U$5=$M$1,VLOOKUP($A136,alojamiento,2,0),IF(U$5=$N$1,VLOOKUP($A136,sanidad,2,0),IF(U$5=$O$1,VLOOKUP($A136,servicios,2,0),IF(U$5=$P$1,VLOOKUP($A136,comyaloj,2,0),IF(U$5=$Q$1,VLOOKUP($A136,comandancia,2,0),IF(U$5=$R$1,VLOOKUP($A136,mantenimiento,2,0),IF(U$5=$S$1,VLOOKUP($A136,serestatal,2,0),IF(U$5=$T$1,VLOOKUP($A136,conferencias,2,0),"")))))))))),"")*U$3,"")</f>
        <v/>
      </c>
      <c r="V136" t="str">
        <f t="shared" si="30"/>
        <v/>
      </c>
      <c r="W136" t="str">
        <f t="shared" si="30"/>
        <v/>
      </c>
      <c r="X136" t="str">
        <f t="shared" si="30"/>
        <v/>
      </c>
      <c r="Y136" t="str">
        <f t="shared" si="30"/>
        <v/>
      </c>
      <c r="Z136" t="str">
        <f t="shared" si="30"/>
        <v/>
      </c>
      <c r="AA136" t="str">
        <f t="shared" si="30"/>
        <v/>
      </c>
      <c r="AB136" t="str">
        <f t="shared" si="30"/>
        <v/>
      </c>
      <c r="AC136">
        <f t="shared" si="28"/>
        <v>0</v>
      </c>
    </row>
    <row r="137" spans="1:29" x14ac:dyDescent="0.35">
      <c r="A137">
        <v>132</v>
      </c>
      <c r="B137" t="s">
        <v>11</v>
      </c>
      <c r="C137" t="s">
        <v>801</v>
      </c>
      <c r="D137" t="s">
        <v>802</v>
      </c>
      <c r="E137" t="s">
        <v>662</v>
      </c>
      <c r="F137" t="s">
        <v>516</v>
      </c>
      <c r="G137" t="s">
        <v>0</v>
      </c>
      <c r="H137">
        <v>0.6</v>
      </c>
      <c r="I137">
        <v>2.7149999999999999</v>
      </c>
      <c r="J137" t="s">
        <v>6</v>
      </c>
      <c r="K137" t="str">
        <f t="shared" si="29"/>
        <v/>
      </c>
      <c r="L137" t="str">
        <f t="shared" si="29"/>
        <v/>
      </c>
      <c r="M137" t="str">
        <f t="shared" si="29"/>
        <v/>
      </c>
      <c r="N137" t="str">
        <f t="shared" si="29"/>
        <v/>
      </c>
      <c r="O137" t="str">
        <f t="shared" si="29"/>
        <v/>
      </c>
      <c r="P137" t="str">
        <f t="shared" si="29"/>
        <v/>
      </c>
      <c r="Q137" t="str">
        <f t="shared" si="29"/>
        <v/>
      </c>
      <c r="R137" t="str">
        <f t="shared" si="29"/>
        <v/>
      </c>
      <c r="S137" t="str">
        <f t="shared" si="29"/>
        <v/>
      </c>
      <c r="T137" t="str">
        <f t="shared" si="29"/>
        <v/>
      </c>
      <c r="U137" t="str">
        <f t="shared" si="30"/>
        <v/>
      </c>
      <c r="V137" t="str">
        <f t="shared" si="30"/>
        <v/>
      </c>
      <c r="W137" t="str">
        <f t="shared" si="30"/>
        <v/>
      </c>
      <c r="X137" t="str">
        <f t="shared" si="30"/>
        <v/>
      </c>
      <c r="Y137" t="str">
        <f t="shared" si="30"/>
        <v/>
      </c>
      <c r="Z137" t="str">
        <f t="shared" si="30"/>
        <v/>
      </c>
      <c r="AA137" t="str">
        <f t="shared" si="30"/>
        <v/>
      </c>
      <c r="AB137" t="str">
        <f t="shared" si="30"/>
        <v/>
      </c>
      <c r="AC137">
        <f t="shared" si="28"/>
        <v>0</v>
      </c>
    </row>
    <row r="138" spans="1:29" x14ac:dyDescent="0.35">
      <c r="A138">
        <v>133</v>
      </c>
      <c r="B138" t="s">
        <v>11</v>
      </c>
      <c r="C138" t="s">
        <v>803</v>
      </c>
      <c r="D138" t="s">
        <v>804</v>
      </c>
      <c r="E138" t="s">
        <v>662</v>
      </c>
      <c r="F138" t="s">
        <v>516</v>
      </c>
      <c r="G138" t="s">
        <v>0</v>
      </c>
      <c r="H138">
        <v>0.77</v>
      </c>
      <c r="I138">
        <v>2.7149999999999999</v>
      </c>
      <c r="J138" t="s">
        <v>6</v>
      </c>
      <c r="K138" t="str">
        <f t="shared" si="29"/>
        <v/>
      </c>
      <c r="L138" t="str">
        <f t="shared" si="29"/>
        <v/>
      </c>
      <c r="M138" t="str">
        <f t="shared" si="29"/>
        <v/>
      </c>
      <c r="N138" t="str">
        <f t="shared" si="29"/>
        <v/>
      </c>
      <c r="O138" t="str">
        <f t="shared" si="29"/>
        <v/>
      </c>
      <c r="P138" t="str">
        <f t="shared" si="29"/>
        <v/>
      </c>
      <c r="Q138" t="str">
        <f t="shared" si="29"/>
        <v/>
      </c>
      <c r="R138" t="str">
        <f t="shared" si="29"/>
        <v/>
      </c>
      <c r="S138" t="str">
        <f t="shared" si="29"/>
        <v/>
      </c>
      <c r="T138" t="str">
        <f t="shared" si="29"/>
        <v/>
      </c>
      <c r="U138" t="str">
        <f t="shared" si="30"/>
        <v/>
      </c>
      <c r="V138" t="str">
        <f t="shared" si="30"/>
        <v/>
      </c>
      <c r="W138" t="str">
        <f t="shared" si="30"/>
        <v/>
      </c>
      <c r="X138" t="str">
        <f t="shared" si="30"/>
        <v/>
      </c>
      <c r="Y138" t="str">
        <f t="shared" si="30"/>
        <v/>
      </c>
      <c r="Z138" t="str">
        <f t="shared" si="30"/>
        <v/>
      </c>
      <c r="AA138" t="str">
        <f t="shared" si="30"/>
        <v/>
      </c>
      <c r="AB138" t="str">
        <f t="shared" si="30"/>
        <v/>
      </c>
      <c r="AC138">
        <f t="shared" si="28"/>
        <v>0</v>
      </c>
    </row>
    <row r="139" spans="1:29" x14ac:dyDescent="0.35">
      <c r="A139">
        <v>134</v>
      </c>
      <c r="B139" t="s">
        <v>11</v>
      </c>
      <c r="C139" t="s">
        <v>805</v>
      </c>
      <c r="D139" t="s">
        <v>806</v>
      </c>
      <c r="E139" t="s">
        <v>662</v>
      </c>
      <c r="F139" t="s">
        <v>673</v>
      </c>
      <c r="G139" t="s">
        <v>0</v>
      </c>
      <c r="H139">
        <v>0.82</v>
      </c>
      <c r="I139">
        <v>2.7149999999999999</v>
      </c>
      <c r="J139" t="s">
        <v>6</v>
      </c>
      <c r="K139" t="str">
        <f t="shared" si="29"/>
        <v/>
      </c>
      <c r="L139" t="str">
        <f t="shared" si="29"/>
        <v/>
      </c>
      <c r="M139" t="str">
        <f t="shared" si="29"/>
        <v/>
      </c>
      <c r="N139" t="str">
        <f t="shared" si="29"/>
        <v/>
      </c>
      <c r="O139" t="str">
        <f t="shared" si="29"/>
        <v/>
      </c>
      <c r="P139" t="str">
        <f t="shared" si="29"/>
        <v/>
      </c>
      <c r="Q139" t="str">
        <f t="shared" si="29"/>
        <v/>
      </c>
      <c r="R139" t="str">
        <f t="shared" si="29"/>
        <v/>
      </c>
      <c r="S139" t="str">
        <f t="shared" si="29"/>
        <v/>
      </c>
      <c r="T139" t="str">
        <f t="shared" si="29"/>
        <v/>
      </c>
      <c r="U139" t="str">
        <f t="shared" si="30"/>
        <v/>
      </c>
      <c r="V139" t="str">
        <f t="shared" si="30"/>
        <v/>
      </c>
      <c r="W139" t="str">
        <f t="shared" si="30"/>
        <v/>
      </c>
      <c r="X139" t="str">
        <f t="shared" si="30"/>
        <v/>
      </c>
      <c r="Y139" t="str">
        <f t="shared" si="30"/>
        <v/>
      </c>
      <c r="Z139" t="str">
        <f t="shared" si="30"/>
        <v/>
      </c>
      <c r="AA139" t="str">
        <f t="shared" si="30"/>
        <v/>
      </c>
      <c r="AB139" t="str">
        <f t="shared" si="30"/>
        <v/>
      </c>
      <c r="AC139">
        <f t="shared" si="28"/>
        <v>0</v>
      </c>
    </row>
    <row r="140" spans="1:29" x14ac:dyDescent="0.35">
      <c r="A140">
        <v>135</v>
      </c>
      <c r="B140" t="s">
        <v>11</v>
      </c>
      <c r="C140" t="s">
        <v>807</v>
      </c>
      <c r="D140" t="s">
        <v>808</v>
      </c>
      <c r="E140" t="s">
        <v>662</v>
      </c>
      <c r="F140" t="s">
        <v>673</v>
      </c>
      <c r="G140" t="s">
        <v>0</v>
      </c>
      <c r="H140">
        <v>0.98</v>
      </c>
      <c r="I140">
        <v>2.7149999999999999</v>
      </c>
      <c r="J140" t="s">
        <v>6</v>
      </c>
      <c r="K140" t="str">
        <f t="shared" si="29"/>
        <v/>
      </c>
      <c r="L140" t="str">
        <f t="shared" si="29"/>
        <v/>
      </c>
      <c r="M140" t="str">
        <f t="shared" si="29"/>
        <v/>
      </c>
      <c r="N140" t="str">
        <f t="shared" si="29"/>
        <v/>
      </c>
      <c r="O140" t="str">
        <f t="shared" si="29"/>
        <v/>
      </c>
      <c r="P140" t="str">
        <f t="shared" si="29"/>
        <v/>
      </c>
      <c r="Q140" t="str">
        <f t="shared" si="29"/>
        <v/>
      </c>
      <c r="R140" t="str">
        <f t="shared" si="29"/>
        <v/>
      </c>
      <c r="S140" t="str">
        <f t="shared" si="29"/>
        <v/>
      </c>
      <c r="T140" t="str">
        <f t="shared" si="29"/>
        <v/>
      </c>
      <c r="U140" t="str">
        <f t="shared" si="30"/>
        <v/>
      </c>
      <c r="V140" t="str">
        <f t="shared" si="30"/>
        <v/>
      </c>
      <c r="W140" t="str">
        <f t="shared" si="30"/>
        <v/>
      </c>
      <c r="X140" t="str">
        <f t="shared" si="30"/>
        <v/>
      </c>
      <c r="Y140" t="str">
        <f t="shared" si="30"/>
        <v/>
      </c>
      <c r="Z140" t="str">
        <f t="shared" si="30"/>
        <v/>
      </c>
      <c r="AA140" t="str">
        <f t="shared" si="30"/>
        <v/>
      </c>
      <c r="AB140" t="str">
        <f t="shared" si="30"/>
        <v/>
      </c>
      <c r="AC140">
        <f t="shared" si="28"/>
        <v>0</v>
      </c>
    </row>
    <row r="141" spans="1:29" x14ac:dyDescent="0.35">
      <c r="A141">
        <v>136</v>
      </c>
      <c r="B141" t="s">
        <v>11</v>
      </c>
      <c r="C141" t="s">
        <v>809</v>
      </c>
      <c r="D141" t="s">
        <v>810</v>
      </c>
      <c r="E141" t="s">
        <v>662</v>
      </c>
      <c r="F141" t="s">
        <v>673</v>
      </c>
      <c r="G141" t="s">
        <v>0</v>
      </c>
      <c r="H141">
        <v>1.91</v>
      </c>
      <c r="I141">
        <v>2.7149999999999999</v>
      </c>
      <c r="J141" t="s">
        <v>6</v>
      </c>
      <c r="K141" t="str">
        <f t="shared" si="29"/>
        <v/>
      </c>
      <c r="L141" t="str">
        <f t="shared" si="29"/>
        <v/>
      </c>
      <c r="M141" t="str">
        <f t="shared" si="29"/>
        <v/>
      </c>
      <c r="N141" t="str">
        <f t="shared" si="29"/>
        <v/>
      </c>
      <c r="O141" t="str">
        <f t="shared" si="29"/>
        <v/>
      </c>
      <c r="P141" t="str">
        <f t="shared" si="29"/>
        <v/>
      </c>
      <c r="Q141" t="str">
        <f t="shared" si="29"/>
        <v/>
      </c>
      <c r="R141" t="str">
        <f t="shared" si="29"/>
        <v/>
      </c>
      <c r="S141" t="str">
        <f t="shared" si="29"/>
        <v/>
      </c>
      <c r="T141" t="str">
        <f t="shared" si="29"/>
        <v/>
      </c>
      <c r="U141" t="str">
        <f t="shared" si="30"/>
        <v/>
      </c>
      <c r="V141" t="str">
        <f t="shared" si="30"/>
        <v/>
      </c>
      <c r="W141" t="str">
        <f t="shared" si="30"/>
        <v/>
      </c>
      <c r="X141" t="str">
        <f t="shared" si="30"/>
        <v/>
      </c>
      <c r="Y141" t="str">
        <f t="shared" si="30"/>
        <v/>
      </c>
      <c r="Z141" t="str">
        <f t="shared" si="30"/>
        <v/>
      </c>
      <c r="AA141" t="str">
        <f t="shared" si="30"/>
        <v/>
      </c>
      <c r="AB141" t="str">
        <f t="shared" si="30"/>
        <v/>
      </c>
      <c r="AC141">
        <f t="shared" si="28"/>
        <v>0</v>
      </c>
    </row>
    <row r="142" spans="1:29" x14ac:dyDescent="0.35">
      <c r="A142">
        <v>137</v>
      </c>
      <c r="B142" t="s">
        <v>11</v>
      </c>
      <c r="C142" t="s">
        <v>811</v>
      </c>
      <c r="D142" t="s">
        <v>812</v>
      </c>
      <c r="E142" t="s">
        <v>662</v>
      </c>
      <c r="F142" t="s">
        <v>516</v>
      </c>
      <c r="G142" t="s">
        <v>0</v>
      </c>
      <c r="H142">
        <v>2.11</v>
      </c>
      <c r="I142">
        <v>2.7149999999999999</v>
      </c>
      <c r="J142" t="s">
        <v>6</v>
      </c>
      <c r="K142" t="str">
        <f t="shared" si="29"/>
        <v/>
      </c>
      <c r="L142" t="str">
        <f t="shared" si="29"/>
        <v/>
      </c>
      <c r="M142" t="str">
        <f t="shared" si="29"/>
        <v/>
      </c>
      <c r="N142" t="str">
        <f t="shared" si="29"/>
        <v/>
      </c>
      <c r="O142" t="str">
        <f t="shared" si="29"/>
        <v/>
      </c>
      <c r="P142" t="str">
        <f t="shared" si="29"/>
        <v/>
      </c>
      <c r="Q142" t="str">
        <f t="shared" si="29"/>
        <v/>
      </c>
      <c r="R142" t="str">
        <f t="shared" si="29"/>
        <v/>
      </c>
      <c r="S142" t="str">
        <f t="shared" si="29"/>
        <v/>
      </c>
      <c r="T142" t="str">
        <f t="shared" si="29"/>
        <v/>
      </c>
      <c r="U142" t="str">
        <f t="shared" si="30"/>
        <v/>
      </c>
      <c r="V142" t="str">
        <f t="shared" si="30"/>
        <v/>
      </c>
      <c r="W142" t="str">
        <f t="shared" si="30"/>
        <v/>
      </c>
      <c r="X142" t="str">
        <f t="shared" si="30"/>
        <v/>
      </c>
      <c r="Y142" t="str">
        <f t="shared" si="30"/>
        <v/>
      </c>
      <c r="Z142" t="str">
        <f t="shared" si="30"/>
        <v/>
      </c>
      <c r="AA142" t="str">
        <f t="shared" si="30"/>
        <v/>
      </c>
      <c r="AB142" t="str">
        <f t="shared" si="30"/>
        <v/>
      </c>
      <c r="AC142">
        <f t="shared" si="28"/>
        <v>0</v>
      </c>
    </row>
    <row r="143" spans="1:29" x14ac:dyDescent="0.35">
      <c r="A143">
        <v>138</v>
      </c>
      <c r="B143" t="s">
        <v>11</v>
      </c>
      <c r="C143" t="s">
        <v>813</v>
      </c>
      <c r="D143" t="s">
        <v>814</v>
      </c>
      <c r="E143" t="s">
        <v>662</v>
      </c>
      <c r="F143" t="s">
        <v>516</v>
      </c>
      <c r="G143" t="s">
        <v>2</v>
      </c>
      <c r="H143">
        <v>1.26</v>
      </c>
      <c r="I143">
        <v>2.7149999999999999</v>
      </c>
      <c r="J143" t="s">
        <v>6</v>
      </c>
      <c r="K143" t="str">
        <f t="shared" si="29"/>
        <v/>
      </c>
      <c r="L143" t="str">
        <f t="shared" si="29"/>
        <v/>
      </c>
      <c r="M143" t="str">
        <f t="shared" si="29"/>
        <v/>
      </c>
      <c r="N143" t="str">
        <f t="shared" si="29"/>
        <v/>
      </c>
      <c r="O143" t="str">
        <f t="shared" si="29"/>
        <v/>
      </c>
      <c r="P143" t="str">
        <f t="shared" si="29"/>
        <v/>
      </c>
      <c r="Q143" t="str">
        <f t="shared" si="29"/>
        <v/>
      </c>
      <c r="R143" t="str">
        <f t="shared" si="29"/>
        <v/>
      </c>
      <c r="S143" t="str">
        <f t="shared" si="29"/>
        <v/>
      </c>
      <c r="T143" t="str">
        <f t="shared" si="29"/>
        <v/>
      </c>
      <c r="U143" t="str">
        <f t="shared" si="30"/>
        <v/>
      </c>
      <c r="V143" t="str">
        <f t="shared" si="30"/>
        <v/>
      </c>
      <c r="W143" t="str">
        <f t="shared" si="30"/>
        <v/>
      </c>
      <c r="X143" t="str">
        <f t="shared" si="30"/>
        <v/>
      </c>
      <c r="Y143" t="str">
        <f t="shared" si="30"/>
        <v/>
      </c>
      <c r="Z143" t="str">
        <f t="shared" si="30"/>
        <v/>
      </c>
      <c r="AA143" t="str">
        <f t="shared" si="30"/>
        <v/>
      </c>
      <c r="AB143" t="str">
        <f t="shared" si="30"/>
        <v/>
      </c>
      <c r="AC143">
        <f t="shared" si="28"/>
        <v>0</v>
      </c>
    </row>
    <row r="144" spans="1:29" x14ac:dyDescent="0.35">
      <c r="A144">
        <v>139</v>
      </c>
      <c r="B144" t="s">
        <v>11</v>
      </c>
      <c r="C144" t="s">
        <v>815</v>
      </c>
      <c r="D144" t="s">
        <v>816</v>
      </c>
      <c r="E144" t="s">
        <v>662</v>
      </c>
      <c r="F144" t="s">
        <v>516</v>
      </c>
      <c r="G144" t="s">
        <v>0</v>
      </c>
      <c r="H144">
        <v>1.88</v>
      </c>
      <c r="I144">
        <v>2.7149999999999999</v>
      </c>
      <c r="J144" t="s">
        <v>6</v>
      </c>
      <c r="K144" t="str">
        <f t="shared" si="29"/>
        <v/>
      </c>
      <c r="L144" t="str">
        <f t="shared" si="29"/>
        <v/>
      </c>
      <c r="M144" t="str">
        <f t="shared" si="29"/>
        <v/>
      </c>
      <c r="N144" t="str">
        <f t="shared" si="29"/>
        <v/>
      </c>
      <c r="O144" t="str">
        <f t="shared" si="29"/>
        <v/>
      </c>
      <c r="P144" t="str">
        <f t="shared" si="29"/>
        <v/>
      </c>
      <c r="Q144" t="str">
        <f t="shared" si="29"/>
        <v/>
      </c>
      <c r="R144" t="str">
        <f t="shared" si="29"/>
        <v/>
      </c>
      <c r="S144" t="str">
        <f t="shared" si="29"/>
        <v/>
      </c>
      <c r="T144" t="str">
        <f t="shared" si="29"/>
        <v/>
      </c>
      <c r="U144" t="str">
        <f t="shared" si="30"/>
        <v/>
      </c>
      <c r="V144" t="str">
        <f t="shared" si="30"/>
        <v/>
      </c>
      <c r="W144" t="str">
        <f t="shared" si="30"/>
        <v/>
      </c>
      <c r="X144" t="str">
        <f t="shared" si="30"/>
        <v/>
      </c>
      <c r="Y144" t="str">
        <f t="shared" si="30"/>
        <v/>
      </c>
      <c r="Z144" t="str">
        <f t="shared" si="30"/>
        <v/>
      </c>
      <c r="AA144" t="str">
        <f t="shared" si="30"/>
        <v/>
      </c>
      <c r="AB144" t="str">
        <f t="shared" si="30"/>
        <v/>
      </c>
      <c r="AC144">
        <f t="shared" si="28"/>
        <v>0</v>
      </c>
    </row>
    <row r="145" spans="1:29" x14ac:dyDescent="0.35">
      <c r="A145">
        <v>140</v>
      </c>
      <c r="B145" t="s">
        <v>11</v>
      </c>
      <c r="C145" t="s">
        <v>817</v>
      </c>
      <c r="D145" t="s">
        <v>818</v>
      </c>
      <c r="E145" t="s">
        <v>662</v>
      </c>
      <c r="F145" t="s">
        <v>516</v>
      </c>
      <c r="G145" t="s">
        <v>0</v>
      </c>
      <c r="H145">
        <v>0.98</v>
      </c>
      <c r="I145">
        <v>2.7149999999999999</v>
      </c>
      <c r="J145" t="s">
        <v>6</v>
      </c>
      <c r="K145" t="str">
        <f t="shared" si="29"/>
        <v/>
      </c>
      <c r="L145" t="str">
        <f t="shared" si="29"/>
        <v/>
      </c>
      <c r="M145" t="str">
        <f t="shared" si="29"/>
        <v/>
      </c>
      <c r="N145" t="str">
        <f t="shared" si="29"/>
        <v/>
      </c>
      <c r="O145" t="str">
        <f t="shared" si="29"/>
        <v/>
      </c>
      <c r="P145" t="str">
        <f t="shared" si="29"/>
        <v/>
      </c>
      <c r="Q145" t="str">
        <f t="shared" si="29"/>
        <v/>
      </c>
      <c r="R145" t="str">
        <f t="shared" si="29"/>
        <v/>
      </c>
      <c r="S145" t="str">
        <f t="shared" si="29"/>
        <v/>
      </c>
      <c r="T145" t="str">
        <f t="shared" si="29"/>
        <v/>
      </c>
      <c r="U145" t="str">
        <f t="shared" si="30"/>
        <v/>
      </c>
      <c r="V145" t="str">
        <f t="shared" si="30"/>
        <v/>
      </c>
      <c r="W145" t="str">
        <f t="shared" si="30"/>
        <v/>
      </c>
      <c r="X145" t="str">
        <f t="shared" si="30"/>
        <v/>
      </c>
      <c r="Y145" t="str">
        <f t="shared" si="30"/>
        <v/>
      </c>
      <c r="Z145" t="str">
        <f t="shared" si="30"/>
        <v/>
      </c>
      <c r="AA145" t="str">
        <f t="shared" si="30"/>
        <v/>
      </c>
      <c r="AB145" t="str">
        <f t="shared" si="30"/>
        <v/>
      </c>
      <c r="AC145">
        <f t="shared" si="28"/>
        <v>0</v>
      </c>
    </row>
    <row r="146" spans="1:29" x14ac:dyDescent="0.35">
      <c r="A146">
        <v>141</v>
      </c>
      <c r="B146" t="s">
        <v>11</v>
      </c>
      <c r="C146" t="s">
        <v>819</v>
      </c>
      <c r="D146" t="s">
        <v>820</v>
      </c>
      <c r="E146" t="s">
        <v>662</v>
      </c>
      <c r="F146" t="s">
        <v>516</v>
      </c>
      <c r="G146" t="s">
        <v>2</v>
      </c>
      <c r="H146">
        <v>0.98</v>
      </c>
      <c r="I146">
        <v>2.7149999999999999</v>
      </c>
      <c r="J146" t="s">
        <v>6</v>
      </c>
      <c r="K146" t="str">
        <f t="shared" ref="K146:T155" si="31">IFERROR(IFERROR(IF(K$5=$K$1,VLOOKUP($A146,dormitorios,2,0),IF(K$5=$L$1,VLOOKUP($A146,comedor,2,0),IF(K$5=$M$1,VLOOKUP($A146,alojamiento,2,0),IF(K$5=$N$1,VLOOKUP($A146,sanidad,2,0),IF(K$5=$O$1,VLOOKUP($A146,servicios,2,0),IF(K$5=$P$1,VLOOKUP($A146,comyaloj,2,0),IF(K$5=$Q$1,VLOOKUP($A146,comandancia,2,0),IF(K$5=$R$1,VLOOKUP($A146,mantenimiento,2,0),IF(K$5=$S$1,VLOOKUP($A146,serestatal,2,0),IF(K$5=$T$1,VLOOKUP($A146,conferencias,2,0),"")))))))))),"")*K$3,"")</f>
        <v/>
      </c>
      <c r="L146" t="str">
        <f t="shared" si="31"/>
        <v/>
      </c>
      <c r="M146" t="str">
        <f t="shared" si="31"/>
        <v/>
      </c>
      <c r="N146" t="str">
        <f t="shared" si="31"/>
        <v/>
      </c>
      <c r="O146" t="str">
        <f t="shared" si="31"/>
        <v/>
      </c>
      <c r="P146" t="str">
        <f t="shared" si="31"/>
        <v/>
      </c>
      <c r="Q146" t="str">
        <f t="shared" si="31"/>
        <v/>
      </c>
      <c r="R146" t="str">
        <f t="shared" si="31"/>
        <v/>
      </c>
      <c r="S146" t="str">
        <f t="shared" si="31"/>
        <v/>
      </c>
      <c r="T146" t="str">
        <f t="shared" si="31"/>
        <v/>
      </c>
      <c r="U146" t="str">
        <f t="shared" ref="U146:AB155" si="32">IFERROR(IFERROR(IF(U$5=$K$1,VLOOKUP($A146,dormitorios,2,0),IF(U$5=$L$1,VLOOKUP($A146,comedor,2,0),IF(U$5=$M$1,VLOOKUP($A146,alojamiento,2,0),IF(U$5=$N$1,VLOOKUP($A146,sanidad,2,0),IF(U$5=$O$1,VLOOKUP($A146,servicios,2,0),IF(U$5=$P$1,VLOOKUP($A146,comyaloj,2,0),IF(U$5=$Q$1,VLOOKUP($A146,comandancia,2,0),IF(U$5=$R$1,VLOOKUP($A146,mantenimiento,2,0),IF(U$5=$S$1,VLOOKUP($A146,serestatal,2,0),IF(U$5=$T$1,VLOOKUP($A146,conferencias,2,0),"")))))))))),"")*U$3,"")</f>
        <v/>
      </c>
      <c r="V146" t="str">
        <f t="shared" si="32"/>
        <v/>
      </c>
      <c r="W146" t="str">
        <f t="shared" si="32"/>
        <v/>
      </c>
      <c r="X146" t="str">
        <f t="shared" si="32"/>
        <v/>
      </c>
      <c r="Y146" t="str">
        <f t="shared" si="32"/>
        <v/>
      </c>
      <c r="Z146" t="str">
        <f t="shared" si="32"/>
        <v/>
      </c>
      <c r="AA146" t="str">
        <f t="shared" si="32"/>
        <v/>
      </c>
      <c r="AB146" t="str">
        <f t="shared" si="32"/>
        <v/>
      </c>
      <c r="AC146">
        <f t="shared" si="28"/>
        <v>0</v>
      </c>
    </row>
    <row r="147" spans="1:29" x14ac:dyDescent="0.35">
      <c r="A147">
        <v>142</v>
      </c>
      <c r="B147" t="s">
        <v>11</v>
      </c>
      <c r="C147" t="s">
        <v>826</v>
      </c>
      <c r="D147" t="s">
        <v>827</v>
      </c>
      <c r="E147" t="s">
        <v>662</v>
      </c>
      <c r="F147" t="s">
        <v>516</v>
      </c>
      <c r="G147" t="s">
        <v>0</v>
      </c>
      <c r="H147">
        <v>0.81</v>
      </c>
      <c r="I147">
        <v>2.7149999999999999</v>
      </c>
      <c r="J147" t="s">
        <v>6</v>
      </c>
      <c r="K147" t="str">
        <f t="shared" si="31"/>
        <v/>
      </c>
      <c r="L147" t="str">
        <f t="shared" si="31"/>
        <v/>
      </c>
      <c r="M147" t="str">
        <f t="shared" si="31"/>
        <v/>
      </c>
      <c r="N147" t="str">
        <f t="shared" si="31"/>
        <v/>
      </c>
      <c r="O147" t="str">
        <f t="shared" si="31"/>
        <v/>
      </c>
      <c r="P147" t="str">
        <f t="shared" si="31"/>
        <v/>
      </c>
      <c r="Q147" t="str">
        <f t="shared" si="31"/>
        <v/>
      </c>
      <c r="R147" t="str">
        <f t="shared" si="31"/>
        <v/>
      </c>
      <c r="S147" t="str">
        <f t="shared" si="31"/>
        <v/>
      </c>
      <c r="T147" t="str">
        <f t="shared" si="31"/>
        <v/>
      </c>
      <c r="U147" t="str">
        <f t="shared" si="32"/>
        <v/>
      </c>
      <c r="V147" t="str">
        <f t="shared" si="32"/>
        <v/>
      </c>
      <c r="W147" t="str">
        <f t="shared" si="32"/>
        <v/>
      </c>
      <c r="X147" t="str">
        <f t="shared" si="32"/>
        <v/>
      </c>
      <c r="Y147" t="str">
        <f t="shared" si="32"/>
        <v/>
      </c>
      <c r="Z147" t="str">
        <f t="shared" si="32"/>
        <v/>
      </c>
      <c r="AA147" t="str">
        <f t="shared" si="32"/>
        <v/>
      </c>
      <c r="AB147" t="str">
        <f t="shared" si="32"/>
        <v/>
      </c>
      <c r="AC147">
        <f t="shared" si="28"/>
        <v>0</v>
      </c>
    </row>
    <row r="148" spans="1:29" x14ac:dyDescent="0.35">
      <c r="A148">
        <v>143</v>
      </c>
      <c r="B148" t="s">
        <v>11</v>
      </c>
      <c r="C148" t="s">
        <v>832</v>
      </c>
      <c r="D148" t="s">
        <v>833</v>
      </c>
      <c r="E148" t="s">
        <v>662</v>
      </c>
      <c r="F148" t="s">
        <v>673</v>
      </c>
      <c r="G148" t="s">
        <v>0</v>
      </c>
      <c r="H148">
        <v>1.18</v>
      </c>
      <c r="I148">
        <v>2.7149999999999999</v>
      </c>
      <c r="J148" t="s">
        <v>6</v>
      </c>
      <c r="K148" t="str">
        <f t="shared" si="31"/>
        <v/>
      </c>
      <c r="L148" t="str">
        <f t="shared" si="31"/>
        <v/>
      </c>
      <c r="M148" t="str">
        <f t="shared" si="31"/>
        <v/>
      </c>
      <c r="N148" t="str">
        <f t="shared" si="31"/>
        <v/>
      </c>
      <c r="O148" t="str">
        <f t="shared" si="31"/>
        <v/>
      </c>
      <c r="P148" t="str">
        <f t="shared" si="31"/>
        <v/>
      </c>
      <c r="Q148" t="str">
        <f t="shared" si="31"/>
        <v/>
      </c>
      <c r="R148" t="str">
        <f t="shared" si="31"/>
        <v/>
      </c>
      <c r="S148" t="str">
        <f t="shared" si="31"/>
        <v/>
      </c>
      <c r="T148" t="str">
        <f t="shared" si="31"/>
        <v/>
      </c>
      <c r="U148" t="str">
        <f t="shared" si="32"/>
        <v/>
      </c>
      <c r="V148" t="str">
        <f t="shared" si="32"/>
        <v/>
      </c>
      <c r="W148" t="str">
        <f t="shared" si="32"/>
        <v/>
      </c>
      <c r="X148" t="str">
        <f t="shared" si="32"/>
        <v/>
      </c>
      <c r="Y148" t="str">
        <f t="shared" si="32"/>
        <v/>
      </c>
      <c r="Z148" t="str">
        <f t="shared" si="32"/>
        <v/>
      </c>
      <c r="AA148" t="str">
        <f t="shared" si="32"/>
        <v/>
      </c>
      <c r="AB148" t="str">
        <f t="shared" si="32"/>
        <v/>
      </c>
      <c r="AC148">
        <f t="shared" si="28"/>
        <v>0</v>
      </c>
    </row>
    <row r="149" spans="1:29" x14ac:dyDescent="0.35">
      <c r="A149">
        <v>144</v>
      </c>
      <c r="B149" t="s">
        <v>11</v>
      </c>
      <c r="C149" t="s">
        <v>834</v>
      </c>
      <c r="D149" t="s">
        <v>835</v>
      </c>
      <c r="E149" t="s">
        <v>662</v>
      </c>
      <c r="F149" t="s">
        <v>673</v>
      </c>
      <c r="G149" t="s">
        <v>0</v>
      </c>
      <c r="H149">
        <v>1.07</v>
      </c>
      <c r="I149">
        <v>2.7149999999999999</v>
      </c>
      <c r="J149" t="s">
        <v>6</v>
      </c>
      <c r="K149">
        <f t="shared" si="31"/>
        <v>3</v>
      </c>
      <c r="L149" t="str">
        <f t="shared" si="31"/>
        <v/>
      </c>
      <c r="M149" t="str">
        <f t="shared" si="31"/>
        <v/>
      </c>
      <c r="N149" t="str">
        <f t="shared" si="31"/>
        <v/>
      </c>
      <c r="O149" t="str">
        <f t="shared" si="31"/>
        <v/>
      </c>
      <c r="P149" t="str">
        <f t="shared" si="31"/>
        <v/>
      </c>
      <c r="Q149" t="str">
        <f t="shared" si="31"/>
        <v/>
      </c>
      <c r="R149" t="str">
        <f t="shared" si="31"/>
        <v/>
      </c>
      <c r="S149" t="str">
        <f t="shared" si="31"/>
        <v/>
      </c>
      <c r="T149" t="str">
        <f t="shared" si="31"/>
        <v/>
      </c>
      <c r="U149" t="str">
        <f t="shared" si="32"/>
        <v/>
      </c>
      <c r="V149" t="str">
        <f t="shared" si="32"/>
        <v/>
      </c>
      <c r="W149" t="str">
        <f t="shared" si="32"/>
        <v/>
      </c>
      <c r="X149" t="str">
        <f t="shared" si="32"/>
        <v/>
      </c>
      <c r="Y149" t="str">
        <f t="shared" si="32"/>
        <v/>
      </c>
      <c r="Z149" t="str">
        <f t="shared" si="32"/>
        <v/>
      </c>
      <c r="AA149" t="str">
        <f t="shared" si="32"/>
        <v/>
      </c>
      <c r="AB149" t="str">
        <f t="shared" si="32"/>
        <v/>
      </c>
      <c r="AC149">
        <f t="shared" si="28"/>
        <v>3</v>
      </c>
    </row>
    <row r="150" spans="1:29" x14ac:dyDescent="0.35">
      <c r="A150">
        <v>145</v>
      </c>
      <c r="B150" t="s">
        <v>11</v>
      </c>
      <c r="C150" t="s">
        <v>840</v>
      </c>
      <c r="D150" t="s">
        <v>841</v>
      </c>
      <c r="E150" t="s">
        <v>662</v>
      </c>
      <c r="F150" t="s">
        <v>890</v>
      </c>
      <c r="G150" t="s">
        <v>0</v>
      </c>
      <c r="H150">
        <v>1.99</v>
      </c>
      <c r="I150">
        <v>2.7149999999999999</v>
      </c>
      <c r="J150" t="s">
        <v>6</v>
      </c>
      <c r="K150" t="str">
        <f t="shared" si="31"/>
        <v/>
      </c>
      <c r="L150" t="str">
        <f t="shared" si="31"/>
        <v/>
      </c>
      <c r="M150" t="str">
        <f t="shared" si="31"/>
        <v/>
      </c>
      <c r="N150" t="str">
        <f t="shared" si="31"/>
        <v/>
      </c>
      <c r="O150" t="str">
        <f t="shared" si="31"/>
        <v/>
      </c>
      <c r="P150" t="str">
        <f t="shared" si="31"/>
        <v/>
      </c>
      <c r="Q150" t="str">
        <f t="shared" si="31"/>
        <v/>
      </c>
      <c r="R150" t="str">
        <f t="shared" si="31"/>
        <v/>
      </c>
      <c r="S150" t="str">
        <f t="shared" si="31"/>
        <v/>
      </c>
      <c r="T150" t="str">
        <f t="shared" si="31"/>
        <v/>
      </c>
      <c r="U150" t="str">
        <f t="shared" si="32"/>
        <v/>
      </c>
      <c r="V150" t="str">
        <f t="shared" si="32"/>
        <v/>
      </c>
      <c r="W150" t="str">
        <f t="shared" si="32"/>
        <v/>
      </c>
      <c r="X150" t="str">
        <f t="shared" si="32"/>
        <v/>
      </c>
      <c r="Y150" t="str">
        <f t="shared" si="32"/>
        <v/>
      </c>
      <c r="Z150" t="str">
        <f t="shared" si="32"/>
        <v/>
      </c>
      <c r="AA150" t="str">
        <f t="shared" si="32"/>
        <v/>
      </c>
      <c r="AB150" t="str">
        <f t="shared" si="32"/>
        <v/>
      </c>
      <c r="AC150">
        <f t="shared" si="28"/>
        <v>0</v>
      </c>
    </row>
    <row r="151" spans="1:29" x14ac:dyDescent="0.35">
      <c r="A151">
        <v>146</v>
      </c>
      <c r="B151" t="s">
        <v>11</v>
      </c>
      <c r="C151" t="s">
        <v>846</v>
      </c>
      <c r="D151" t="s">
        <v>847</v>
      </c>
      <c r="E151" t="s">
        <v>662</v>
      </c>
      <c r="F151" t="s">
        <v>516</v>
      </c>
      <c r="G151" t="s">
        <v>0</v>
      </c>
      <c r="H151">
        <v>1.9</v>
      </c>
      <c r="I151">
        <v>2.7149999999999999</v>
      </c>
      <c r="J151" t="s">
        <v>6</v>
      </c>
      <c r="K151" t="str">
        <f t="shared" si="31"/>
        <v/>
      </c>
      <c r="L151" t="str">
        <f t="shared" si="31"/>
        <v/>
      </c>
      <c r="M151" t="str">
        <f t="shared" si="31"/>
        <v/>
      </c>
      <c r="N151" t="str">
        <f t="shared" si="31"/>
        <v/>
      </c>
      <c r="O151" t="str">
        <f t="shared" si="31"/>
        <v/>
      </c>
      <c r="P151" t="str">
        <f t="shared" si="31"/>
        <v/>
      </c>
      <c r="Q151" t="str">
        <f t="shared" si="31"/>
        <v/>
      </c>
      <c r="R151" t="str">
        <f t="shared" si="31"/>
        <v/>
      </c>
      <c r="S151" t="str">
        <f t="shared" si="31"/>
        <v/>
      </c>
      <c r="T151" t="str">
        <f t="shared" si="31"/>
        <v/>
      </c>
      <c r="U151" t="str">
        <f t="shared" si="32"/>
        <v/>
      </c>
      <c r="V151" t="str">
        <f t="shared" si="32"/>
        <v/>
      </c>
      <c r="W151" t="str">
        <f t="shared" si="32"/>
        <v/>
      </c>
      <c r="X151" t="str">
        <f t="shared" si="32"/>
        <v/>
      </c>
      <c r="Y151" t="str">
        <f t="shared" si="32"/>
        <v/>
      </c>
      <c r="Z151" t="str">
        <f t="shared" si="32"/>
        <v/>
      </c>
      <c r="AA151" t="str">
        <f t="shared" si="32"/>
        <v/>
      </c>
      <c r="AB151" t="str">
        <f t="shared" si="32"/>
        <v/>
      </c>
      <c r="AC151">
        <f t="shared" si="28"/>
        <v>0</v>
      </c>
    </row>
    <row r="152" spans="1:29" x14ac:dyDescent="0.35">
      <c r="A152">
        <v>147</v>
      </c>
      <c r="B152" t="s">
        <v>11</v>
      </c>
      <c r="C152" t="s">
        <v>848</v>
      </c>
      <c r="D152" t="s">
        <v>849</v>
      </c>
      <c r="E152" t="s">
        <v>662</v>
      </c>
      <c r="F152" t="s">
        <v>516</v>
      </c>
      <c r="G152" t="s">
        <v>2</v>
      </c>
      <c r="H152">
        <v>1.67</v>
      </c>
      <c r="I152">
        <v>2.7149999999999999</v>
      </c>
      <c r="J152" t="s">
        <v>6</v>
      </c>
      <c r="K152" t="str">
        <f t="shared" si="31"/>
        <v/>
      </c>
      <c r="L152" t="str">
        <f t="shared" si="31"/>
        <v/>
      </c>
      <c r="M152" t="str">
        <f t="shared" si="31"/>
        <v/>
      </c>
      <c r="N152" t="str">
        <f t="shared" si="31"/>
        <v/>
      </c>
      <c r="O152" t="str">
        <f t="shared" si="31"/>
        <v/>
      </c>
      <c r="P152" t="str">
        <f t="shared" si="31"/>
        <v/>
      </c>
      <c r="Q152" t="str">
        <f t="shared" si="31"/>
        <v/>
      </c>
      <c r="R152" t="str">
        <f t="shared" si="31"/>
        <v/>
      </c>
      <c r="S152" t="str">
        <f t="shared" si="31"/>
        <v/>
      </c>
      <c r="T152" t="str">
        <f t="shared" si="31"/>
        <v/>
      </c>
      <c r="U152" t="str">
        <f t="shared" si="32"/>
        <v/>
      </c>
      <c r="V152" t="str">
        <f t="shared" si="32"/>
        <v/>
      </c>
      <c r="W152" t="str">
        <f t="shared" si="32"/>
        <v/>
      </c>
      <c r="X152" t="str">
        <f t="shared" si="32"/>
        <v/>
      </c>
      <c r="Y152" t="str">
        <f t="shared" si="32"/>
        <v/>
      </c>
      <c r="Z152" t="str">
        <f t="shared" si="32"/>
        <v/>
      </c>
      <c r="AA152" t="str">
        <f t="shared" si="32"/>
        <v/>
      </c>
      <c r="AB152" t="str">
        <f t="shared" si="32"/>
        <v/>
      </c>
      <c r="AC152">
        <f t="shared" si="28"/>
        <v>0</v>
      </c>
    </row>
    <row r="153" spans="1:29" x14ac:dyDescent="0.35">
      <c r="A153">
        <v>148</v>
      </c>
      <c r="B153" t="s">
        <v>11</v>
      </c>
      <c r="C153" t="s">
        <v>853</v>
      </c>
      <c r="D153" t="s">
        <v>854</v>
      </c>
      <c r="E153" t="s">
        <v>891</v>
      </c>
      <c r="F153" t="s">
        <v>516</v>
      </c>
      <c r="G153" t="s">
        <v>0</v>
      </c>
      <c r="H153">
        <v>2.02</v>
      </c>
      <c r="I153">
        <v>2.7149999999999999</v>
      </c>
      <c r="J153" t="s">
        <v>6</v>
      </c>
      <c r="K153" t="str">
        <f t="shared" si="31"/>
        <v/>
      </c>
      <c r="L153" t="str">
        <f t="shared" si="31"/>
        <v/>
      </c>
      <c r="M153" t="str">
        <f t="shared" si="31"/>
        <v/>
      </c>
      <c r="N153" t="str">
        <f t="shared" si="31"/>
        <v/>
      </c>
      <c r="O153" t="str">
        <f t="shared" si="31"/>
        <v/>
      </c>
      <c r="P153" t="str">
        <f t="shared" si="31"/>
        <v/>
      </c>
      <c r="Q153" t="str">
        <f t="shared" si="31"/>
        <v/>
      </c>
      <c r="R153" t="str">
        <f t="shared" si="31"/>
        <v/>
      </c>
      <c r="S153" t="str">
        <f t="shared" si="31"/>
        <v/>
      </c>
      <c r="T153" t="str">
        <f t="shared" si="31"/>
        <v/>
      </c>
      <c r="U153" t="str">
        <f t="shared" si="32"/>
        <v/>
      </c>
      <c r="V153" t="str">
        <f t="shared" si="32"/>
        <v/>
      </c>
      <c r="W153" t="str">
        <f t="shared" si="32"/>
        <v/>
      </c>
      <c r="X153" t="str">
        <f t="shared" si="32"/>
        <v/>
      </c>
      <c r="Y153" t="str">
        <f t="shared" si="32"/>
        <v/>
      </c>
      <c r="Z153" t="str">
        <f t="shared" si="32"/>
        <v/>
      </c>
      <c r="AA153" t="str">
        <f t="shared" si="32"/>
        <v/>
      </c>
      <c r="AB153" t="str">
        <f t="shared" si="32"/>
        <v/>
      </c>
      <c r="AC153">
        <f t="shared" si="28"/>
        <v>0</v>
      </c>
    </row>
    <row r="154" spans="1:29" x14ac:dyDescent="0.35">
      <c r="A154">
        <v>149</v>
      </c>
      <c r="B154" t="s">
        <v>11</v>
      </c>
      <c r="C154" t="s">
        <v>862</v>
      </c>
      <c r="D154" t="s">
        <v>863</v>
      </c>
      <c r="E154" t="s">
        <v>892</v>
      </c>
      <c r="F154" t="s">
        <v>890</v>
      </c>
      <c r="G154" t="s">
        <v>0</v>
      </c>
      <c r="H154">
        <v>1.96</v>
      </c>
      <c r="I154">
        <v>2.7149999999999999</v>
      </c>
      <c r="J154" t="s">
        <v>6</v>
      </c>
      <c r="K154" t="str">
        <f t="shared" si="31"/>
        <v/>
      </c>
      <c r="L154" t="str">
        <f t="shared" si="31"/>
        <v/>
      </c>
      <c r="M154" t="str">
        <f t="shared" si="31"/>
        <v/>
      </c>
      <c r="N154" t="str">
        <f t="shared" si="31"/>
        <v/>
      </c>
      <c r="O154" t="str">
        <f t="shared" si="31"/>
        <v/>
      </c>
      <c r="P154" t="str">
        <f t="shared" si="31"/>
        <v/>
      </c>
      <c r="Q154" t="str">
        <f t="shared" si="31"/>
        <v/>
      </c>
      <c r="R154" t="str">
        <f t="shared" si="31"/>
        <v/>
      </c>
      <c r="S154" t="str">
        <f t="shared" si="31"/>
        <v/>
      </c>
      <c r="T154" t="str">
        <f t="shared" si="31"/>
        <v/>
      </c>
      <c r="U154" t="str">
        <f t="shared" si="32"/>
        <v/>
      </c>
      <c r="V154" t="str">
        <f t="shared" si="32"/>
        <v/>
      </c>
      <c r="W154" t="str">
        <f t="shared" si="32"/>
        <v/>
      </c>
      <c r="X154" t="str">
        <f t="shared" si="32"/>
        <v/>
      </c>
      <c r="Y154" t="str">
        <f t="shared" si="32"/>
        <v/>
      </c>
      <c r="Z154" t="str">
        <f t="shared" si="32"/>
        <v/>
      </c>
      <c r="AA154" t="str">
        <f t="shared" si="32"/>
        <v/>
      </c>
      <c r="AB154" t="str">
        <f t="shared" si="32"/>
        <v/>
      </c>
      <c r="AC154">
        <f t="shared" si="28"/>
        <v>0</v>
      </c>
    </row>
    <row r="155" spans="1:29" x14ac:dyDescent="0.35">
      <c r="A155">
        <v>150</v>
      </c>
      <c r="B155" t="s">
        <v>11</v>
      </c>
      <c r="C155" t="s">
        <v>864</v>
      </c>
      <c r="D155" t="s">
        <v>865</v>
      </c>
      <c r="E155" t="s">
        <v>662</v>
      </c>
      <c r="F155" t="s">
        <v>516</v>
      </c>
      <c r="G155" t="s">
        <v>2</v>
      </c>
      <c r="H155">
        <v>1.02</v>
      </c>
      <c r="I155">
        <v>2.7149999999999999</v>
      </c>
      <c r="J155" t="s">
        <v>6</v>
      </c>
      <c r="K155" t="str">
        <f t="shared" si="31"/>
        <v/>
      </c>
      <c r="L155" t="str">
        <f t="shared" si="31"/>
        <v/>
      </c>
      <c r="M155" t="str">
        <f t="shared" si="31"/>
        <v/>
      </c>
      <c r="N155" t="str">
        <f t="shared" si="31"/>
        <v/>
      </c>
      <c r="O155" t="str">
        <f t="shared" si="31"/>
        <v/>
      </c>
      <c r="P155" t="str">
        <f t="shared" si="31"/>
        <v/>
      </c>
      <c r="Q155" t="str">
        <f t="shared" si="31"/>
        <v/>
      </c>
      <c r="R155" t="str">
        <f t="shared" si="31"/>
        <v/>
      </c>
      <c r="S155" t="str">
        <f t="shared" si="31"/>
        <v/>
      </c>
      <c r="T155" t="str">
        <f t="shared" si="31"/>
        <v/>
      </c>
      <c r="U155" t="str">
        <f t="shared" si="32"/>
        <v/>
      </c>
      <c r="V155" t="str">
        <f t="shared" si="32"/>
        <v/>
      </c>
      <c r="W155" t="str">
        <f t="shared" si="32"/>
        <v/>
      </c>
      <c r="X155" t="str">
        <f t="shared" si="32"/>
        <v/>
      </c>
      <c r="Y155" t="str">
        <f t="shared" si="32"/>
        <v/>
      </c>
      <c r="Z155" t="str">
        <f t="shared" si="32"/>
        <v/>
      </c>
      <c r="AA155" t="str">
        <f t="shared" si="32"/>
        <v/>
      </c>
      <c r="AB155" t="str">
        <f t="shared" si="32"/>
        <v/>
      </c>
      <c r="AC155">
        <f t="shared" si="28"/>
        <v>0</v>
      </c>
    </row>
    <row r="156" spans="1:29" x14ac:dyDescent="0.35">
      <c r="A156">
        <v>151</v>
      </c>
      <c r="B156" t="s">
        <v>11</v>
      </c>
      <c r="C156" t="s">
        <v>866</v>
      </c>
      <c r="D156" t="s">
        <v>867</v>
      </c>
      <c r="E156" t="s">
        <v>662</v>
      </c>
      <c r="F156" t="s">
        <v>516</v>
      </c>
      <c r="G156" t="s">
        <v>2</v>
      </c>
      <c r="H156">
        <v>1.27</v>
      </c>
      <c r="I156">
        <v>2.7149999999999999</v>
      </c>
      <c r="J156" t="s">
        <v>6</v>
      </c>
      <c r="K156" t="str">
        <f t="shared" ref="K156:T165" si="33">IFERROR(IFERROR(IF(K$5=$K$1,VLOOKUP($A156,dormitorios,2,0),IF(K$5=$L$1,VLOOKUP($A156,comedor,2,0),IF(K$5=$M$1,VLOOKUP($A156,alojamiento,2,0),IF(K$5=$N$1,VLOOKUP($A156,sanidad,2,0),IF(K$5=$O$1,VLOOKUP($A156,servicios,2,0),IF(K$5=$P$1,VLOOKUP($A156,comyaloj,2,0),IF(K$5=$Q$1,VLOOKUP($A156,comandancia,2,0),IF(K$5=$R$1,VLOOKUP($A156,mantenimiento,2,0),IF(K$5=$S$1,VLOOKUP($A156,serestatal,2,0),IF(K$5=$T$1,VLOOKUP($A156,conferencias,2,0),"")))))))))),"")*K$3,"")</f>
        <v/>
      </c>
      <c r="L156" t="str">
        <f t="shared" si="33"/>
        <v/>
      </c>
      <c r="M156" t="str">
        <f t="shared" si="33"/>
        <v/>
      </c>
      <c r="N156" t="str">
        <f t="shared" si="33"/>
        <v/>
      </c>
      <c r="O156" t="str">
        <f t="shared" si="33"/>
        <v/>
      </c>
      <c r="P156" t="str">
        <f t="shared" si="33"/>
        <v/>
      </c>
      <c r="Q156" t="str">
        <f t="shared" si="33"/>
        <v/>
      </c>
      <c r="R156" t="str">
        <f t="shared" si="33"/>
        <v/>
      </c>
      <c r="S156" t="str">
        <f t="shared" si="33"/>
        <v/>
      </c>
      <c r="T156" t="str">
        <f t="shared" si="33"/>
        <v/>
      </c>
      <c r="U156" t="str">
        <f t="shared" ref="U156:AB165" si="34">IFERROR(IFERROR(IF(U$5=$K$1,VLOOKUP($A156,dormitorios,2,0),IF(U$5=$L$1,VLOOKUP($A156,comedor,2,0),IF(U$5=$M$1,VLOOKUP($A156,alojamiento,2,0),IF(U$5=$N$1,VLOOKUP($A156,sanidad,2,0),IF(U$5=$O$1,VLOOKUP($A156,servicios,2,0),IF(U$5=$P$1,VLOOKUP($A156,comyaloj,2,0),IF(U$5=$Q$1,VLOOKUP($A156,comandancia,2,0),IF(U$5=$R$1,VLOOKUP($A156,mantenimiento,2,0),IF(U$5=$S$1,VLOOKUP($A156,serestatal,2,0),IF(U$5=$T$1,VLOOKUP($A156,conferencias,2,0),"")))))))))),"")*U$3,"")</f>
        <v/>
      </c>
      <c r="V156" t="str">
        <f t="shared" si="34"/>
        <v/>
      </c>
      <c r="W156" t="str">
        <f t="shared" si="34"/>
        <v/>
      </c>
      <c r="X156" t="str">
        <f t="shared" si="34"/>
        <v/>
      </c>
      <c r="Y156" t="str">
        <f t="shared" si="34"/>
        <v/>
      </c>
      <c r="Z156" t="str">
        <f t="shared" si="34"/>
        <v/>
      </c>
      <c r="AA156" t="str">
        <f t="shared" si="34"/>
        <v/>
      </c>
      <c r="AB156" t="str">
        <f t="shared" si="34"/>
        <v/>
      </c>
      <c r="AC156">
        <f t="shared" si="28"/>
        <v>0</v>
      </c>
    </row>
    <row r="157" spans="1:29" x14ac:dyDescent="0.35">
      <c r="A157">
        <v>152</v>
      </c>
      <c r="B157" t="s">
        <v>11</v>
      </c>
      <c r="C157" t="s">
        <v>868</v>
      </c>
      <c r="D157" t="s">
        <v>869</v>
      </c>
      <c r="E157" t="s">
        <v>662</v>
      </c>
      <c r="F157" t="s">
        <v>516</v>
      </c>
      <c r="G157" t="s">
        <v>0</v>
      </c>
      <c r="H157">
        <v>1.6</v>
      </c>
      <c r="I157">
        <v>2.7149999999999999</v>
      </c>
      <c r="J157" t="s">
        <v>6</v>
      </c>
      <c r="K157" t="str">
        <f t="shared" si="33"/>
        <v/>
      </c>
      <c r="L157" t="str">
        <f t="shared" si="33"/>
        <v/>
      </c>
      <c r="M157" t="str">
        <f t="shared" si="33"/>
        <v/>
      </c>
      <c r="N157" t="str">
        <f t="shared" si="33"/>
        <v/>
      </c>
      <c r="O157" t="str">
        <f t="shared" si="33"/>
        <v/>
      </c>
      <c r="P157" t="str">
        <f t="shared" si="33"/>
        <v/>
      </c>
      <c r="Q157" t="str">
        <f t="shared" si="33"/>
        <v/>
      </c>
      <c r="R157" t="str">
        <f t="shared" si="33"/>
        <v/>
      </c>
      <c r="S157" t="str">
        <f t="shared" si="33"/>
        <v/>
      </c>
      <c r="T157" t="str">
        <f t="shared" si="33"/>
        <v/>
      </c>
      <c r="U157" t="str">
        <f t="shared" si="34"/>
        <v/>
      </c>
      <c r="V157" t="str">
        <f t="shared" si="34"/>
        <v/>
      </c>
      <c r="W157" t="str">
        <f t="shared" si="34"/>
        <v/>
      </c>
      <c r="X157" t="str">
        <f t="shared" si="34"/>
        <v/>
      </c>
      <c r="Y157" t="str">
        <f t="shared" si="34"/>
        <v/>
      </c>
      <c r="Z157" t="str">
        <f t="shared" si="34"/>
        <v/>
      </c>
      <c r="AA157" t="str">
        <f t="shared" si="34"/>
        <v/>
      </c>
      <c r="AB157" t="str">
        <f t="shared" si="34"/>
        <v/>
      </c>
      <c r="AC157">
        <f t="shared" si="28"/>
        <v>0</v>
      </c>
    </row>
    <row r="158" spans="1:29" x14ac:dyDescent="0.35">
      <c r="A158">
        <v>153</v>
      </c>
      <c r="B158" t="s">
        <v>11</v>
      </c>
      <c r="C158" t="s">
        <v>883</v>
      </c>
      <c r="D158" t="s">
        <v>881</v>
      </c>
      <c r="E158" t="s">
        <v>662</v>
      </c>
      <c r="F158" t="s">
        <v>673</v>
      </c>
      <c r="G158" t="s">
        <v>0</v>
      </c>
      <c r="H158">
        <v>2.0499999999999998</v>
      </c>
      <c r="I158">
        <v>2.7149999999999999</v>
      </c>
      <c r="J158" t="s">
        <v>6</v>
      </c>
      <c r="K158" t="str">
        <f t="shared" si="33"/>
        <v/>
      </c>
      <c r="L158" t="str">
        <f t="shared" si="33"/>
        <v/>
      </c>
      <c r="M158" t="str">
        <f t="shared" si="33"/>
        <v/>
      </c>
      <c r="N158" t="str">
        <f t="shared" si="33"/>
        <v/>
      </c>
      <c r="O158" t="str">
        <f t="shared" si="33"/>
        <v/>
      </c>
      <c r="P158" t="str">
        <f t="shared" si="33"/>
        <v/>
      </c>
      <c r="Q158" t="str">
        <f t="shared" si="33"/>
        <v/>
      </c>
      <c r="R158" t="str">
        <f t="shared" si="33"/>
        <v/>
      </c>
      <c r="S158" t="str">
        <f t="shared" si="33"/>
        <v/>
      </c>
      <c r="T158" t="str">
        <f t="shared" si="33"/>
        <v/>
      </c>
      <c r="U158" t="str">
        <f t="shared" si="34"/>
        <v/>
      </c>
      <c r="V158" t="str">
        <f t="shared" si="34"/>
        <v/>
      </c>
      <c r="W158" t="str">
        <f t="shared" si="34"/>
        <v/>
      </c>
      <c r="X158" t="str">
        <f t="shared" si="34"/>
        <v/>
      </c>
      <c r="Y158" t="str">
        <f t="shared" si="34"/>
        <v/>
      </c>
      <c r="Z158" t="str">
        <f t="shared" si="34"/>
        <v/>
      </c>
      <c r="AA158" t="str">
        <f t="shared" si="34"/>
        <v/>
      </c>
      <c r="AB158" t="str">
        <f t="shared" si="34"/>
        <v/>
      </c>
      <c r="AC158">
        <f t="shared" si="28"/>
        <v>0</v>
      </c>
    </row>
    <row r="159" spans="1:29" x14ac:dyDescent="0.35">
      <c r="A159">
        <v>154</v>
      </c>
      <c r="B159" t="s">
        <v>11</v>
      </c>
      <c r="C159" t="s">
        <v>884</v>
      </c>
      <c r="D159" t="s">
        <v>882</v>
      </c>
      <c r="E159" t="s">
        <v>662</v>
      </c>
      <c r="F159" t="s">
        <v>673</v>
      </c>
      <c r="G159" t="s">
        <v>0</v>
      </c>
      <c r="H159">
        <v>1.96</v>
      </c>
      <c r="I159">
        <v>2.7149999999999999</v>
      </c>
      <c r="J159" t="s">
        <v>6</v>
      </c>
      <c r="K159" t="str">
        <f t="shared" si="33"/>
        <v/>
      </c>
      <c r="L159" t="str">
        <f t="shared" si="33"/>
        <v/>
      </c>
      <c r="M159" t="str">
        <f t="shared" si="33"/>
        <v/>
      </c>
      <c r="N159" t="str">
        <f t="shared" si="33"/>
        <v/>
      </c>
      <c r="O159" t="str">
        <f t="shared" si="33"/>
        <v/>
      </c>
      <c r="P159" t="str">
        <f t="shared" si="33"/>
        <v/>
      </c>
      <c r="Q159" t="str">
        <f t="shared" si="33"/>
        <v/>
      </c>
      <c r="R159" t="str">
        <f t="shared" si="33"/>
        <v/>
      </c>
      <c r="S159" t="str">
        <f t="shared" si="33"/>
        <v/>
      </c>
      <c r="T159" t="str">
        <f t="shared" si="33"/>
        <v/>
      </c>
      <c r="U159" t="str">
        <f t="shared" si="34"/>
        <v/>
      </c>
      <c r="V159" t="str">
        <f t="shared" si="34"/>
        <v/>
      </c>
      <c r="W159" t="str">
        <f t="shared" si="34"/>
        <v/>
      </c>
      <c r="X159" t="str">
        <f t="shared" si="34"/>
        <v/>
      </c>
      <c r="Y159" t="str">
        <f t="shared" si="34"/>
        <v/>
      </c>
      <c r="Z159" t="str">
        <f t="shared" si="34"/>
        <v/>
      </c>
      <c r="AA159" t="str">
        <f t="shared" si="34"/>
        <v/>
      </c>
      <c r="AB159" t="str">
        <f t="shared" si="34"/>
        <v/>
      </c>
      <c r="AC159">
        <f t="shared" si="28"/>
        <v>0</v>
      </c>
    </row>
    <row r="160" spans="1:29" x14ac:dyDescent="0.35">
      <c r="A160">
        <v>155</v>
      </c>
      <c r="B160" t="s">
        <v>11</v>
      </c>
      <c r="C160" t="s">
        <v>905</v>
      </c>
      <c r="D160" t="s">
        <v>906</v>
      </c>
      <c r="E160" t="s">
        <v>662</v>
      </c>
      <c r="F160" t="s">
        <v>673</v>
      </c>
      <c r="G160" t="s">
        <v>0</v>
      </c>
      <c r="H160">
        <v>1.26</v>
      </c>
      <c r="I160">
        <v>2.7149999999999999</v>
      </c>
      <c r="J160" t="s">
        <v>6</v>
      </c>
      <c r="K160" t="str">
        <f t="shared" si="33"/>
        <v/>
      </c>
      <c r="L160" t="str">
        <f t="shared" si="33"/>
        <v/>
      </c>
      <c r="M160" t="str">
        <f t="shared" si="33"/>
        <v/>
      </c>
      <c r="N160" t="str">
        <f t="shared" si="33"/>
        <v/>
      </c>
      <c r="O160" t="str">
        <f t="shared" si="33"/>
        <v/>
      </c>
      <c r="P160" t="str">
        <f t="shared" si="33"/>
        <v/>
      </c>
      <c r="Q160" t="str">
        <f t="shared" si="33"/>
        <v/>
      </c>
      <c r="R160" t="str">
        <f t="shared" si="33"/>
        <v/>
      </c>
      <c r="S160" t="str">
        <f t="shared" si="33"/>
        <v/>
      </c>
      <c r="T160" t="str">
        <f t="shared" si="33"/>
        <v/>
      </c>
      <c r="U160" t="str">
        <f t="shared" si="34"/>
        <v/>
      </c>
      <c r="V160" t="str">
        <f t="shared" si="34"/>
        <v/>
      </c>
      <c r="W160" t="str">
        <f t="shared" si="34"/>
        <v/>
      </c>
      <c r="X160" t="str">
        <f t="shared" si="34"/>
        <v/>
      </c>
      <c r="Y160" t="str">
        <f t="shared" si="34"/>
        <v/>
      </c>
      <c r="Z160" t="str">
        <f t="shared" si="34"/>
        <v/>
      </c>
      <c r="AA160" t="str">
        <f t="shared" si="34"/>
        <v/>
      </c>
      <c r="AB160" t="str">
        <f t="shared" si="34"/>
        <v/>
      </c>
      <c r="AC160">
        <f t="shared" si="28"/>
        <v>0</v>
      </c>
    </row>
    <row r="161" spans="1:29" x14ac:dyDescent="0.35">
      <c r="A161">
        <v>156</v>
      </c>
      <c r="B161" t="s">
        <v>11</v>
      </c>
      <c r="C161" t="s">
        <v>916</v>
      </c>
      <c r="D161" t="s">
        <v>917</v>
      </c>
      <c r="E161" t="s">
        <v>662</v>
      </c>
      <c r="F161" t="s">
        <v>516</v>
      </c>
      <c r="G161" t="s">
        <v>2</v>
      </c>
      <c r="H161">
        <v>0.75</v>
      </c>
      <c r="I161">
        <v>2.7149999999999999</v>
      </c>
      <c r="J161" t="s">
        <v>6</v>
      </c>
      <c r="K161" t="str">
        <f t="shared" si="33"/>
        <v/>
      </c>
      <c r="L161" t="str">
        <f t="shared" si="33"/>
        <v/>
      </c>
      <c r="M161" t="str">
        <f t="shared" si="33"/>
        <v/>
      </c>
      <c r="N161" t="str">
        <f t="shared" si="33"/>
        <v/>
      </c>
      <c r="O161" t="str">
        <f t="shared" si="33"/>
        <v/>
      </c>
      <c r="P161" t="str">
        <f t="shared" si="33"/>
        <v/>
      </c>
      <c r="Q161" t="str">
        <f t="shared" si="33"/>
        <v/>
      </c>
      <c r="R161" t="str">
        <f t="shared" si="33"/>
        <v/>
      </c>
      <c r="S161" t="str">
        <f t="shared" si="33"/>
        <v/>
      </c>
      <c r="T161" t="str">
        <f t="shared" si="33"/>
        <v/>
      </c>
      <c r="U161" t="str">
        <f t="shared" si="34"/>
        <v/>
      </c>
      <c r="V161" t="str">
        <f t="shared" si="34"/>
        <v/>
      </c>
      <c r="W161" t="str">
        <f t="shared" si="34"/>
        <v/>
      </c>
      <c r="X161" t="str">
        <f t="shared" si="34"/>
        <v/>
      </c>
      <c r="Y161" t="str">
        <f t="shared" si="34"/>
        <v/>
      </c>
      <c r="Z161" t="str">
        <f t="shared" si="34"/>
        <v/>
      </c>
      <c r="AA161" t="str">
        <f t="shared" si="34"/>
        <v/>
      </c>
      <c r="AB161" t="str">
        <f t="shared" si="34"/>
        <v/>
      </c>
      <c r="AC161">
        <f t="shared" si="28"/>
        <v>0</v>
      </c>
    </row>
    <row r="162" spans="1:29" x14ac:dyDescent="0.35">
      <c r="A162">
        <v>157</v>
      </c>
      <c r="B162" t="s">
        <v>11</v>
      </c>
      <c r="C162" t="s">
        <v>921</v>
      </c>
      <c r="D162" t="s">
        <v>922</v>
      </c>
      <c r="E162" t="s">
        <v>662</v>
      </c>
      <c r="F162" t="s">
        <v>516</v>
      </c>
      <c r="G162" t="s">
        <v>2</v>
      </c>
      <c r="H162">
        <v>1.31</v>
      </c>
      <c r="I162">
        <v>2.7149999999999999</v>
      </c>
      <c r="J162" t="s">
        <v>6</v>
      </c>
      <c r="K162" t="str">
        <f t="shared" si="33"/>
        <v/>
      </c>
      <c r="L162" t="str">
        <f t="shared" si="33"/>
        <v/>
      </c>
      <c r="M162" t="str">
        <f t="shared" si="33"/>
        <v/>
      </c>
      <c r="N162" t="str">
        <f t="shared" si="33"/>
        <v/>
      </c>
      <c r="O162" t="str">
        <f t="shared" si="33"/>
        <v/>
      </c>
      <c r="P162" t="str">
        <f t="shared" si="33"/>
        <v/>
      </c>
      <c r="Q162" t="str">
        <f t="shared" si="33"/>
        <v/>
      </c>
      <c r="R162" t="str">
        <f t="shared" si="33"/>
        <v/>
      </c>
      <c r="S162" t="str">
        <f t="shared" si="33"/>
        <v/>
      </c>
      <c r="T162" t="str">
        <f t="shared" si="33"/>
        <v/>
      </c>
      <c r="U162" t="str">
        <f t="shared" si="34"/>
        <v/>
      </c>
      <c r="V162" t="str">
        <f t="shared" si="34"/>
        <v/>
      </c>
      <c r="W162" t="str">
        <f t="shared" si="34"/>
        <v/>
      </c>
      <c r="X162" t="str">
        <f t="shared" si="34"/>
        <v/>
      </c>
      <c r="Y162" t="str">
        <f t="shared" si="34"/>
        <v/>
      </c>
      <c r="Z162" t="str">
        <f t="shared" si="34"/>
        <v/>
      </c>
      <c r="AA162" t="str">
        <f t="shared" si="34"/>
        <v/>
      </c>
      <c r="AB162" t="str">
        <f t="shared" si="34"/>
        <v/>
      </c>
      <c r="AC162">
        <f t="shared" si="28"/>
        <v>0</v>
      </c>
    </row>
    <row r="163" spans="1:29" x14ac:dyDescent="0.35">
      <c r="A163">
        <v>158</v>
      </c>
      <c r="B163" t="s">
        <v>11</v>
      </c>
      <c r="C163" t="s">
        <v>936</v>
      </c>
      <c r="D163" t="s">
        <v>923</v>
      </c>
      <c r="E163" t="s">
        <v>662</v>
      </c>
      <c r="F163" t="s">
        <v>673</v>
      </c>
      <c r="G163" t="s">
        <v>2</v>
      </c>
      <c r="H163">
        <v>1.31</v>
      </c>
      <c r="I163">
        <v>2.7149999999999999</v>
      </c>
      <c r="J163" t="s">
        <v>6</v>
      </c>
      <c r="K163" t="str">
        <f t="shared" si="33"/>
        <v/>
      </c>
      <c r="L163" t="str">
        <f t="shared" si="33"/>
        <v/>
      </c>
      <c r="M163" t="str">
        <f t="shared" si="33"/>
        <v/>
      </c>
      <c r="N163" t="str">
        <f t="shared" si="33"/>
        <v/>
      </c>
      <c r="O163" t="str">
        <f t="shared" si="33"/>
        <v/>
      </c>
      <c r="P163" t="str">
        <f t="shared" si="33"/>
        <v/>
      </c>
      <c r="Q163" t="str">
        <f t="shared" si="33"/>
        <v/>
      </c>
      <c r="R163" t="str">
        <f t="shared" si="33"/>
        <v/>
      </c>
      <c r="S163" t="str">
        <f t="shared" si="33"/>
        <v/>
      </c>
      <c r="T163" t="str">
        <f t="shared" si="33"/>
        <v/>
      </c>
      <c r="U163" t="str">
        <f t="shared" si="34"/>
        <v/>
      </c>
      <c r="V163" t="str">
        <f t="shared" si="34"/>
        <v/>
      </c>
      <c r="W163" t="str">
        <f t="shared" si="34"/>
        <v/>
      </c>
      <c r="X163" t="str">
        <f t="shared" si="34"/>
        <v/>
      </c>
      <c r="Y163" t="str">
        <f t="shared" si="34"/>
        <v/>
      </c>
      <c r="Z163" t="str">
        <f t="shared" si="34"/>
        <v/>
      </c>
      <c r="AA163" t="str">
        <f t="shared" si="34"/>
        <v/>
      </c>
      <c r="AB163" t="str">
        <f t="shared" si="34"/>
        <v/>
      </c>
      <c r="AC163">
        <f t="shared" si="28"/>
        <v>0</v>
      </c>
    </row>
    <row r="164" spans="1:29" x14ac:dyDescent="0.35">
      <c r="A164">
        <v>159</v>
      </c>
      <c r="B164" t="s">
        <v>11</v>
      </c>
      <c r="C164" t="s">
        <v>937</v>
      </c>
      <c r="D164" t="s">
        <v>934</v>
      </c>
      <c r="E164" t="s">
        <v>662</v>
      </c>
      <c r="F164" t="s">
        <v>673</v>
      </c>
      <c r="G164" t="s">
        <v>0</v>
      </c>
      <c r="H164">
        <v>1.9490000000000001</v>
      </c>
      <c r="I164">
        <v>2.7149999999999999</v>
      </c>
      <c r="J164" t="s">
        <v>6</v>
      </c>
      <c r="K164" t="str">
        <f t="shared" si="33"/>
        <v/>
      </c>
      <c r="L164" t="str">
        <f t="shared" si="33"/>
        <v/>
      </c>
      <c r="M164" t="str">
        <f t="shared" si="33"/>
        <v/>
      </c>
      <c r="N164" t="str">
        <f t="shared" si="33"/>
        <v/>
      </c>
      <c r="O164" t="str">
        <f t="shared" si="33"/>
        <v/>
      </c>
      <c r="P164" t="str">
        <f t="shared" si="33"/>
        <v/>
      </c>
      <c r="Q164" t="str">
        <f t="shared" si="33"/>
        <v/>
      </c>
      <c r="R164" t="str">
        <f t="shared" si="33"/>
        <v/>
      </c>
      <c r="S164" t="str">
        <f t="shared" si="33"/>
        <v/>
      </c>
      <c r="T164" t="str">
        <f t="shared" si="33"/>
        <v/>
      </c>
      <c r="U164" t="str">
        <f t="shared" si="34"/>
        <v/>
      </c>
      <c r="V164" t="str">
        <f t="shared" si="34"/>
        <v/>
      </c>
      <c r="W164" t="str">
        <f t="shared" si="34"/>
        <v/>
      </c>
      <c r="X164" t="str">
        <f t="shared" si="34"/>
        <v/>
      </c>
      <c r="Y164" t="str">
        <f t="shared" si="34"/>
        <v/>
      </c>
      <c r="Z164" t="str">
        <f t="shared" si="34"/>
        <v/>
      </c>
      <c r="AA164" t="str">
        <f t="shared" si="34"/>
        <v/>
      </c>
      <c r="AB164" t="str">
        <f t="shared" si="34"/>
        <v/>
      </c>
      <c r="AC164">
        <f t="shared" si="28"/>
        <v>0</v>
      </c>
    </row>
    <row r="165" spans="1:29" x14ac:dyDescent="0.35">
      <c r="A165">
        <v>160</v>
      </c>
      <c r="B165" t="s">
        <v>11</v>
      </c>
      <c r="C165" t="s">
        <v>938</v>
      </c>
      <c r="D165" t="s">
        <v>935</v>
      </c>
      <c r="E165" t="s">
        <v>662</v>
      </c>
      <c r="F165" t="s">
        <v>673</v>
      </c>
      <c r="G165" t="s">
        <v>0</v>
      </c>
      <c r="H165">
        <v>1.968</v>
      </c>
      <c r="I165">
        <v>2.7149999999999999</v>
      </c>
      <c r="J165" t="s">
        <v>6</v>
      </c>
      <c r="K165">
        <f t="shared" si="33"/>
        <v>12</v>
      </c>
      <c r="L165" t="str">
        <f t="shared" si="33"/>
        <v/>
      </c>
      <c r="M165">
        <f t="shared" si="33"/>
        <v>4</v>
      </c>
      <c r="N165" t="str">
        <f t="shared" si="33"/>
        <v/>
      </c>
      <c r="O165" t="str">
        <f t="shared" si="33"/>
        <v/>
      </c>
      <c r="P165" t="str">
        <f t="shared" si="33"/>
        <v/>
      </c>
      <c r="Q165" t="str">
        <f t="shared" si="33"/>
        <v/>
      </c>
      <c r="R165" t="str">
        <f t="shared" si="33"/>
        <v/>
      </c>
      <c r="S165" t="str">
        <f t="shared" si="33"/>
        <v/>
      </c>
      <c r="T165" t="str">
        <f t="shared" si="33"/>
        <v/>
      </c>
      <c r="U165" t="str">
        <f t="shared" si="34"/>
        <v/>
      </c>
      <c r="V165" t="str">
        <f t="shared" si="34"/>
        <v/>
      </c>
      <c r="W165" t="str">
        <f t="shared" si="34"/>
        <v/>
      </c>
      <c r="X165" t="str">
        <f t="shared" si="34"/>
        <v/>
      </c>
      <c r="Y165" t="str">
        <f t="shared" si="34"/>
        <v/>
      </c>
      <c r="Z165" t="str">
        <f t="shared" si="34"/>
        <v/>
      </c>
      <c r="AA165" t="str">
        <f t="shared" si="34"/>
        <v/>
      </c>
      <c r="AB165" t="str">
        <f t="shared" si="34"/>
        <v/>
      </c>
      <c r="AC165">
        <f t="shared" si="28"/>
        <v>16</v>
      </c>
    </row>
    <row r="166" spans="1:29" x14ac:dyDescent="0.35">
      <c r="A166">
        <v>161</v>
      </c>
      <c r="B166" t="s">
        <v>11</v>
      </c>
      <c r="C166" t="s">
        <v>939</v>
      </c>
      <c r="D166" t="s">
        <v>940</v>
      </c>
      <c r="E166" t="s">
        <v>662</v>
      </c>
      <c r="F166" t="s">
        <v>516</v>
      </c>
      <c r="G166" t="s">
        <v>2</v>
      </c>
      <c r="H166">
        <v>1.9990000000000001</v>
      </c>
      <c r="I166">
        <v>2.7149999999999999</v>
      </c>
      <c r="J166" t="s">
        <v>6</v>
      </c>
      <c r="K166">
        <f t="shared" ref="K166:T175" si="35">IFERROR(IFERROR(IF(K$5=$K$1,VLOOKUP($A166,dormitorios,2,0),IF(K$5=$L$1,VLOOKUP($A166,comedor,2,0),IF(K$5=$M$1,VLOOKUP($A166,alojamiento,2,0),IF(K$5=$N$1,VLOOKUP($A166,sanidad,2,0),IF(K$5=$O$1,VLOOKUP($A166,servicios,2,0),IF(K$5=$P$1,VLOOKUP($A166,comyaloj,2,0),IF(K$5=$Q$1,VLOOKUP($A166,comandancia,2,0),IF(K$5=$R$1,VLOOKUP($A166,mantenimiento,2,0),IF(K$5=$S$1,VLOOKUP($A166,serestatal,2,0),IF(K$5=$T$1,VLOOKUP($A166,conferencias,2,0),"")))))))))),"")*K$3,"")</f>
        <v>12</v>
      </c>
      <c r="L166" t="str">
        <f t="shared" si="35"/>
        <v/>
      </c>
      <c r="M166">
        <f t="shared" si="35"/>
        <v>8</v>
      </c>
      <c r="N166" t="str">
        <f t="shared" si="35"/>
        <v/>
      </c>
      <c r="O166" t="str">
        <f t="shared" si="35"/>
        <v/>
      </c>
      <c r="P166" t="str">
        <f t="shared" si="35"/>
        <v/>
      </c>
      <c r="Q166" t="str">
        <f t="shared" si="35"/>
        <v/>
      </c>
      <c r="R166" t="str">
        <f t="shared" si="35"/>
        <v/>
      </c>
      <c r="S166" t="str">
        <f t="shared" si="35"/>
        <v/>
      </c>
      <c r="T166" t="str">
        <f t="shared" si="35"/>
        <v/>
      </c>
      <c r="U166" t="str">
        <f t="shared" ref="U166:AB175" si="36">IFERROR(IFERROR(IF(U$5=$K$1,VLOOKUP($A166,dormitorios,2,0),IF(U$5=$L$1,VLOOKUP($A166,comedor,2,0),IF(U$5=$M$1,VLOOKUP($A166,alojamiento,2,0),IF(U$5=$N$1,VLOOKUP($A166,sanidad,2,0),IF(U$5=$O$1,VLOOKUP($A166,servicios,2,0),IF(U$5=$P$1,VLOOKUP($A166,comyaloj,2,0),IF(U$5=$Q$1,VLOOKUP($A166,comandancia,2,0),IF(U$5=$R$1,VLOOKUP($A166,mantenimiento,2,0),IF(U$5=$S$1,VLOOKUP($A166,serestatal,2,0),IF(U$5=$T$1,VLOOKUP($A166,conferencias,2,0),"")))))))))),"")*U$3,"")</f>
        <v/>
      </c>
      <c r="V166" t="str">
        <f t="shared" si="36"/>
        <v/>
      </c>
      <c r="W166" t="str">
        <f t="shared" si="36"/>
        <v/>
      </c>
      <c r="X166" t="str">
        <f t="shared" si="36"/>
        <v/>
      </c>
      <c r="Y166" t="str">
        <f t="shared" si="36"/>
        <v/>
      </c>
      <c r="Z166" t="str">
        <f t="shared" si="36"/>
        <v/>
      </c>
      <c r="AA166" t="str">
        <f t="shared" si="36"/>
        <v/>
      </c>
      <c r="AB166" t="str">
        <f t="shared" si="36"/>
        <v/>
      </c>
      <c r="AC166">
        <f t="shared" si="28"/>
        <v>20</v>
      </c>
    </row>
    <row r="167" spans="1:29" x14ac:dyDescent="0.35">
      <c r="A167">
        <v>162</v>
      </c>
      <c r="B167" t="s">
        <v>11</v>
      </c>
      <c r="C167" t="s">
        <v>941</v>
      </c>
      <c r="D167" t="s">
        <v>942</v>
      </c>
      <c r="E167" t="s">
        <v>1</v>
      </c>
      <c r="F167" t="s">
        <v>889</v>
      </c>
      <c r="G167" t="s">
        <v>2</v>
      </c>
      <c r="H167">
        <v>1.9990000000000001</v>
      </c>
      <c r="I167">
        <v>2.7149999999999999</v>
      </c>
      <c r="J167" t="s">
        <v>6</v>
      </c>
      <c r="K167">
        <f t="shared" si="35"/>
        <v>6</v>
      </c>
      <c r="L167" t="str">
        <f t="shared" si="35"/>
        <v/>
      </c>
      <c r="M167" t="str">
        <f t="shared" si="35"/>
        <v/>
      </c>
      <c r="N167" t="str">
        <f t="shared" si="35"/>
        <v/>
      </c>
      <c r="O167" t="str">
        <f t="shared" si="35"/>
        <v/>
      </c>
      <c r="P167" t="str">
        <f t="shared" si="35"/>
        <v/>
      </c>
      <c r="Q167" t="str">
        <f t="shared" si="35"/>
        <v/>
      </c>
      <c r="R167" t="str">
        <f t="shared" si="35"/>
        <v/>
      </c>
      <c r="S167" t="str">
        <f t="shared" si="35"/>
        <v/>
      </c>
      <c r="T167" t="str">
        <f t="shared" si="35"/>
        <v/>
      </c>
      <c r="U167" t="str">
        <f t="shared" si="36"/>
        <v/>
      </c>
      <c r="V167" t="str">
        <f t="shared" si="36"/>
        <v/>
      </c>
      <c r="W167" t="str">
        <f t="shared" si="36"/>
        <v/>
      </c>
      <c r="X167" t="str">
        <f t="shared" si="36"/>
        <v/>
      </c>
      <c r="Y167" t="str">
        <f t="shared" si="36"/>
        <v/>
      </c>
      <c r="Z167" t="str">
        <f t="shared" si="36"/>
        <v/>
      </c>
      <c r="AA167" t="str">
        <f t="shared" si="36"/>
        <v/>
      </c>
      <c r="AB167" t="str">
        <f t="shared" si="36"/>
        <v/>
      </c>
      <c r="AC167">
        <f t="shared" si="28"/>
        <v>6</v>
      </c>
    </row>
    <row r="168" spans="1:29" x14ac:dyDescent="0.35">
      <c r="A168">
        <v>163</v>
      </c>
      <c r="B168" t="s">
        <v>11</v>
      </c>
      <c r="C168" t="s">
        <v>945</v>
      </c>
      <c r="D168" t="s">
        <v>946</v>
      </c>
      <c r="E168" t="s">
        <v>1</v>
      </c>
      <c r="F168" t="s">
        <v>889</v>
      </c>
      <c r="G168" t="s">
        <v>0</v>
      </c>
      <c r="H168">
        <v>1.968</v>
      </c>
      <c r="I168">
        <v>2.7149999999999999</v>
      </c>
      <c r="J168" t="s">
        <v>6</v>
      </c>
      <c r="K168">
        <f t="shared" si="35"/>
        <v>12</v>
      </c>
      <c r="L168" t="str">
        <f t="shared" si="35"/>
        <v/>
      </c>
      <c r="M168" t="str">
        <f t="shared" si="35"/>
        <v/>
      </c>
      <c r="N168" t="str">
        <f t="shared" si="35"/>
        <v/>
      </c>
      <c r="O168" t="str">
        <f t="shared" si="35"/>
        <v/>
      </c>
      <c r="P168" t="str">
        <f t="shared" si="35"/>
        <v/>
      </c>
      <c r="Q168" t="str">
        <f t="shared" si="35"/>
        <v/>
      </c>
      <c r="R168" t="str">
        <f t="shared" si="35"/>
        <v/>
      </c>
      <c r="S168" t="str">
        <f t="shared" si="35"/>
        <v/>
      </c>
      <c r="T168" t="str">
        <f t="shared" si="35"/>
        <v/>
      </c>
      <c r="U168" t="str">
        <f t="shared" si="36"/>
        <v/>
      </c>
      <c r="V168" t="str">
        <f t="shared" si="36"/>
        <v/>
      </c>
      <c r="W168" t="str">
        <f t="shared" si="36"/>
        <v/>
      </c>
      <c r="X168" t="str">
        <f t="shared" si="36"/>
        <v/>
      </c>
      <c r="Y168" t="str">
        <f t="shared" si="36"/>
        <v/>
      </c>
      <c r="Z168" t="str">
        <f t="shared" si="36"/>
        <v/>
      </c>
      <c r="AA168" t="str">
        <f t="shared" si="36"/>
        <v/>
      </c>
      <c r="AB168" t="str">
        <f t="shared" si="36"/>
        <v/>
      </c>
      <c r="AC168">
        <f t="shared" si="28"/>
        <v>12</v>
      </c>
    </row>
    <row r="169" spans="1:29" x14ac:dyDescent="0.35">
      <c r="A169">
        <v>164</v>
      </c>
      <c r="B169" t="s">
        <v>11</v>
      </c>
      <c r="C169" t="s">
        <v>949</v>
      </c>
      <c r="D169" t="s">
        <v>950</v>
      </c>
      <c r="E169" t="s">
        <v>1</v>
      </c>
      <c r="F169" t="s">
        <v>889</v>
      </c>
      <c r="G169" t="s">
        <v>0</v>
      </c>
      <c r="H169">
        <v>1.0820000000000001</v>
      </c>
      <c r="I169">
        <v>2.7149999999999999</v>
      </c>
      <c r="J169" t="s">
        <v>6</v>
      </c>
      <c r="K169">
        <f t="shared" si="35"/>
        <v>3</v>
      </c>
      <c r="L169" t="str">
        <f t="shared" si="35"/>
        <v/>
      </c>
      <c r="M169" t="str">
        <f t="shared" si="35"/>
        <v/>
      </c>
      <c r="N169" t="str">
        <f t="shared" si="35"/>
        <v/>
      </c>
      <c r="O169" t="str">
        <f t="shared" si="35"/>
        <v/>
      </c>
      <c r="P169" t="str">
        <f t="shared" si="35"/>
        <v/>
      </c>
      <c r="Q169" t="str">
        <f t="shared" si="35"/>
        <v/>
      </c>
      <c r="R169" t="str">
        <f t="shared" si="35"/>
        <v/>
      </c>
      <c r="S169" t="str">
        <f t="shared" si="35"/>
        <v/>
      </c>
      <c r="T169" t="str">
        <f t="shared" si="35"/>
        <v/>
      </c>
      <c r="U169" t="str">
        <f t="shared" si="36"/>
        <v/>
      </c>
      <c r="V169" t="str">
        <f t="shared" si="36"/>
        <v/>
      </c>
      <c r="W169" t="str">
        <f t="shared" si="36"/>
        <v/>
      </c>
      <c r="X169" t="str">
        <f t="shared" si="36"/>
        <v/>
      </c>
      <c r="Y169" t="str">
        <f t="shared" si="36"/>
        <v/>
      </c>
      <c r="Z169" t="str">
        <f t="shared" si="36"/>
        <v/>
      </c>
      <c r="AA169" t="str">
        <f t="shared" si="36"/>
        <v/>
      </c>
      <c r="AB169" t="str">
        <f t="shared" si="36"/>
        <v/>
      </c>
      <c r="AC169">
        <f t="shared" si="28"/>
        <v>3</v>
      </c>
    </row>
    <row r="170" spans="1:29" x14ac:dyDescent="0.35">
      <c r="A170">
        <v>165</v>
      </c>
      <c r="B170" t="s">
        <v>11</v>
      </c>
      <c r="C170" t="s">
        <v>952</v>
      </c>
      <c r="D170" t="s">
        <v>951</v>
      </c>
      <c r="E170" t="s">
        <v>662</v>
      </c>
      <c r="F170" t="s">
        <v>516</v>
      </c>
      <c r="G170" t="s">
        <v>0</v>
      </c>
      <c r="H170">
        <v>1.9490000000000001</v>
      </c>
      <c r="I170">
        <v>2.7149999999999999</v>
      </c>
      <c r="J170" t="s">
        <v>6</v>
      </c>
      <c r="K170" t="str">
        <f t="shared" si="35"/>
        <v/>
      </c>
      <c r="L170" t="str">
        <f t="shared" si="35"/>
        <v/>
      </c>
      <c r="M170" t="str">
        <f t="shared" si="35"/>
        <v/>
      </c>
      <c r="N170" t="str">
        <f t="shared" si="35"/>
        <v/>
      </c>
      <c r="O170" t="str">
        <f t="shared" si="35"/>
        <v/>
      </c>
      <c r="P170" t="str">
        <f t="shared" si="35"/>
        <v/>
      </c>
      <c r="Q170" t="str">
        <f t="shared" si="35"/>
        <v/>
      </c>
      <c r="R170" t="str">
        <f t="shared" si="35"/>
        <v/>
      </c>
      <c r="S170" t="str">
        <f t="shared" si="35"/>
        <v/>
      </c>
      <c r="T170" t="str">
        <f t="shared" si="35"/>
        <v/>
      </c>
      <c r="U170" t="str">
        <f t="shared" si="36"/>
        <v/>
      </c>
      <c r="V170" t="str">
        <f t="shared" si="36"/>
        <v/>
      </c>
      <c r="W170" t="str">
        <f t="shared" si="36"/>
        <v/>
      </c>
      <c r="X170" t="str">
        <f t="shared" si="36"/>
        <v/>
      </c>
      <c r="Y170" t="str">
        <f t="shared" si="36"/>
        <v/>
      </c>
      <c r="Z170" t="str">
        <f t="shared" si="36"/>
        <v/>
      </c>
      <c r="AA170" t="str">
        <f t="shared" si="36"/>
        <v/>
      </c>
      <c r="AB170" t="str">
        <f t="shared" si="36"/>
        <v/>
      </c>
      <c r="AC170">
        <f t="shared" si="28"/>
        <v>0</v>
      </c>
    </row>
    <row r="171" spans="1:29" x14ac:dyDescent="0.35">
      <c r="A171">
        <v>166</v>
      </c>
      <c r="B171" t="s">
        <v>11</v>
      </c>
      <c r="C171" t="s">
        <v>961</v>
      </c>
      <c r="D171" t="s">
        <v>953</v>
      </c>
      <c r="E171" t="s">
        <v>1</v>
      </c>
      <c r="F171" t="s">
        <v>889</v>
      </c>
      <c r="G171" t="s">
        <v>0</v>
      </c>
      <c r="H171">
        <v>0.94599999999999995</v>
      </c>
      <c r="I171">
        <v>2.7149999999999999</v>
      </c>
      <c r="J171" t="s">
        <v>6</v>
      </c>
      <c r="K171">
        <f t="shared" si="35"/>
        <v>6</v>
      </c>
      <c r="L171">
        <f t="shared" si="35"/>
        <v>6</v>
      </c>
      <c r="M171">
        <f t="shared" si="35"/>
        <v>4</v>
      </c>
      <c r="N171" t="str">
        <f t="shared" si="35"/>
        <v/>
      </c>
      <c r="O171" t="str">
        <f t="shared" si="35"/>
        <v/>
      </c>
      <c r="P171" t="str">
        <f t="shared" si="35"/>
        <v/>
      </c>
      <c r="Q171" t="str">
        <f t="shared" si="35"/>
        <v/>
      </c>
      <c r="R171" t="str">
        <f t="shared" si="35"/>
        <v/>
      </c>
      <c r="S171" t="str">
        <f t="shared" si="35"/>
        <v/>
      </c>
      <c r="T171" t="str">
        <f t="shared" si="35"/>
        <v/>
      </c>
      <c r="U171" t="str">
        <f t="shared" si="36"/>
        <v/>
      </c>
      <c r="V171" t="str">
        <f t="shared" si="36"/>
        <v/>
      </c>
      <c r="W171" t="str">
        <f t="shared" si="36"/>
        <v/>
      </c>
      <c r="X171" t="str">
        <f t="shared" si="36"/>
        <v/>
      </c>
      <c r="Y171" t="str">
        <f t="shared" si="36"/>
        <v/>
      </c>
      <c r="Z171" t="str">
        <f t="shared" si="36"/>
        <v/>
      </c>
      <c r="AA171" t="str">
        <f t="shared" si="36"/>
        <v/>
      </c>
      <c r="AB171" t="str">
        <f t="shared" si="36"/>
        <v/>
      </c>
      <c r="AC171">
        <f t="shared" si="28"/>
        <v>16</v>
      </c>
    </row>
    <row r="172" spans="1:29" x14ac:dyDescent="0.35">
      <c r="A172">
        <v>167</v>
      </c>
      <c r="B172" t="s">
        <v>11</v>
      </c>
      <c r="C172" t="s">
        <v>962</v>
      </c>
      <c r="D172" t="s">
        <v>960</v>
      </c>
      <c r="E172" t="s">
        <v>662</v>
      </c>
      <c r="F172" t="s">
        <v>516</v>
      </c>
      <c r="G172" t="s">
        <v>0</v>
      </c>
      <c r="H172">
        <v>1.486</v>
      </c>
      <c r="I172">
        <v>2.7149999999999999</v>
      </c>
      <c r="J172" t="s">
        <v>6</v>
      </c>
      <c r="K172">
        <f t="shared" si="35"/>
        <v>3</v>
      </c>
      <c r="L172" t="str">
        <f t="shared" si="35"/>
        <v/>
      </c>
      <c r="M172" t="str">
        <f t="shared" si="35"/>
        <v/>
      </c>
      <c r="N172" t="str">
        <f t="shared" si="35"/>
        <v/>
      </c>
      <c r="O172" t="str">
        <f t="shared" si="35"/>
        <v/>
      </c>
      <c r="P172" t="str">
        <f t="shared" si="35"/>
        <v/>
      </c>
      <c r="Q172" t="str">
        <f t="shared" si="35"/>
        <v/>
      </c>
      <c r="R172" t="str">
        <f t="shared" si="35"/>
        <v/>
      </c>
      <c r="S172" t="str">
        <f t="shared" si="35"/>
        <v/>
      </c>
      <c r="T172" t="str">
        <f t="shared" si="35"/>
        <v/>
      </c>
      <c r="U172" t="str">
        <f t="shared" si="36"/>
        <v/>
      </c>
      <c r="V172" t="str">
        <f t="shared" si="36"/>
        <v/>
      </c>
      <c r="W172" t="str">
        <f t="shared" si="36"/>
        <v/>
      </c>
      <c r="X172" t="str">
        <f t="shared" si="36"/>
        <v/>
      </c>
      <c r="Y172" t="str">
        <f t="shared" si="36"/>
        <v/>
      </c>
      <c r="Z172" t="str">
        <f t="shared" si="36"/>
        <v/>
      </c>
      <c r="AA172" t="str">
        <f t="shared" si="36"/>
        <v/>
      </c>
      <c r="AB172" t="str">
        <f t="shared" si="36"/>
        <v/>
      </c>
      <c r="AC172">
        <f t="shared" si="28"/>
        <v>3</v>
      </c>
    </row>
    <row r="173" spans="1:29" x14ac:dyDescent="0.35">
      <c r="A173">
        <v>168</v>
      </c>
      <c r="B173" t="s">
        <v>11</v>
      </c>
      <c r="C173" t="s">
        <v>963</v>
      </c>
      <c r="D173" t="s">
        <v>964</v>
      </c>
      <c r="E173" t="s">
        <v>662</v>
      </c>
      <c r="F173" t="s">
        <v>673</v>
      </c>
      <c r="G173" t="s">
        <v>2</v>
      </c>
      <c r="H173">
        <v>0.90800000000000003</v>
      </c>
      <c r="I173">
        <v>2.7149999999999999</v>
      </c>
      <c r="J173" t="s">
        <v>6</v>
      </c>
      <c r="K173">
        <f t="shared" si="35"/>
        <v>3</v>
      </c>
      <c r="L173" t="str">
        <f t="shared" si="35"/>
        <v/>
      </c>
      <c r="M173" t="str">
        <f t="shared" si="35"/>
        <v/>
      </c>
      <c r="N173" t="str">
        <f t="shared" si="35"/>
        <v/>
      </c>
      <c r="O173" t="str">
        <f t="shared" si="35"/>
        <v/>
      </c>
      <c r="P173" t="str">
        <f t="shared" si="35"/>
        <v/>
      </c>
      <c r="Q173" t="str">
        <f t="shared" si="35"/>
        <v/>
      </c>
      <c r="R173" t="str">
        <f t="shared" si="35"/>
        <v/>
      </c>
      <c r="S173" t="str">
        <f t="shared" si="35"/>
        <v/>
      </c>
      <c r="T173" t="str">
        <f t="shared" si="35"/>
        <v/>
      </c>
      <c r="U173" t="str">
        <f t="shared" si="36"/>
        <v/>
      </c>
      <c r="V173" t="str">
        <f t="shared" si="36"/>
        <v/>
      </c>
      <c r="W173" t="str">
        <f t="shared" si="36"/>
        <v/>
      </c>
      <c r="X173" t="str">
        <f t="shared" si="36"/>
        <v/>
      </c>
      <c r="Y173" t="str">
        <f t="shared" si="36"/>
        <v/>
      </c>
      <c r="Z173" t="str">
        <f t="shared" si="36"/>
        <v/>
      </c>
      <c r="AA173" t="str">
        <f t="shared" si="36"/>
        <v/>
      </c>
      <c r="AB173" t="str">
        <f t="shared" si="36"/>
        <v/>
      </c>
      <c r="AC173">
        <f t="shared" si="28"/>
        <v>3</v>
      </c>
    </row>
    <row r="174" spans="1:29" x14ac:dyDescent="0.35">
      <c r="A174">
        <v>169</v>
      </c>
      <c r="B174" t="s">
        <v>11</v>
      </c>
      <c r="C174" t="s">
        <v>965</v>
      </c>
      <c r="D174" t="s">
        <v>966</v>
      </c>
      <c r="E174" t="s">
        <v>662</v>
      </c>
      <c r="F174" t="s">
        <v>673</v>
      </c>
      <c r="G174" t="s">
        <v>0</v>
      </c>
      <c r="H174">
        <v>0.875</v>
      </c>
      <c r="I174">
        <v>2.7149999999999999</v>
      </c>
      <c r="J174" t="s">
        <v>6</v>
      </c>
      <c r="K174">
        <f t="shared" si="35"/>
        <v>3</v>
      </c>
      <c r="L174" t="str">
        <f t="shared" si="35"/>
        <v/>
      </c>
      <c r="M174" t="str">
        <f t="shared" si="35"/>
        <v/>
      </c>
      <c r="N174" t="str">
        <f t="shared" si="35"/>
        <v/>
      </c>
      <c r="O174" t="str">
        <f t="shared" si="35"/>
        <v/>
      </c>
      <c r="P174" t="str">
        <f t="shared" si="35"/>
        <v/>
      </c>
      <c r="Q174" t="str">
        <f t="shared" si="35"/>
        <v/>
      </c>
      <c r="R174" t="str">
        <f t="shared" si="35"/>
        <v/>
      </c>
      <c r="S174" t="str">
        <f t="shared" si="35"/>
        <v/>
      </c>
      <c r="T174" t="str">
        <f t="shared" si="35"/>
        <v/>
      </c>
      <c r="U174" t="str">
        <f t="shared" si="36"/>
        <v/>
      </c>
      <c r="V174" t="str">
        <f t="shared" si="36"/>
        <v/>
      </c>
      <c r="W174" t="str">
        <f t="shared" si="36"/>
        <v/>
      </c>
      <c r="X174" t="str">
        <f t="shared" si="36"/>
        <v/>
      </c>
      <c r="Y174" t="str">
        <f t="shared" si="36"/>
        <v/>
      </c>
      <c r="Z174" t="str">
        <f t="shared" si="36"/>
        <v/>
      </c>
      <c r="AA174" t="str">
        <f t="shared" si="36"/>
        <v/>
      </c>
      <c r="AB174" t="str">
        <f t="shared" si="36"/>
        <v/>
      </c>
      <c r="AC174">
        <f t="shared" si="28"/>
        <v>3</v>
      </c>
    </row>
    <row r="175" spans="1:29" x14ac:dyDescent="0.35">
      <c r="A175">
        <v>170</v>
      </c>
      <c r="B175" t="s">
        <v>11</v>
      </c>
      <c r="C175" t="s">
        <v>985</v>
      </c>
      <c r="D175" t="s">
        <v>986</v>
      </c>
      <c r="E175" t="s">
        <v>662</v>
      </c>
      <c r="F175" t="s">
        <v>516</v>
      </c>
      <c r="G175" t="s">
        <v>0</v>
      </c>
      <c r="H175">
        <v>0.755</v>
      </c>
      <c r="I175">
        <v>2.7149999999999999</v>
      </c>
      <c r="J175" t="s">
        <v>6</v>
      </c>
      <c r="K175" t="str">
        <f t="shared" si="35"/>
        <v/>
      </c>
      <c r="L175" t="str">
        <f t="shared" si="35"/>
        <v/>
      </c>
      <c r="M175">
        <f t="shared" si="35"/>
        <v>4</v>
      </c>
      <c r="N175" t="str">
        <f t="shared" si="35"/>
        <v/>
      </c>
      <c r="O175" t="str">
        <f t="shared" si="35"/>
        <v/>
      </c>
      <c r="P175" t="str">
        <f t="shared" si="35"/>
        <v/>
      </c>
      <c r="Q175" t="str">
        <f t="shared" si="35"/>
        <v/>
      </c>
      <c r="R175" t="str">
        <f t="shared" si="35"/>
        <v/>
      </c>
      <c r="S175" t="str">
        <f t="shared" si="35"/>
        <v/>
      </c>
      <c r="T175" t="str">
        <f t="shared" si="35"/>
        <v/>
      </c>
      <c r="U175" t="str">
        <f t="shared" si="36"/>
        <v/>
      </c>
      <c r="V175" t="str">
        <f t="shared" si="36"/>
        <v/>
      </c>
      <c r="W175" t="str">
        <f t="shared" si="36"/>
        <v/>
      </c>
      <c r="X175" t="str">
        <f t="shared" si="36"/>
        <v/>
      </c>
      <c r="Y175" t="str">
        <f t="shared" si="36"/>
        <v/>
      </c>
      <c r="Z175" t="str">
        <f t="shared" si="36"/>
        <v/>
      </c>
      <c r="AA175" t="str">
        <f t="shared" si="36"/>
        <v/>
      </c>
      <c r="AB175" t="str">
        <f t="shared" si="36"/>
        <v/>
      </c>
      <c r="AC175">
        <f t="shared" si="28"/>
        <v>4</v>
      </c>
    </row>
    <row r="176" spans="1:29" x14ac:dyDescent="0.35">
      <c r="A176">
        <v>171</v>
      </c>
      <c r="B176" t="s">
        <v>11</v>
      </c>
      <c r="C176" t="s">
        <v>987</v>
      </c>
      <c r="D176" t="s">
        <v>988</v>
      </c>
      <c r="E176" t="s">
        <v>662</v>
      </c>
      <c r="F176" t="s">
        <v>673</v>
      </c>
      <c r="G176" t="s">
        <v>0</v>
      </c>
      <c r="H176">
        <v>1.9279999999999999</v>
      </c>
      <c r="I176">
        <v>2.7149999999999999</v>
      </c>
      <c r="J176" t="s">
        <v>6</v>
      </c>
      <c r="K176" t="str">
        <f t="shared" ref="K176:T185" si="37">IFERROR(IFERROR(IF(K$5=$K$1,VLOOKUP($A176,dormitorios,2,0),IF(K$5=$L$1,VLOOKUP($A176,comedor,2,0),IF(K$5=$M$1,VLOOKUP($A176,alojamiento,2,0),IF(K$5=$N$1,VLOOKUP($A176,sanidad,2,0),IF(K$5=$O$1,VLOOKUP($A176,servicios,2,0),IF(K$5=$P$1,VLOOKUP($A176,comyaloj,2,0),IF(K$5=$Q$1,VLOOKUP($A176,comandancia,2,0),IF(K$5=$R$1,VLOOKUP($A176,mantenimiento,2,0),IF(K$5=$S$1,VLOOKUP($A176,serestatal,2,0),IF(K$5=$T$1,VLOOKUP($A176,conferencias,2,0),"")))))))))),"")*K$3,"")</f>
        <v/>
      </c>
      <c r="L176" t="str">
        <f t="shared" si="37"/>
        <v/>
      </c>
      <c r="M176" t="str">
        <f t="shared" si="37"/>
        <v/>
      </c>
      <c r="N176" t="str">
        <f t="shared" si="37"/>
        <v/>
      </c>
      <c r="O176" t="str">
        <f t="shared" si="37"/>
        <v/>
      </c>
      <c r="P176" t="str">
        <f t="shared" si="37"/>
        <v/>
      </c>
      <c r="Q176" t="str">
        <f t="shared" si="37"/>
        <v/>
      </c>
      <c r="R176" t="str">
        <f t="shared" si="37"/>
        <v/>
      </c>
      <c r="S176" t="str">
        <f t="shared" si="37"/>
        <v/>
      </c>
      <c r="T176" t="str">
        <f t="shared" si="37"/>
        <v/>
      </c>
      <c r="U176" t="str">
        <f t="shared" ref="U176:AB185" si="38">IFERROR(IFERROR(IF(U$5=$K$1,VLOOKUP($A176,dormitorios,2,0),IF(U$5=$L$1,VLOOKUP($A176,comedor,2,0),IF(U$5=$M$1,VLOOKUP($A176,alojamiento,2,0),IF(U$5=$N$1,VLOOKUP($A176,sanidad,2,0),IF(U$5=$O$1,VLOOKUP($A176,servicios,2,0),IF(U$5=$P$1,VLOOKUP($A176,comyaloj,2,0),IF(U$5=$Q$1,VLOOKUP($A176,comandancia,2,0),IF(U$5=$R$1,VLOOKUP($A176,mantenimiento,2,0),IF(U$5=$S$1,VLOOKUP($A176,serestatal,2,0),IF(U$5=$T$1,VLOOKUP($A176,conferencias,2,0),"")))))))))),"")*U$3,"")</f>
        <v/>
      </c>
      <c r="V176" t="str">
        <f t="shared" si="38"/>
        <v/>
      </c>
      <c r="W176" t="str">
        <f t="shared" si="38"/>
        <v/>
      </c>
      <c r="X176" t="str">
        <f t="shared" si="38"/>
        <v/>
      </c>
      <c r="Y176" t="str">
        <f t="shared" si="38"/>
        <v/>
      </c>
      <c r="Z176" t="str">
        <f t="shared" si="38"/>
        <v/>
      </c>
      <c r="AA176" t="str">
        <f t="shared" si="38"/>
        <v/>
      </c>
      <c r="AB176" t="str">
        <f t="shared" si="38"/>
        <v/>
      </c>
      <c r="AC176">
        <f t="shared" si="28"/>
        <v>0</v>
      </c>
    </row>
    <row r="177" spans="1:29" x14ac:dyDescent="0.35">
      <c r="A177">
        <v>172</v>
      </c>
      <c r="B177" t="s">
        <v>11</v>
      </c>
      <c r="C177" t="s">
        <v>989</v>
      </c>
      <c r="D177" t="s">
        <v>990</v>
      </c>
      <c r="E177" t="s">
        <v>662</v>
      </c>
      <c r="F177" t="s">
        <v>516</v>
      </c>
      <c r="G177" t="s">
        <v>0</v>
      </c>
      <c r="H177">
        <v>1.9279999999999999</v>
      </c>
      <c r="I177">
        <v>2.7149999999999999</v>
      </c>
      <c r="J177" t="s">
        <v>6</v>
      </c>
      <c r="K177" t="str">
        <f t="shared" si="37"/>
        <v/>
      </c>
      <c r="L177" t="str">
        <f t="shared" si="37"/>
        <v/>
      </c>
      <c r="M177">
        <f t="shared" si="37"/>
        <v>4</v>
      </c>
      <c r="N177" t="str">
        <f t="shared" si="37"/>
        <v/>
      </c>
      <c r="O177" t="str">
        <f t="shared" si="37"/>
        <v/>
      </c>
      <c r="P177" t="str">
        <f t="shared" si="37"/>
        <v/>
      </c>
      <c r="Q177" t="str">
        <f t="shared" si="37"/>
        <v/>
      </c>
      <c r="R177" t="str">
        <f t="shared" si="37"/>
        <v/>
      </c>
      <c r="S177" t="str">
        <f t="shared" si="37"/>
        <v/>
      </c>
      <c r="T177" t="str">
        <f t="shared" si="37"/>
        <v/>
      </c>
      <c r="U177" t="str">
        <f t="shared" si="38"/>
        <v/>
      </c>
      <c r="V177" t="str">
        <f t="shared" si="38"/>
        <v/>
      </c>
      <c r="W177" t="str">
        <f t="shared" si="38"/>
        <v/>
      </c>
      <c r="X177" t="str">
        <f t="shared" si="38"/>
        <v/>
      </c>
      <c r="Y177" t="str">
        <f t="shared" si="38"/>
        <v/>
      </c>
      <c r="Z177" t="str">
        <f t="shared" si="38"/>
        <v/>
      </c>
      <c r="AA177" t="str">
        <f t="shared" si="38"/>
        <v/>
      </c>
      <c r="AB177" t="str">
        <f t="shared" si="38"/>
        <v/>
      </c>
      <c r="AC177">
        <f t="shared" si="28"/>
        <v>4</v>
      </c>
    </row>
    <row r="178" spans="1:29" x14ac:dyDescent="0.35">
      <c r="A178">
        <v>173</v>
      </c>
      <c r="B178" t="s">
        <v>11</v>
      </c>
      <c r="C178" t="s">
        <v>991</v>
      </c>
      <c r="D178" t="s">
        <v>992</v>
      </c>
      <c r="E178" t="s">
        <v>662</v>
      </c>
      <c r="F178" t="s">
        <v>516</v>
      </c>
      <c r="G178" t="s">
        <v>2</v>
      </c>
      <c r="H178">
        <v>1.704</v>
      </c>
      <c r="I178">
        <v>2.7149999999999999</v>
      </c>
      <c r="J178" t="s">
        <v>6</v>
      </c>
      <c r="K178" t="str">
        <f t="shared" si="37"/>
        <v/>
      </c>
      <c r="L178" t="str">
        <f t="shared" si="37"/>
        <v/>
      </c>
      <c r="M178">
        <f t="shared" si="37"/>
        <v>8</v>
      </c>
      <c r="N178" t="str">
        <f t="shared" si="37"/>
        <v/>
      </c>
      <c r="O178" t="str">
        <f t="shared" si="37"/>
        <v/>
      </c>
      <c r="P178" t="str">
        <f t="shared" si="37"/>
        <v/>
      </c>
      <c r="Q178" t="str">
        <f t="shared" si="37"/>
        <v/>
      </c>
      <c r="R178" t="str">
        <f t="shared" si="37"/>
        <v/>
      </c>
      <c r="S178" t="str">
        <f t="shared" si="37"/>
        <v/>
      </c>
      <c r="T178" t="str">
        <f t="shared" si="37"/>
        <v/>
      </c>
      <c r="U178" t="str">
        <f t="shared" si="38"/>
        <v/>
      </c>
      <c r="V178" t="str">
        <f t="shared" si="38"/>
        <v/>
      </c>
      <c r="W178" t="str">
        <f t="shared" si="38"/>
        <v/>
      </c>
      <c r="X178" t="str">
        <f t="shared" si="38"/>
        <v/>
      </c>
      <c r="Y178" t="str">
        <f t="shared" si="38"/>
        <v/>
      </c>
      <c r="Z178" t="str">
        <f t="shared" si="38"/>
        <v/>
      </c>
      <c r="AA178" t="str">
        <f t="shared" si="38"/>
        <v/>
      </c>
      <c r="AB178" t="str">
        <f t="shared" si="38"/>
        <v/>
      </c>
      <c r="AC178">
        <f t="shared" si="28"/>
        <v>8</v>
      </c>
    </row>
    <row r="179" spans="1:29" x14ac:dyDescent="0.35">
      <c r="A179">
        <v>174</v>
      </c>
      <c r="B179" t="s">
        <v>11</v>
      </c>
      <c r="C179" t="s">
        <v>999</v>
      </c>
      <c r="D179" t="s">
        <v>1000</v>
      </c>
      <c r="E179" t="s">
        <v>782</v>
      </c>
      <c r="F179" t="s">
        <v>1001</v>
      </c>
      <c r="G179" t="s">
        <v>0</v>
      </c>
      <c r="H179">
        <v>2.02</v>
      </c>
      <c r="I179">
        <v>2.7149999999999999</v>
      </c>
      <c r="J179" t="s">
        <v>6</v>
      </c>
      <c r="K179">
        <f t="shared" si="37"/>
        <v>3</v>
      </c>
      <c r="L179" t="str">
        <f t="shared" si="37"/>
        <v/>
      </c>
      <c r="M179" t="str">
        <f t="shared" si="37"/>
        <v/>
      </c>
      <c r="N179" t="str">
        <f t="shared" si="37"/>
        <v/>
      </c>
      <c r="O179" t="str">
        <f t="shared" si="37"/>
        <v/>
      </c>
      <c r="P179" t="str">
        <f t="shared" si="37"/>
        <v/>
      </c>
      <c r="Q179" t="str">
        <f t="shared" si="37"/>
        <v/>
      </c>
      <c r="R179" t="str">
        <f t="shared" si="37"/>
        <v/>
      </c>
      <c r="S179" t="str">
        <f t="shared" si="37"/>
        <v/>
      </c>
      <c r="T179" t="str">
        <f t="shared" si="37"/>
        <v/>
      </c>
      <c r="U179" t="str">
        <f t="shared" si="38"/>
        <v/>
      </c>
      <c r="V179" t="str">
        <f t="shared" si="38"/>
        <v/>
      </c>
      <c r="W179" t="str">
        <f t="shared" si="38"/>
        <v/>
      </c>
      <c r="X179" t="str">
        <f t="shared" si="38"/>
        <v/>
      </c>
      <c r="Y179" t="str">
        <f t="shared" si="38"/>
        <v/>
      </c>
      <c r="Z179" t="str">
        <f t="shared" si="38"/>
        <v/>
      </c>
      <c r="AA179" t="str">
        <f t="shared" si="38"/>
        <v/>
      </c>
      <c r="AB179" t="str">
        <f t="shared" si="38"/>
        <v/>
      </c>
      <c r="AC179">
        <f t="shared" si="28"/>
        <v>3</v>
      </c>
    </row>
    <row r="180" spans="1:29" x14ac:dyDescent="0.35">
      <c r="A180">
        <v>175</v>
      </c>
      <c r="B180" t="s">
        <v>11</v>
      </c>
      <c r="C180" t="s">
        <v>1048</v>
      </c>
      <c r="D180" t="s">
        <v>1003</v>
      </c>
      <c r="E180" t="s">
        <v>662</v>
      </c>
      <c r="F180" t="s">
        <v>673</v>
      </c>
      <c r="G180" t="s">
        <v>0</v>
      </c>
      <c r="H180">
        <v>2.0449999999999999</v>
      </c>
      <c r="I180">
        <v>2.7149999999999999</v>
      </c>
      <c r="J180" t="s">
        <v>6</v>
      </c>
      <c r="K180" t="str">
        <f t="shared" si="37"/>
        <v/>
      </c>
      <c r="L180" t="str">
        <f t="shared" si="37"/>
        <v/>
      </c>
      <c r="M180">
        <f t="shared" si="37"/>
        <v>8</v>
      </c>
      <c r="N180" t="str">
        <f t="shared" si="37"/>
        <v/>
      </c>
      <c r="O180" t="str">
        <f t="shared" si="37"/>
        <v/>
      </c>
      <c r="P180" t="str">
        <f t="shared" si="37"/>
        <v/>
      </c>
      <c r="Q180" t="str">
        <f t="shared" si="37"/>
        <v/>
      </c>
      <c r="R180" t="str">
        <f t="shared" si="37"/>
        <v/>
      </c>
      <c r="S180" t="str">
        <f t="shared" si="37"/>
        <v/>
      </c>
      <c r="T180" t="str">
        <f t="shared" si="37"/>
        <v/>
      </c>
      <c r="U180" t="str">
        <f t="shared" si="38"/>
        <v/>
      </c>
      <c r="V180" t="str">
        <f t="shared" si="38"/>
        <v/>
      </c>
      <c r="W180" t="str">
        <f t="shared" si="38"/>
        <v/>
      </c>
      <c r="X180" t="str">
        <f t="shared" si="38"/>
        <v/>
      </c>
      <c r="Y180" t="str">
        <f t="shared" si="38"/>
        <v/>
      </c>
      <c r="Z180" t="str">
        <f t="shared" si="38"/>
        <v/>
      </c>
      <c r="AA180" t="str">
        <f t="shared" si="38"/>
        <v/>
      </c>
      <c r="AB180" t="str">
        <f t="shared" si="38"/>
        <v/>
      </c>
      <c r="AC180">
        <f t="shared" si="28"/>
        <v>8</v>
      </c>
    </row>
    <row r="181" spans="1:29" x14ac:dyDescent="0.35">
      <c r="A181">
        <v>176</v>
      </c>
      <c r="B181" t="s">
        <v>11</v>
      </c>
      <c r="C181" t="s">
        <v>1049</v>
      </c>
      <c r="D181" t="s">
        <v>1004</v>
      </c>
      <c r="E181" t="s">
        <v>662</v>
      </c>
      <c r="F181" t="s">
        <v>516</v>
      </c>
      <c r="G181" t="s">
        <v>0</v>
      </c>
      <c r="H181">
        <v>2.0649999999999999</v>
      </c>
      <c r="I181">
        <v>2.7149999999999999</v>
      </c>
      <c r="J181" t="s">
        <v>6</v>
      </c>
      <c r="K181" t="str">
        <f t="shared" si="37"/>
        <v/>
      </c>
      <c r="L181" t="str">
        <f t="shared" si="37"/>
        <v/>
      </c>
      <c r="M181">
        <f t="shared" si="37"/>
        <v>4</v>
      </c>
      <c r="N181" t="str">
        <f t="shared" si="37"/>
        <v/>
      </c>
      <c r="O181" t="str">
        <f t="shared" si="37"/>
        <v/>
      </c>
      <c r="P181" t="str">
        <f t="shared" si="37"/>
        <v/>
      </c>
      <c r="Q181" t="str">
        <f t="shared" si="37"/>
        <v/>
      </c>
      <c r="R181" t="str">
        <f t="shared" si="37"/>
        <v/>
      </c>
      <c r="S181" t="str">
        <f t="shared" si="37"/>
        <v/>
      </c>
      <c r="T181" t="str">
        <f t="shared" si="37"/>
        <v/>
      </c>
      <c r="U181" t="str">
        <f t="shared" si="38"/>
        <v/>
      </c>
      <c r="V181" t="str">
        <f t="shared" si="38"/>
        <v/>
      </c>
      <c r="W181" t="str">
        <f t="shared" si="38"/>
        <v/>
      </c>
      <c r="X181" t="str">
        <f t="shared" si="38"/>
        <v/>
      </c>
      <c r="Y181" t="str">
        <f t="shared" si="38"/>
        <v/>
      </c>
      <c r="Z181" t="str">
        <f t="shared" si="38"/>
        <v/>
      </c>
      <c r="AA181" t="str">
        <f t="shared" si="38"/>
        <v/>
      </c>
      <c r="AB181" t="str">
        <f t="shared" si="38"/>
        <v/>
      </c>
      <c r="AC181">
        <f t="shared" si="28"/>
        <v>4</v>
      </c>
    </row>
    <row r="182" spans="1:29" x14ac:dyDescent="0.35">
      <c r="A182">
        <v>177</v>
      </c>
      <c r="B182" t="s">
        <v>11</v>
      </c>
      <c r="C182" t="s">
        <v>1050</v>
      </c>
      <c r="D182" t="s">
        <v>1005</v>
      </c>
      <c r="E182" t="s">
        <v>1</v>
      </c>
      <c r="F182" t="s">
        <v>889</v>
      </c>
      <c r="G182" t="s">
        <v>0</v>
      </c>
      <c r="H182">
        <v>2.0390000000000001</v>
      </c>
      <c r="I182">
        <v>2.7149999999999999</v>
      </c>
      <c r="J182" t="s">
        <v>6</v>
      </c>
      <c r="K182" t="str">
        <f t="shared" si="37"/>
        <v/>
      </c>
      <c r="L182" t="str">
        <f t="shared" si="37"/>
        <v/>
      </c>
      <c r="M182">
        <f t="shared" si="37"/>
        <v>4</v>
      </c>
      <c r="N182" t="str">
        <f t="shared" si="37"/>
        <v/>
      </c>
      <c r="O182" t="str">
        <f t="shared" si="37"/>
        <v/>
      </c>
      <c r="P182" t="str">
        <f t="shared" si="37"/>
        <v/>
      </c>
      <c r="Q182" t="str">
        <f t="shared" si="37"/>
        <v/>
      </c>
      <c r="R182" t="str">
        <f t="shared" si="37"/>
        <v/>
      </c>
      <c r="S182" t="str">
        <f t="shared" si="37"/>
        <v/>
      </c>
      <c r="T182" t="str">
        <f t="shared" si="37"/>
        <v/>
      </c>
      <c r="U182" t="str">
        <f t="shared" si="38"/>
        <v/>
      </c>
      <c r="V182" t="str">
        <f t="shared" si="38"/>
        <v/>
      </c>
      <c r="W182" t="str">
        <f t="shared" si="38"/>
        <v/>
      </c>
      <c r="X182" t="str">
        <f t="shared" si="38"/>
        <v/>
      </c>
      <c r="Y182" t="str">
        <f t="shared" si="38"/>
        <v/>
      </c>
      <c r="Z182" t="str">
        <f t="shared" si="38"/>
        <v/>
      </c>
      <c r="AA182" t="str">
        <f t="shared" si="38"/>
        <v/>
      </c>
      <c r="AB182" t="str">
        <f t="shared" si="38"/>
        <v/>
      </c>
      <c r="AC182">
        <f t="shared" si="28"/>
        <v>4</v>
      </c>
    </row>
    <row r="183" spans="1:29" x14ac:dyDescent="0.35">
      <c r="A183">
        <v>178</v>
      </c>
      <c r="B183" t="s">
        <v>11</v>
      </c>
      <c r="C183" t="s">
        <v>1051</v>
      </c>
      <c r="D183" t="s">
        <v>1006</v>
      </c>
      <c r="E183" t="s">
        <v>662</v>
      </c>
      <c r="F183" t="s">
        <v>516</v>
      </c>
      <c r="G183" t="s">
        <v>0</v>
      </c>
      <c r="H183">
        <v>1.968</v>
      </c>
      <c r="I183">
        <v>2.7149999999999999</v>
      </c>
      <c r="J183" t="s">
        <v>6</v>
      </c>
      <c r="K183">
        <f t="shared" si="37"/>
        <v>3</v>
      </c>
      <c r="L183" t="str">
        <f t="shared" si="37"/>
        <v/>
      </c>
      <c r="M183">
        <f t="shared" si="37"/>
        <v>4</v>
      </c>
      <c r="N183" t="str">
        <f t="shared" si="37"/>
        <v/>
      </c>
      <c r="O183" t="str">
        <f t="shared" si="37"/>
        <v/>
      </c>
      <c r="P183" t="str">
        <f t="shared" si="37"/>
        <v/>
      </c>
      <c r="Q183" t="str">
        <f t="shared" si="37"/>
        <v/>
      </c>
      <c r="R183" t="str">
        <f t="shared" si="37"/>
        <v/>
      </c>
      <c r="S183" t="str">
        <f t="shared" si="37"/>
        <v/>
      </c>
      <c r="T183" t="str">
        <f t="shared" si="37"/>
        <v/>
      </c>
      <c r="U183" t="str">
        <f t="shared" si="38"/>
        <v/>
      </c>
      <c r="V183" t="str">
        <f t="shared" si="38"/>
        <v/>
      </c>
      <c r="W183" t="str">
        <f t="shared" si="38"/>
        <v/>
      </c>
      <c r="X183" t="str">
        <f t="shared" si="38"/>
        <v/>
      </c>
      <c r="Y183" t="str">
        <f t="shared" si="38"/>
        <v/>
      </c>
      <c r="Z183" t="str">
        <f t="shared" si="38"/>
        <v/>
      </c>
      <c r="AA183" t="str">
        <f t="shared" si="38"/>
        <v/>
      </c>
      <c r="AB183" t="str">
        <f t="shared" si="38"/>
        <v/>
      </c>
      <c r="AC183">
        <f t="shared" si="28"/>
        <v>7</v>
      </c>
    </row>
    <row r="184" spans="1:29" x14ac:dyDescent="0.35">
      <c r="A184">
        <v>179</v>
      </c>
      <c r="B184" t="s">
        <v>11</v>
      </c>
      <c r="C184" t="s">
        <v>1052</v>
      </c>
      <c r="D184" t="s">
        <v>1007</v>
      </c>
      <c r="E184" t="s">
        <v>662</v>
      </c>
      <c r="F184" t="s">
        <v>516</v>
      </c>
      <c r="G184" t="s">
        <v>2</v>
      </c>
      <c r="H184">
        <v>1.946</v>
      </c>
      <c r="I184">
        <v>2.7149999999999999</v>
      </c>
      <c r="J184" t="s">
        <v>6</v>
      </c>
      <c r="K184" t="str">
        <f t="shared" si="37"/>
        <v/>
      </c>
      <c r="L184" t="str">
        <f t="shared" si="37"/>
        <v/>
      </c>
      <c r="M184">
        <f t="shared" si="37"/>
        <v>4</v>
      </c>
      <c r="N184" t="str">
        <f t="shared" si="37"/>
        <v/>
      </c>
      <c r="O184" t="str">
        <f t="shared" si="37"/>
        <v/>
      </c>
      <c r="P184" t="str">
        <f t="shared" si="37"/>
        <v/>
      </c>
      <c r="Q184" t="str">
        <f t="shared" si="37"/>
        <v/>
      </c>
      <c r="R184" t="str">
        <f t="shared" si="37"/>
        <v/>
      </c>
      <c r="S184" t="str">
        <f t="shared" si="37"/>
        <v/>
      </c>
      <c r="T184" t="str">
        <f t="shared" si="37"/>
        <v/>
      </c>
      <c r="U184" t="str">
        <f t="shared" si="38"/>
        <v/>
      </c>
      <c r="V184" t="str">
        <f t="shared" si="38"/>
        <v/>
      </c>
      <c r="W184" t="str">
        <f t="shared" si="38"/>
        <v/>
      </c>
      <c r="X184" t="str">
        <f t="shared" si="38"/>
        <v/>
      </c>
      <c r="Y184" t="str">
        <f t="shared" si="38"/>
        <v/>
      </c>
      <c r="Z184" t="str">
        <f t="shared" si="38"/>
        <v/>
      </c>
      <c r="AA184" t="str">
        <f t="shared" si="38"/>
        <v/>
      </c>
      <c r="AB184" t="str">
        <f t="shared" si="38"/>
        <v/>
      </c>
      <c r="AC184">
        <f t="shared" si="28"/>
        <v>4</v>
      </c>
    </row>
    <row r="185" spans="1:29" x14ac:dyDescent="0.35">
      <c r="A185">
        <v>180</v>
      </c>
      <c r="B185" t="s">
        <v>11</v>
      </c>
      <c r="C185" t="s">
        <v>1053</v>
      </c>
      <c r="D185" t="s">
        <v>1008</v>
      </c>
      <c r="E185" t="s">
        <v>662</v>
      </c>
      <c r="F185" t="s">
        <v>673</v>
      </c>
      <c r="G185" t="s">
        <v>0</v>
      </c>
      <c r="H185">
        <v>2.0390000000000001</v>
      </c>
      <c r="I185">
        <v>2.7149999999999999</v>
      </c>
      <c r="J185" t="s">
        <v>6</v>
      </c>
      <c r="K185" t="str">
        <f t="shared" si="37"/>
        <v/>
      </c>
      <c r="L185" t="str">
        <f t="shared" si="37"/>
        <v/>
      </c>
      <c r="M185">
        <f t="shared" si="37"/>
        <v>8</v>
      </c>
      <c r="N185" t="str">
        <f t="shared" si="37"/>
        <v/>
      </c>
      <c r="O185" t="str">
        <f t="shared" si="37"/>
        <v/>
      </c>
      <c r="P185" t="str">
        <f t="shared" si="37"/>
        <v/>
      </c>
      <c r="Q185" t="str">
        <f t="shared" si="37"/>
        <v/>
      </c>
      <c r="R185" t="str">
        <f t="shared" si="37"/>
        <v/>
      </c>
      <c r="S185" t="str">
        <f t="shared" si="37"/>
        <v/>
      </c>
      <c r="T185" t="str">
        <f t="shared" si="37"/>
        <v/>
      </c>
      <c r="U185" t="str">
        <f t="shared" si="38"/>
        <v/>
      </c>
      <c r="V185" t="str">
        <f t="shared" si="38"/>
        <v/>
      </c>
      <c r="W185" t="str">
        <f t="shared" si="38"/>
        <v/>
      </c>
      <c r="X185" t="str">
        <f t="shared" si="38"/>
        <v/>
      </c>
      <c r="Y185" t="str">
        <f t="shared" si="38"/>
        <v/>
      </c>
      <c r="Z185" t="str">
        <f t="shared" si="38"/>
        <v/>
      </c>
      <c r="AA185" t="str">
        <f t="shared" si="38"/>
        <v/>
      </c>
      <c r="AB185" t="str">
        <f t="shared" si="38"/>
        <v/>
      </c>
      <c r="AC185">
        <f t="shared" si="28"/>
        <v>8</v>
      </c>
    </row>
    <row r="186" spans="1:29" x14ac:dyDescent="0.35">
      <c r="A186">
        <v>181</v>
      </c>
      <c r="B186" t="s">
        <v>11</v>
      </c>
      <c r="C186" t="s">
        <v>1054</v>
      </c>
      <c r="D186" t="s">
        <v>1009</v>
      </c>
      <c r="E186" t="s">
        <v>662</v>
      </c>
      <c r="F186" t="s">
        <v>516</v>
      </c>
      <c r="G186" t="s">
        <v>2</v>
      </c>
      <c r="H186">
        <v>2.0310000000000001</v>
      </c>
      <c r="I186">
        <v>2.7149999999999999</v>
      </c>
      <c r="J186" t="s">
        <v>6</v>
      </c>
      <c r="K186" t="str">
        <f t="shared" ref="K186:T195" si="39">IFERROR(IFERROR(IF(K$5=$K$1,VLOOKUP($A186,dormitorios,2,0),IF(K$5=$L$1,VLOOKUP($A186,comedor,2,0),IF(K$5=$M$1,VLOOKUP($A186,alojamiento,2,0),IF(K$5=$N$1,VLOOKUP($A186,sanidad,2,0),IF(K$5=$O$1,VLOOKUP($A186,servicios,2,0),IF(K$5=$P$1,VLOOKUP($A186,comyaloj,2,0),IF(K$5=$Q$1,VLOOKUP($A186,comandancia,2,0),IF(K$5=$R$1,VLOOKUP($A186,mantenimiento,2,0),IF(K$5=$S$1,VLOOKUP($A186,serestatal,2,0),IF(K$5=$T$1,VLOOKUP($A186,conferencias,2,0),"")))))))))),"")*K$3,"")</f>
        <v/>
      </c>
      <c r="L186" t="str">
        <f t="shared" si="39"/>
        <v/>
      </c>
      <c r="M186">
        <f t="shared" si="39"/>
        <v>8</v>
      </c>
      <c r="N186" t="str">
        <f t="shared" si="39"/>
        <v/>
      </c>
      <c r="O186" t="str">
        <f t="shared" si="39"/>
        <v/>
      </c>
      <c r="P186" t="str">
        <f t="shared" si="39"/>
        <v/>
      </c>
      <c r="Q186" t="str">
        <f t="shared" si="39"/>
        <v/>
      </c>
      <c r="R186" t="str">
        <f t="shared" si="39"/>
        <v/>
      </c>
      <c r="S186" t="str">
        <f t="shared" si="39"/>
        <v/>
      </c>
      <c r="T186" t="str">
        <f t="shared" si="39"/>
        <v/>
      </c>
      <c r="U186" t="str">
        <f t="shared" ref="U186:AB195" si="40">IFERROR(IFERROR(IF(U$5=$K$1,VLOOKUP($A186,dormitorios,2,0),IF(U$5=$L$1,VLOOKUP($A186,comedor,2,0),IF(U$5=$M$1,VLOOKUP($A186,alojamiento,2,0),IF(U$5=$N$1,VLOOKUP($A186,sanidad,2,0),IF(U$5=$O$1,VLOOKUP($A186,servicios,2,0),IF(U$5=$P$1,VLOOKUP($A186,comyaloj,2,0),IF(U$5=$Q$1,VLOOKUP($A186,comandancia,2,0),IF(U$5=$R$1,VLOOKUP($A186,mantenimiento,2,0),IF(U$5=$S$1,VLOOKUP($A186,serestatal,2,0),IF(U$5=$T$1,VLOOKUP($A186,conferencias,2,0),"")))))))))),"")*U$3,"")</f>
        <v/>
      </c>
      <c r="V186" t="str">
        <f t="shared" si="40"/>
        <v/>
      </c>
      <c r="W186" t="str">
        <f t="shared" si="40"/>
        <v/>
      </c>
      <c r="X186" t="str">
        <f t="shared" si="40"/>
        <v/>
      </c>
      <c r="Y186" t="str">
        <f t="shared" si="40"/>
        <v/>
      </c>
      <c r="Z186" t="str">
        <f t="shared" si="40"/>
        <v/>
      </c>
      <c r="AA186" t="str">
        <f t="shared" si="40"/>
        <v/>
      </c>
      <c r="AB186" t="str">
        <f t="shared" si="40"/>
        <v/>
      </c>
      <c r="AC186">
        <f t="shared" si="28"/>
        <v>8</v>
      </c>
    </row>
    <row r="187" spans="1:29" x14ac:dyDescent="0.35">
      <c r="A187">
        <v>182</v>
      </c>
      <c r="B187" t="s">
        <v>11</v>
      </c>
      <c r="C187" t="s">
        <v>1055</v>
      </c>
      <c r="D187" t="s">
        <v>1038</v>
      </c>
      <c r="E187" t="s">
        <v>662</v>
      </c>
      <c r="F187" t="s">
        <v>516</v>
      </c>
      <c r="G187" t="s">
        <v>0</v>
      </c>
      <c r="H187">
        <v>1.163</v>
      </c>
      <c r="I187">
        <v>2.7149999999999999</v>
      </c>
      <c r="J187" t="s">
        <v>6</v>
      </c>
      <c r="K187" t="str">
        <f t="shared" si="39"/>
        <v/>
      </c>
      <c r="L187" t="str">
        <f t="shared" si="39"/>
        <v/>
      </c>
      <c r="M187">
        <f t="shared" si="39"/>
        <v>4</v>
      </c>
      <c r="N187" t="str">
        <f t="shared" si="39"/>
        <v/>
      </c>
      <c r="O187" t="str">
        <f t="shared" si="39"/>
        <v/>
      </c>
      <c r="P187" t="str">
        <f t="shared" si="39"/>
        <v/>
      </c>
      <c r="Q187" t="str">
        <f t="shared" si="39"/>
        <v/>
      </c>
      <c r="R187" t="str">
        <f t="shared" si="39"/>
        <v/>
      </c>
      <c r="S187" t="str">
        <f t="shared" si="39"/>
        <v/>
      </c>
      <c r="T187" t="str">
        <f t="shared" si="39"/>
        <v/>
      </c>
      <c r="U187" t="str">
        <f t="shared" si="40"/>
        <v/>
      </c>
      <c r="V187" t="str">
        <f t="shared" si="40"/>
        <v/>
      </c>
      <c r="W187" t="str">
        <f t="shared" si="40"/>
        <v/>
      </c>
      <c r="X187" t="str">
        <f t="shared" si="40"/>
        <v/>
      </c>
      <c r="Y187" t="str">
        <f t="shared" si="40"/>
        <v/>
      </c>
      <c r="Z187" t="str">
        <f t="shared" si="40"/>
        <v/>
      </c>
      <c r="AA187" t="str">
        <f t="shared" si="40"/>
        <v/>
      </c>
      <c r="AB187" t="str">
        <f t="shared" si="40"/>
        <v/>
      </c>
      <c r="AC187">
        <f t="shared" si="28"/>
        <v>4</v>
      </c>
    </row>
    <row r="188" spans="1:29" x14ac:dyDescent="0.35">
      <c r="A188">
        <v>183</v>
      </c>
      <c r="B188" t="s">
        <v>11</v>
      </c>
      <c r="C188" t="s">
        <v>1056</v>
      </c>
      <c r="D188" t="s">
        <v>1042</v>
      </c>
      <c r="E188" t="s">
        <v>662</v>
      </c>
      <c r="F188" t="s">
        <v>516</v>
      </c>
      <c r="G188" t="s">
        <v>0</v>
      </c>
      <c r="H188">
        <v>1.976</v>
      </c>
      <c r="I188">
        <v>2.7149999999999999</v>
      </c>
      <c r="J188" t="s">
        <v>6</v>
      </c>
      <c r="K188" t="str">
        <f t="shared" si="39"/>
        <v/>
      </c>
      <c r="L188" t="str">
        <f t="shared" si="39"/>
        <v/>
      </c>
      <c r="M188">
        <f t="shared" si="39"/>
        <v>4</v>
      </c>
      <c r="N188" t="str">
        <f t="shared" si="39"/>
        <v/>
      </c>
      <c r="O188" t="str">
        <f t="shared" si="39"/>
        <v/>
      </c>
      <c r="P188" t="str">
        <f t="shared" si="39"/>
        <v/>
      </c>
      <c r="Q188" t="str">
        <f t="shared" si="39"/>
        <v/>
      </c>
      <c r="R188" t="str">
        <f t="shared" si="39"/>
        <v/>
      </c>
      <c r="S188" t="str">
        <f t="shared" si="39"/>
        <v/>
      </c>
      <c r="T188" t="str">
        <f t="shared" si="39"/>
        <v/>
      </c>
      <c r="U188" t="str">
        <f t="shared" si="40"/>
        <v/>
      </c>
      <c r="V188" t="str">
        <f t="shared" si="40"/>
        <v/>
      </c>
      <c r="W188" t="str">
        <f t="shared" si="40"/>
        <v/>
      </c>
      <c r="X188" t="str">
        <f t="shared" si="40"/>
        <v/>
      </c>
      <c r="Y188" t="str">
        <f t="shared" si="40"/>
        <v/>
      </c>
      <c r="Z188" t="str">
        <f t="shared" si="40"/>
        <v/>
      </c>
      <c r="AA188" t="str">
        <f t="shared" si="40"/>
        <v/>
      </c>
      <c r="AB188" t="str">
        <f t="shared" si="40"/>
        <v/>
      </c>
      <c r="AC188">
        <f t="shared" si="28"/>
        <v>4</v>
      </c>
    </row>
    <row r="189" spans="1:29" x14ac:dyDescent="0.35">
      <c r="A189">
        <v>184</v>
      </c>
      <c r="B189" t="s">
        <v>11</v>
      </c>
      <c r="C189" t="s">
        <v>1057</v>
      </c>
      <c r="D189" t="s">
        <v>1047</v>
      </c>
      <c r="E189" t="s">
        <v>662</v>
      </c>
      <c r="F189" t="s">
        <v>673</v>
      </c>
      <c r="G189" t="s">
        <v>0</v>
      </c>
      <c r="H189">
        <v>1.0129999999999999</v>
      </c>
      <c r="I189">
        <v>2.7149999999999999</v>
      </c>
      <c r="J189" t="s">
        <v>6</v>
      </c>
      <c r="K189" t="str">
        <f t="shared" si="39"/>
        <v/>
      </c>
      <c r="L189" t="str">
        <f t="shared" si="39"/>
        <v/>
      </c>
      <c r="M189">
        <f t="shared" si="39"/>
        <v>4</v>
      </c>
      <c r="N189" t="str">
        <f t="shared" si="39"/>
        <v/>
      </c>
      <c r="O189" t="str">
        <f t="shared" si="39"/>
        <v/>
      </c>
      <c r="P189" t="str">
        <f t="shared" si="39"/>
        <v/>
      </c>
      <c r="Q189" t="str">
        <f t="shared" si="39"/>
        <v/>
      </c>
      <c r="R189" t="str">
        <f t="shared" si="39"/>
        <v/>
      </c>
      <c r="S189" t="str">
        <f t="shared" si="39"/>
        <v/>
      </c>
      <c r="T189" t="str">
        <f t="shared" si="39"/>
        <v/>
      </c>
      <c r="U189" t="str">
        <f t="shared" si="40"/>
        <v/>
      </c>
      <c r="V189" t="str">
        <f t="shared" si="40"/>
        <v/>
      </c>
      <c r="W189" t="str">
        <f t="shared" si="40"/>
        <v/>
      </c>
      <c r="X189" t="str">
        <f t="shared" si="40"/>
        <v/>
      </c>
      <c r="Y189" t="str">
        <f t="shared" si="40"/>
        <v/>
      </c>
      <c r="Z189" t="str">
        <f t="shared" si="40"/>
        <v/>
      </c>
      <c r="AA189" t="str">
        <f t="shared" si="40"/>
        <v/>
      </c>
      <c r="AB189" t="str">
        <f t="shared" si="40"/>
        <v/>
      </c>
      <c r="AC189">
        <f t="shared" si="28"/>
        <v>4</v>
      </c>
    </row>
    <row r="190" spans="1:29" x14ac:dyDescent="0.35">
      <c r="A190">
        <v>185</v>
      </c>
      <c r="B190" t="s">
        <v>11</v>
      </c>
      <c r="C190" t="s">
        <v>1102</v>
      </c>
      <c r="D190" t="s">
        <v>1101</v>
      </c>
      <c r="E190" t="s">
        <v>662</v>
      </c>
      <c r="F190" t="s">
        <v>516</v>
      </c>
      <c r="G190" t="s">
        <v>2</v>
      </c>
      <c r="H190">
        <v>1.038</v>
      </c>
      <c r="I190">
        <v>2.7149999999999999</v>
      </c>
      <c r="J190" t="s">
        <v>6</v>
      </c>
      <c r="K190" t="str">
        <f t="shared" si="39"/>
        <v/>
      </c>
      <c r="L190">
        <f t="shared" si="39"/>
        <v>6</v>
      </c>
      <c r="M190" t="str">
        <f t="shared" si="39"/>
        <v/>
      </c>
      <c r="N190" t="str">
        <f t="shared" si="39"/>
        <v/>
      </c>
      <c r="O190" t="str">
        <f t="shared" si="39"/>
        <v/>
      </c>
      <c r="P190" t="str">
        <f t="shared" si="39"/>
        <v/>
      </c>
      <c r="Q190" t="str">
        <f t="shared" si="39"/>
        <v/>
      </c>
      <c r="R190" t="str">
        <f t="shared" si="39"/>
        <v/>
      </c>
      <c r="S190" t="str">
        <f t="shared" si="39"/>
        <v/>
      </c>
      <c r="T190" t="str">
        <f t="shared" si="39"/>
        <v/>
      </c>
      <c r="U190" t="str">
        <f t="shared" si="40"/>
        <v/>
      </c>
      <c r="V190" t="str">
        <f t="shared" si="40"/>
        <v/>
      </c>
      <c r="W190" t="str">
        <f t="shared" si="40"/>
        <v/>
      </c>
      <c r="X190" t="str">
        <f t="shared" si="40"/>
        <v/>
      </c>
      <c r="Y190" t="str">
        <f t="shared" si="40"/>
        <v/>
      </c>
      <c r="Z190" t="str">
        <f t="shared" si="40"/>
        <v/>
      </c>
      <c r="AA190" t="str">
        <f t="shared" si="40"/>
        <v/>
      </c>
      <c r="AB190" t="str">
        <f t="shared" si="40"/>
        <v/>
      </c>
      <c r="AC190">
        <f t="shared" si="28"/>
        <v>6</v>
      </c>
    </row>
    <row r="191" spans="1:29" x14ac:dyDescent="0.35">
      <c r="A191">
        <v>186</v>
      </c>
      <c r="B191" t="s">
        <v>11</v>
      </c>
      <c r="C191" t="s">
        <v>1114</v>
      </c>
      <c r="D191" t="s">
        <v>1115</v>
      </c>
      <c r="E191" t="s">
        <v>662</v>
      </c>
      <c r="F191" t="s">
        <v>673</v>
      </c>
      <c r="G191" t="s">
        <v>0</v>
      </c>
      <c r="H191">
        <v>1.367</v>
      </c>
      <c r="I191">
        <v>2.7149999999999999</v>
      </c>
      <c r="J191" t="s">
        <v>6</v>
      </c>
      <c r="K191" t="str">
        <f t="shared" si="39"/>
        <v/>
      </c>
      <c r="L191">
        <f t="shared" si="39"/>
        <v>6</v>
      </c>
      <c r="M191" t="str">
        <f t="shared" si="39"/>
        <v/>
      </c>
      <c r="N191" t="str">
        <f t="shared" si="39"/>
        <v/>
      </c>
      <c r="O191" t="str">
        <f t="shared" si="39"/>
        <v/>
      </c>
      <c r="P191" t="str">
        <f t="shared" si="39"/>
        <v/>
      </c>
      <c r="Q191" t="str">
        <f t="shared" si="39"/>
        <v/>
      </c>
      <c r="R191" t="str">
        <f t="shared" si="39"/>
        <v/>
      </c>
      <c r="S191" t="str">
        <f t="shared" si="39"/>
        <v/>
      </c>
      <c r="T191" t="str">
        <f t="shared" si="39"/>
        <v/>
      </c>
      <c r="U191" t="str">
        <f t="shared" si="40"/>
        <v/>
      </c>
      <c r="V191" t="str">
        <f t="shared" si="40"/>
        <v/>
      </c>
      <c r="W191" t="str">
        <f t="shared" si="40"/>
        <v/>
      </c>
      <c r="X191" t="str">
        <f t="shared" si="40"/>
        <v/>
      </c>
      <c r="Y191" t="str">
        <f t="shared" si="40"/>
        <v/>
      </c>
      <c r="Z191" t="str">
        <f t="shared" si="40"/>
        <v/>
      </c>
      <c r="AA191" t="str">
        <f t="shared" si="40"/>
        <v/>
      </c>
      <c r="AB191" t="str">
        <f t="shared" si="40"/>
        <v/>
      </c>
      <c r="AC191">
        <f t="shared" si="28"/>
        <v>6</v>
      </c>
    </row>
    <row r="192" spans="1:29" x14ac:dyDescent="0.35">
      <c r="A192">
        <v>187</v>
      </c>
      <c r="B192" t="s">
        <v>11</v>
      </c>
      <c r="C192" t="s">
        <v>1119</v>
      </c>
      <c r="D192" t="s">
        <v>1122</v>
      </c>
      <c r="E192" t="s">
        <v>1</v>
      </c>
      <c r="F192" t="s">
        <v>889</v>
      </c>
      <c r="G192" t="s">
        <v>0</v>
      </c>
      <c r="H192">
        <v>0.997</v>
      </c>
      <c r="I192">
        <v>2.7149999999999999</v>
      </c>
      <c r="J192" t="s">
        <v>6</v>
      </c>
      <c r="K192" t="str">
        <f t="shared" si="39"/>
        <v/>
      </c>
      <c r="L192" t="str">
        <f t="shared" si="39"/>
        <v/>
      </c>
      <c r="M192" t="str">
        <f t="shared" si="39"/>
        <v/>
      </c>
      <c r="N192" t="str">
        <f t="shared" si="39"/>
        <v/>
      </c>
      <c r="O192" t="str">
        <f t="shared" si="39"/>
        <v/>
      </c>
      <c r="P192" t="str">
        <f t="shared" si="39"/>
        <v/>
      </c>
      <c r="Q192" t="str">
        <f t="shared" si="39"/>
        <v/>
      </c>
      <c r="R192" t="str">
        <f t="shared" si="39"/>
        <v/>
      </c>
      <c r="S192" t="str">
        <f t="shared" si="39"/>
        <v/>
      </c>
      <c r="T192" t="str">
        <f t="shared" si="39"/>
        <v/>
      </c>
      <c r="U192" t="str">
        <f t="shared" si="40"/>
        <v/>
      </c>
      <c r="V192" t="str">
        <f t="shared" si="40"/>
        <v/>
      </c>
      <c r="W192" t="str">
        <f t="shared" si="40"/>
        <v/>
      </c>
      <c r="X192" t="str">
        <f t="shared" si="40"/>
        <v/>
      </c>
      <c r="Y192" t="str">
        <f t="shared" si="40"/>
        <v/>
      </c>
      <c r="Z192" t="str">
        <f t="shared" si="40"/>
        <v/>
      </c>
      <c r="AA192" t="str">
        <f t="shared" si="40"/>
        <v/>
      </c>
      <c r="AB192" t="str">
        <f t="shared" si="40"/>
        <v/>
      </c>
      <c r="AC192">
        <f t="shared" si="28"/>
        <v>0</v>
      </c>
    </row>
    <row r="193" spans="1:29" x14ac:dyDescent="0.35">
      <c r="A193">
        <v>188</v>
      </c>
      <c r="B193" t="s">
        <v>11</v>
      </c>
      <c r="C193" t="s">
        <v>1120</v>
      </c>
      <c r="D193" t="s">
        <v>1123</v>
      </c>
      <c r="E193" t="s">
        <v>662</v>
      </c>
      <c r="F193" t="s">
        <v>673</v>
      </c>
      <c r="G193" t="s">
        <v>2</v>
      </c>
      <c r="H193">
        <v>1.895</v>
      </c>
      <c r="I193">
        <v>2.7149999999999999</v>
      </c>
      <c r="J193" t="s">
        <v>6</v>
      </c>
      <c r="K193" t="str">
        <f t="shared" si="39"/>
        <v/>
      </c>
      <c r="L193" t="str">
        <f t="shared" si="39"/>
        <v/>
      </c>
      <c r="M193" t="str">
        <f t="shared" si="39"/>
        <v/>
      </c>
      <c r="N193" t="str">
        <f t="shared" si="39"/>
        <v/>
      </c>
      <c r="O193" t="str">
        <f t="shared" si="39"/>
        <v/>
      </c>
      <c r="P193" t="str">
        <f t="shared" si="39"/>
        <v/>
      </c>
      <c r="Q193" t="str">
        <f t="shared" si="39"/>
        <v/>
      </c>
      <c r="R193" t="str">
        <f t="shared" si="39"/>
        <v/>
      </c>
      <c r="S193" t="str">
        <f t="shared" si="39"/>
        <v/>
      </c>
      <c r="T193" t="str">
        <f t="shared" si="39"/>
        <v/>
      </c>
      <c r="U193" t="str">
        <f t="shared" si="40"/>
        <v/>
      </c>
      <c r="V193" t="str">
        <f t="shared" si="40"/>
        <v/>
      </c>
      <c r="W193" t="str">
        <f t="shared" si="40"/>
        <v/>
      </c>
      <c r="X193" t="str">
        <f t="shared" si="40"/>
        <v/>
      </c>
      <c r="Y193" t="str">
        <f t="shared" si="40"/>
        <v/>
      </c>
      <c r="Z193" t="str">
        <f t="shared" si="40"/>
        <v/>
      </c>
      <c r="AA193" t="str">
        <f t="shared" si="40"/>
        <v/>
      </c>
      <c r="AB193" t="str">
        <f t="shared" si="40"/>
        <v/>
      </c>
      <c r="AC193">
        <f t="shared" si="28"/>
        <v>0</v>
      </c>
    </row>
    <row r="194" spans="1:29" x14ac:dyDescent="0.35">
      <c r="A194">
        <v>189</v>
      </c>
      <c r="B194" t="s">
        <v>11</v>
      </c>
      <c r="C194" t="s">
        <v>1121</v>
      </c>
      <c r="D194" t="s">
        <v>1124</v>
      </c>
      <c r="E194" t="s">
        <v>1</v>
      </c>
      <c r="F194" t="s">
        <v>1135</v>
      </c>
      <c r="G194" t="s">
        <v>2</v>
      </c>
      <c r="H194">
        <v>1.95</v>
      </c>
      <c r="I194">
        <v>2.7149999999999999</v>
      </c>
      <c r="J194" t="s">
        <v>6</v>
      </c>
      <c r="K194" t="str">
        <f t="shared" si="39"/>
        <v/>
      </c>
      <c r="L194" t="str">
        <f t="shared" si="39"/>
        <v/>
      </c>
      <c r="M194" t="str">
        <f t="shared" si="39"/>
        <v/>
      </c>
      <c r="N194" t="str">
        <f t="shared" si="39"/>
        <v/>
      </c>
      <c r="O194" t="str">
        <f t="shared" si="39"/>
        <v/>
      </c>
      <c r="P194" t="str">
        <f t="shared" si="39"/>
        <v/>
      </c>
      <c r="Q194" t="str">
        <f t="shared" si="39"/>
        <v/>
      </c>
      <c r="R194" t="str">
        <f t="shared" si="39"/>
        <v/>
      </c>
      <c r="S194" t="str">
        <f t="shared" si="39"/>
        <v/>
      </c>
      <c r="T194" t="str">
        <f t="shared" si="39"/>
        <v/>
      </c>
      <c r="U194" t="str">
        <f t="shared" si="40"/>
        <v/>
      </c>
      <c r="V194" t="str">
        <f t="shared" si="40"/>
        <v/>
      </c>
      <c r="W194" t="str">
        <f t="shared" si="40"/>
        <v/>
      </c>
      <c r="X194" t="str">
        <f t="shared" si="40"/>
        <v/>
      </c>
      <c r="Y194" t="str">
        <f t="shared" si="40"/>
        <v/>
      </c>
      <c r="Z194" t="str">
        <f t="shared" si="40"/>
        <v/>
      </c>
      <c r="AA194" t="str">
        <f t="shared" si="40"/>
        <v/>
      </c>
      <c r="AB194" t="str">
        <f t="shared" si="40"/>
        <v/>
      </c>
      <c r="AC194">
        <f t="shared" si="28"/>
        <v>0</v>
      </c>
    </row>
    <row r="195" spans="1:29" x14ac:dyDescent="0.35">
      <c r="A195">
        <v>190</v>
      </c>
      <c r="B195" t="s">
        <v>11</v>
      </c>
      <c r="C195" t="s">
        <v>1125</v>
      </c>
      <c r="D195" t="s">
        <v>1126</v>
      </c>
      <c r="E195" t="s">
        <v>1</v>
      </c>
      <c r="F195" t="s">
        <v>1135</v>
      </c>
      <c r="G195" t="s">
        <v>2</v>
      </c>
      <c r="H195">
        <v>1.99</v>
      </c>
      <c r="I195">
        <v>2.7149999999999999</v>
      </c>
      <c r="J195" t="s">
        <v>6</v>
      </c>
      <c r="K195" t="str">
        <f t="shared" si="39"/>
        <v/>
      </c>
      <c r="L195" t="str">
        <f t="shared" si="39"/>
        <v/>
      </c>
      <c r="M195" t="str">
        <f t="shared" si="39"/>
        <v/>
      </c>
      <c r="N195" t="str">
        <f t="shared" si="39"/>
        <v/>
      </c>
      <c r="O195" t="str">
        <f t="shared" si="39"/>
        <v/>
      </c>
      <c r="P195" t="str">
        <f t="shared" si="39"/>
        <v/>
      </c>
      <c r="Q195" t="str">
        <f t="shared" si="39"/>
        <v/>
      </c>
      <c r="R195" t="str">
        <f t="shared" si="39"/>
        <v/>
      </c>
      <c r="S195" t="str">
        <f t="shared" si="39"/>
        <v/>
      </c>
      <c r="T195" t="str">
        <f t="shared" si="39"/>
        <v/>
      </c>
      <c r="U195" t="str">
        <f t="shared" si="40"/>
        <v/>
      </c>
      <c r="V195" t="str">
        <f t="shared" si="40"/>
        <v/>
      </c>
      <c r="W195" t="str">
        <f t="shared" si="40"/>
        <v/>
      </c>
      <c r="X195" t="str">
        <f t="shared" si="40"/>
        <v/>
      </c>
      <c r="Y195" t="str">
        <f t="shared" si="40"/>
        <v/>
      </c>
      <c r="Z195" t="str">
        <f t="shared" si="40"/>
        <v/>
      </c>
      <c r="AA195" t="str">
        <f t="shared" si="40"/>
        <v/>
      </c>
      <c r="AB195" t="str">
        <f t="shared" si="40"/>
        <v/>
      </c>
      <c r="AC195">
        <f t="shared" si="28"/>
        <v>0</v>
      </c>
    </row>
    <row r="196" spans="1:29" x14ac:dyDescent="0.35">
      <c r="A196">
        <v>191</v>
      </c>
      <c r="B196" t="s">
        <v>11</v>
      </c>
      <c r="C196" t="s">
        <v>1127</v>
      </c>
      <c r="D196" t="s">
        <v>1128</v>
      </c>
      <c r="E196" t="s">
        <v>1</v>
      </c>
      <c r="F196" t="s">
        <v>1135</v>
      </c>
      <c r="G196" t="s">
        <v>0</v>
      </c>
      <c r="H196">
        <v>1.0760000000000001</v>
      </c>
      <c r="I196">
        <v>2.7149999999999999</v>
      </c>
      <c r="J196" t="s">
        <v>6</v>
      </c>
      <c r="K196" t="str">
        <f t="shared" ref="K196:T205" si="41">IFERROR(IFERROR(IF(K$5=$K$1,VLOOKUP($A196,dormitorios,2,0),IF(K$5=$L$1,VLOOKUP($A196,comedor,2,0),IF(K$5=$M$1,VLOOKUP($A196,alojamiento,2,0),IF(K$5=$N$1,VLOOKUP($A196,sanidad,2,0),IF(K$5=$O$1,VLOOKUP($A196,servicios,2,0),IF(K$5=$P$1,VLOOKUP($A196,comyaloj,2,0),IF(K$5=$Q$1,VLOOKUP($A196,comandancia,2,0),IF(K$5=$R$1,VLOOKUP($A196,mantenimiento,2,0),IF(K$5=$S$1,VLOOKUP($A196,serestatal,2,0),IF(K$5=$T$1,VLOOKUP($A196,conferencias,2,0),"")))))))))),"")*K$3,"")</f>
        <v/>
      </c>
      <c r="L196" t="str">
        <f t="shared" si="41"/>
        <v/>
      </c>
      <c r="M196" t="str">
        <f t="shared" si="41"/>
        <v/>
      </c>
      <c r="N196" t="str">
        <f t="shared" si="41"/>
        <v/>
      </c>
      <c r="O196" t="str">
        <f t="shared" si="41"/>
        <v/>
      </c>
      <c r="P196" t="str">
        <f t="shared" si="41"/>
        <v/>
      </c>
      <c r="Q196" t="str">
        <f t="shared" si="41"/>
        <v/>
      </c>
      <c r="R196" t="str">
        <f t="shared" si="41"/>
        <v/>
      </c>
      <c r="S196" t="str">
        <f t="shared" si="41"/>
        <v/>
      </c>
      <c r="T196" t="str">
        <f t="shared" si="41"/>
        <v/>
      </c>
      <c r="U196" t="str">
        <f t="shared" ref="U196:AB205" si="42">IFERROR(IFERROR(IF(U$5=$K$1,VLOOKUP($A196,dormitorios,2,0),IF(U$5=$L$1,VLOOKUP($A196,comedor,2,0),IF(U$5=$M$1,VLOOKUP($A196,alojamiento,2,0),IF(U$5=$N$1,VLOOKUP($A196,sanidad,2,0),IF(U$5=$O$1,VLOOKUP($A196,servicios,2,0),IF(U$5=$P$1,VLOOKUP($A196,comyaloj,2,0),IF(U$5=$Q$1,VLOOKUP($A196,comandancia,2,0),IF(U$5=$R$1,VLOOKUP($A196,mantenimiento,2,0),IF(U$5=$S$1,VLOOKUP($A196,serestatal,2,0),IF(U$5=$T$1,VLOOKUP($A196,conferencias,2,0),"")))))))))),"")*U$3,"")</f>
        <v/>
      </c>
      <c r="V196" t="str">
        <f t="shared" si="42"/>
        <v/>
      </c>
      <c r="W196" t="str">
        <f t="shared" si="42"/>
        <v/>
      </c>
      <c r="X196" t="str">
        <f t="shared" si="42"/>
        <v/>
      </c>
      <c r="Y196" t="str">
        <f t="shared" si="42"/>
        <v/>
      </c>
      <c r="Z196" t="str">
        <f t="shared" si="42"/>
        <v/>
      </c>
      <c r="AA196" t="str">
        <f t="shared" si="42"/>
        <v/>
      </c>
      <c r="AB196" t="str">
        <f t="shared" si="42"/>
        <v/>
      </c>
      <c r="AC196">
        <f t="shared" si="28"/>
        <v>0</v>
      </c>
    </row>
    <row r="197" spans="1:29" x14ac:dyDescent="0.35">
      <c r="A197">
        <v>192</v>
      </c>
      <c r="B197" t="s">
        <v>11</v>
      </c>
      <c r="C197" t="s">
        <v>1129</v>
      </c>
      <c r="D197" t="s">
        <v>1130</v>
      </c>
      <c r="E197" t="s">
        <v>1</v>
      </c>
      <c r="F197" t="s">
        <v>1135</v>
      </c>
      <c r="G197" t="s">
        <v>0</v>
      </c>
      <c r="H197">
        <v>1.9159999999999999</v>
      </c>
      <c r="I197">
        <v>2.7149999999999999</v>
      </c>
      <c r="J197" t="s">
        <v>6</v>
      </c>
      <c r="K197" t="str">
        <f t="shared" si="41"/>
        <v/>
      </c>
      <c r="L197" t="str">
        <f t="shared" si="41"/>
        <v/>
      </c>
      <c r="M197" t="str">
        <f t="shared" si="41"/>
        <v/>
      </c>
      <c r="N197" t="str">
        <f t="shared" si="41"/>
        <v/>
      </c>
      <c r="O197" t="str">
        <f t="shared" si="41"/>
        <v/>
      </c>
      <c r="P197" t="str">
        <f t="shared" si="41"/>
        <v/>
      </c>
      <c r="Q197" t="str">
        <f t="shared" si="41"/>
        <v/>
      </c>
      <c r="R197" t="str">
        <f t="shared" si="41"/>
        <v/>
      </c>
      <c r="S197" t="str">
        <f t="shared" si="41"/>
        <v/>
      </c>
      <c r="T197" t="str">
        <f t="shared" si="41"/>
        <v/>
      </c>
      <c r="U197" t="str">
        <f t="shared" si="42"/>
        <v/>
      </c>
      <c r="V197" t="str">
        <f t="shared" si="42"/>
        <v/>
      </c>
      <c r="W197" t="str">
        <f t="shared" si="42"/>
        <v/>
      </c>
      <c r="X197" t="str">
        <f t="shared" si="42"/>
        <v/>
      </c>
      <c r="Y197" t="str">
        <f t="shared" si="42"/>
        <v/>
      </c>
      <c r="Z197" t="str">
        <f t="shared" si="42"/>
        <v/>
      </c>
      <c r="AA197" t="str">
        <f t="shared" si="42"/>
        <v/>
      </c>
      <c r="AB197" t="str">
        <f t="shared" si="42"/>
        <v/>
      </c>
      <c r="AC197">
        <f t="shared" si="28"/>
        <v>0</v>
      </c>
    </row>
    <row r="198" spans="1:29" x14ac:dyDescent="0.35">
      <c r="A198">
        <v>193</v>
      </c>
      <c r="B198" t="s">
        <v>11</v>
      </c>
      <c r="C198" t="s">
        <v>1131</v>
      </c>
      <c r="D198" t="s">
        <v>1132</v>
      </c>
      <c r="E198" t="s">
        <v>1</v>
      </c>
      <c r="F198" t="s">
        <v>1135</v>
      </c>
      <c r="G198" t="s">
        <v>0</v>
      </c>
      <c r="H198">
        <v>1.0069999999999999</v>
      </c>
      <c r="I198">
        <v>2.7149999999999999</v>
      </c>
      <c r="J198" t="s">
        <v>6</v>
      </c>
      <c r="K198" t="str">
        <f t="shared" si="41"/>
        <v/>
      </c>
      <c r="L198" t="str">
        <f t="shared" si="41"/>
        <v/>
      </c>
      <c r="M198" t="str">
        <f t="shared" si="41"/>
        <v/>
      </c>
      <c r="N198" t="str">
        <f t="shared" si="41"/>
        <v/>
      </c>
      <c r="O198" t="str">
        <f t="shared" si="41"/>
        <v/>
      </c>
      <c r="P198" t="str">
        <f t="shared" si="41"/>
        <v/>
      </c>
      <c r="Q198" t="str">
        <f t="shared" si="41"/>
        <v/>
      </c>
      <c r="R198" t="str">
        <f t="shared" si="41"/>
        <v/>
      </c>
      <c r="S198" t="str">
        <f t="shared" si="41"/>
        <v/>
      </c>
      <c r="T198" t="str">
        <f t="shared" si="41"/>
        <v/>
      </c>
      <c r="U198" t="str">
        <f t="shared" si="42"/>
        <v/>
      </c>
      <c r="V198" t="str">
        <f t="shared" si="42"/>
        <v/>
      </c>
      <c r="W198" t="str">
        <f t="shared" si="42"/>
        <v/>
      </c>
      <c r="X198" t="str">
        <f t="shared" si="42"/>
        <v/>
      </c>
      <c r="Y198" t="str">
        <f t="shared" si="42"/>
        <v/>
      </c>
      <c r="Z198" t="str">
        <f t="shared" si="42"/>
        <v/>
      </c>
      <c r="AA198" t="str">
        <f t="shared" si="42"/>
        <v/>
      </c>
      <c r="AB198" t="str">
        <f t="shared" si="42"/>
        <v/>
      </c>
      <c r="AC198">
        <f t="shared" ref="AC198:AC261" si="43">SUM(K198:AB198)</f>
        <v>0</v>
      </c>
    </row>
    <row r="199" spans="1:29" x14ac:dyDescent="0.35">
      <c r="A199">
        <v>194</v>
      </c>
      <c r="B199" t="s">
        <v>11</v>
      </c>
      <c r="C199" t="s">
        <v>1133</v>
      </c>
      <c r="D199" t="s">
        <v>1134</v>
      </c>
      <c r="E199" t="s">
        <v>1</v>
      </c>
      <c r="F199" t="s">
        <v>1135</v>
      </c>
      <c r="G199" t="s">
        <v>2</v>
      </c>
      <c r="H199">
        <v>1.99</v>
      </c>
      <c r="I199">
        <v>2.7149999999999999</v>
      </c>
      <c r="J199" t="s">
        <v>6</v>
      </c>
      <c r="K199" t="str">
        <f t="shared" si="41"/>
        <v/>
      </c>
      <c r="L199" t="str">
        <f t="shared" si="41"/>
        <v/>
      </c>
      <c r="M199" t="str">
        <f t="shared" si="41"/>
        <v/>
      </c>
      <c r="N199" t="str">
        <f t="shared" si="41"/>
        <v/>
      </c>
      <c r="O199" t="str">
        <f t="shared" si="41"/>
        <v/>
      </c>
      <c r="P199" t="str">
        <f t="shared" si="41"/>
        <v/>
      </c>
      <c r="Q199" t="str">
        <f t="shared" si="41"/>
        <v/>
      </c>
      <c r="R199" t="str">
        <f t="shared" si="41"/>
        <v/>
      </c>
      <c r="S199" t="str">
        <f t="shared" si="41"/>
        <v/>
      </c>
      <c r="T199" t="str">
        <f t="shared" si="41"/>
        <v/>
      </c>
      <c r="U199" t="str">
        <f t="shared" si="42"/>
        <v/>
      </c>
      <c r="V199" t="str">
        <f t="shared" si="42"/>
        <v/>
      </c>
      <c r="W199" t="str">
        <f t="shared" si="42"/>
        <v/>
      </c>
      <c r="X199" t="str">
        <f t="shared" si="42"/>
        <v/>
      </c>
      <c r="Y199" t="str">
        <f t="shared" si="42"/>
        <v/>
      </c>
      <c r="Z199" t="str">
        <f t="shared" si="42"/>
        <v/>
      </c>
      <c r="AA199" t="str">
        <f t="shared" si="42"/>
        <v/>
      </c>
      <c r="AB199" t="str">
        <f t="shared" si="42"/>
        <v/>
      </c>
      <c r="AC199">
        <f t="shared" si="43"/>
        <v>0</v>
      </c>
    </row>
    <row r="200" spans="1:29" x14ac:dyDescent="0.35">
      <c r="A200">
        <v>195</v>
      </c>
      <c r="B200" t="s">
        <v>11</v>
      </c>
      <c r="C200" t="s">
        <v>1149</v>
      </c>
      <c r="D200" t="s">
        <v>1150</v>
      </c>
      <c r="E200" t="s">
        <v>662</v>
      </c>
      <c r="F200" t="s">
        <v>673</v>
      </c>
      <c r="G200" t="s">
        <v>2</v>
      </c>
      <c r="H200">
        <v>1.56</v>
      </c>
      <c r="I200">
        <v>2.7149999999999999</v>
      </c>
      <c r="J200" t="s">
        <v>6</v>
      </c>
      <c r="K200" t="str">
        <f t="shared" si="41"/>
        <v/>
      </c>
      <c r="L200" t="str">
        <f t="shared" si="41"/>
        <v/>
      </c>
      <c r="M200" t="str">
        <f t="shared" si="41"/>
        <v/>
      </c>
      <c r="N200" t="str">
        <f t="shared" si="41"/>
        <v/>
      </c>
      <c r="O200" t="str">
        <f t="shared" si="41"/>
        <v/>
      </c>
      <c r="P200" t="str">
        <f t="shared" si="41"/>
        <v/>
      </c>
      <c r="Q200" t="str">
        <f t="shared" si="41"/>
        <v/>
      </c>
      <c r="R200" t="str">
        <f t="shared" si="41"/>
        <v/>
      </c>
      <c r="S200" t="str">
        <f t="shared" si="41"/>
        <v/>
      </c>
      <c r="T200" t="str">
        <f t="shared" si="41"/>
        <v/>
      </c>
      <c r="U200" t="str">
        <f t="shared" si="42"/>
        <v/>
      </c>
      <c r="V200" t="str">
        <f t="shared" si="42"/>
        <v/>
      </c>
      <c r="W200" t="str">
        <f t="shared" si="42"/>
        <v/>
      </c>
      <c r="X200" t="str">
        <f t="shared" si="42"/>
        <v/>
      </c>
      <c r="Y200" t="str">
        <f t="shared" si="42"/>
        <v/>
      </c>
      <c r="Z200" t="str">
        <f t="shared" si="42"/>
        <v/>
      </c>
      <c r="AA200" t="str">
        <f t="shared" si="42"/>
        <v/>
      </c>
      <c r="AB200" t="str">
        <f t="shared" si="42"/>
        <v/>
      </c>
      <c r="AC200">
        <f t="shared" si="43"/>
        <v>0</v>
      </c>
    </row>
    <row r="201" spans="1:29" x14ac:dyDescent="0.35">
      <c r="A201">
        <v>196</v>
      </c>
      <c r="B201" t="s">
        <v>11</v>
      </c>
      <c r="C201" t="s">
        <v>1156</v>
      </c>
      <c r="D201" t="s">
        <v>1157</v>
      </c>
      <c r="E201" t="s">
        <v>1177</v>
      </c>
      <c r="F201" t="s">
        <v>1135</v>
      </c>
      <c r="G201" t="s">
        <v>0</v>
      </c>
      <c r="H201">
        <v>1.99</v>
      </c>
      <c r="I201">
        <v>3</v>
      </c>
      <c r="J201" t="s">
        <v>6</v>
      </c>
      <c r="K201" t="str">
        <f t="shared" si="41"/>
        <v/>
      </c>
      <c r="L201" t="str">
        <f t="shared" si="41"/>
        <v/>
      </c>
      <c r="M201" t="str">
        <f t="shared" si="41"/>
        <v/>
      </c>
      <c r="N201" t="str">
        <f t="shared" si="41"/>
        <v/>
      </c>
      <c r="O201" t="str">
        <f t="shared" si="41"/>
        <v/>
      </c>
      <c r="P201" t="str">
        <f t="shared" si="41"/>
        <v/>
      </c>
      <c r="Q201" t="str">
        <f t="shared" si="41"/>
        <v/>
      </c>
      <c r="R201" t="str">
        <f t="shared" si="41"/>
        <v/>
      </c>
      <c r="S201" t="str">
        <f t="shared" si="41"/>
        <v/>
      </c>
      <c r="T201" t="str">
        <f t="shared" si="41"/>
        <v/>
      </c>
      <c r="U201" t="str">
        <f t="shared" si="42"/>
        <v/>
      </c>
      <c r="V201" t="str">
        <f t="shared" si="42"/>
        <v/>
      </c>
      <c r="W201" t="str">
        <f t="shared" si="42"/>
        <v/>
      </c>
      <c r="X201" t="str">
        <f t="shared" si="42"/>
        <v/>
      </c>
      <c r="Y201" t="str">
        <f t="shared" si="42"/>
        <v/>
      </c>
      <c r="Z201" t="str">
        <f t="shared" si="42"/>
        <v/>
      </c>
      <c r="AA201" t="str">
        <f t="shared" si="42"/>
        <v/>
      </c>
      <c r="AB201" t="str">
        <f t="shared" si="42"/>
        <v/>
      </c>
      <c r="AC201">
        <f t="shared" si="43"/>
        <v>0</v>
      </c>
    </row>
    <row r="202" spans="1:29" x14ac:dyDescent="0.35">
      <c r="A202">
        <v>197</v>
      </c>
      <c r="B202" t="s">
        <v>11</v>
      </c>
      <c r="C202" t="s">
        <v>1168</v>
      </c>
      <c r="D202" t="s">
        <v>1169</v>
      </c>
      <c r="E202" t="s">
        <v>1</v>
      </c>
      <c r="F202" t="s">
        <v>1135</v>
      </c>
      <c r="G202" t="s">
        <v>0</v>
      </c>
      <c r="H202">
        <v>1.9159999999999999</v>
      </c>
      <c r="I202">
        <v>3</v>
      </c>
      <c r="J202" t="s">
        <v>6</v>
      </c>
      <c r="K202" t="str">
        <f t="shared" si="41"/>
        <v/>
      </c>
      <c r="L202" t="str">
        <f t="shared" si="41"/>
        <v/>
      </c>
      <c r="M202" t="str">
        <f t="shared" si="41"/>
        <v/>
      </c>
      <c r="N202" t="str">
        <f t="shared" si="41"/>
        <v/>
      </c>
      <c r="O202" t="str">
        <f t="shared" si="41"/>
        <v/>
      </c>
      <c r="P202" t="str">
        <f t="shared" si="41"/>
        <v/>
      </c>
      <c r="Q202" t="str">
        <f t="shared" si="41"/>
        <v/>
      </c>
      <c r="R202" t="str">
        <f t="shared" si="41"/>
        <v/>
      </c>
      <c r="S202" t="str">
        <f t="shared" si="41"/>
        <v/>
      </c>
      <c r="T202" t="str">
        <f t="shared" si="41"/>
        <v/>
      </c>
      <c r="U202" t="str">
        <f t="shared" si="42"/>
        <v/>
      </c>
      <c r="V202" t="str">
        <f t="shared" si="42"/>
        <v/>
      </c>
      <c r="W202" t="str">
        <f t="shared" si="42"/>
        <v/>
      </c>
      <c r="X202" t="str">
        <f t="shared" si="42"/>
        <v/>
      </c>
      <c r="Y202" t="str">
        <f t="shared" si="42"/>
        <v/>
      </c>
      <c r="Z202" t="str">
        <f t="shared" si="42"/>
        <v/>
      </c>
      <c r="AA202" t="str">
        <f t="shared" si="42"/>
        <v/>
      </c>
      <c r="AB202" t="str">
        <f t="shared" si="42"/>
        <v/>
      </c>
      <c r="AC202">
        <f t="shared" si="43"/>
        <v>0</v>
      </c>
    </row>
    <row r="203" spans="1:29" x14ac:dyDescent="0.35">
      <c r="A203">
        <v>198</v>
      </c>
      <c r="B203" t="s">
        <v>11</v>
      </c>
      <c r="C203" t="s">
        <v>1175</v>
      </c>
      <c r="D203" t="s">
        <v>1176</v>
      </c>
      <c r="E203" t="s">
        <v>1</v>
      </c>
      <c r="F203" t="s">
        <v>1135</v>
      </c>
      <c r="G203" t="s">
        <v>0</v>
      </c>
      <c r="H203">
        <v>2.0299999999999998</v>
      </c>
      <c r="I203">
        <v>3</v>
      </c>
      <c r="J203" t="s">
        <v>6</v>
      </c>
      <c r="K203" t="str">
        <f t="shared" si="41"/>
        <v/>
      </c>
      <c r="L203" t="str">
        <f t="shared" si="41"/>
        <v/>
      </c>
      <c r="M203" t="str">
        <f t="shared" si="41"/>
        <v/>
      </c>
      <c r="N203" t="str">
        <f t="shared" si="41"/>
        <v/>
      </c>
      <c r="O203" t="str">
        <f t="shared" si="41"/>
        <v/>
      </c>
      <c r="P203" t="str">
        <f t="shared" si="41"/>
        <v/>
      </c>
      <c r="Q203" t="str">
        <f t="shared" si="41"/>
        <v/>
      </c>
      <c r="R203" t="str">
        <f t="shared" si="41"/>
        <v/>
      </c>
      <c r="S203" t="str">
        <f t="shared" si="41"/>
        <v/>
      </c>
      <c r="T203" t="str">
        <f t="shared" si="41"/>
        <v/>
      </c>
      <c r="U203" t="str">
        <f t="shared" si="42"/>
        <v/>
      </c>
      <c r="V203" t="str">
        <f t="shared" si="42"/>
        <v/>
      </c>
      <c r="W203" t="str">
        <f t="shared" si="42"/>
        <v/>
      </c>
      <c r="X203" t="str">
        <f t="shared" si="42"/>
        <v/>
      </c>
      <c r="Y203" t="str">
        <f t="shared" si="42"/>
        <v/>
      </c>
      <c r="Z203" t="str">
        <f t="shared" si="42"/>
        <v/>
      </c>
      <c r="AA203" t="str">
        <f t="shared" si="42"/>
        <v/>
      </c>
      <c r="AB203" t="str">
        <f t="shared" si="42"/>
        <v/>
      </c>
      <c r="AC203">
        <f t="shared" si="43"/>
        <v>0</v>
      </c>
    </row>
    <row r="204" spans="1:29" x14ac:dyDescent="0.35">
      <c r="A204">
        <v>199</v>
      </c>
      <c r="B204" t="s">
        <v>11</v>
      </c>
      <c r="C204" t="s">
        <v>1178</v>
      </c>
      <c r="D204" t="s">
        <v>1179</v>
      </c>
      <c r="E204" t="s">
        <v>1</v>
      </c>
      <c r="F204" t="s">
        <v>1135</v>
      </c>
      <c r="G204" t="s">
        <v>2</v>
      </c>
      <c r="H204">
        <v>1.05</v>
      </c>
      <c r="I204">
        <v>3</v>
      </c>
      <c r="J204" t="s">
        <v>6</v>
      </c>
      <c r="K204" t="str">
        <f t="shared" si="41"/>
        <v/>
      </c>
      <c r="L204" t="str">
        <f t="shared" si="41"/>
        <v/>
      </c>
      <c r="M204" t="str">
        <f t="shared" si="41"/>
        <v/>
      </c>
      <c r="N204" t="str">
        <f t="shared" si="41"/>
        <v/>
      </c>
      <c r="O204" t="str">
        <f t="shared" si="41"/>
        <v/>
      </c>
      <c r="P204" t="str">
        <f t="shared" si="41"/>
        <v/>
      </c>
      <c r="Q204" t="str">
        <f t="shared" si="41"/>
        <v/>
      </c>
      <c r="R204" t="str">
        <f t="shared" si="41"/>
        <v/>
      </c>
      <c r="S204" t="str">
        <f t="shared" si="41"/>
        <v/>
      </c>
      <c r="T204" t="str">
        <f t="shared" si="41"/>
        <v/>
      </c>
      <c r="U204" t="str">
        <f t="shared" si="42"/>
        <v/>
      </c>
      <c r="V204" t="str">
        <f t="shared" si="42"/>
        <v/>
      </c>
      <c r="W204" t="str">
        <f t="shared" si="42"/>
        <v/>
      </c>
      <c r="X204" t="str">
        <f t="shared" si="42"/>
        <v/>
      </c>
      <c r="Y204" t="str">
        <f t="shared" si="42"/>
        <v/>
      </c>
      <c r="Z204" t="str">
        <f t="shared" si="42"/>
        <v/>
      </c>
      <c r="AA204" t="str">
        <f t="shared" si="42"/>
        <v/>
      </c>
      <c r="AB204" t="str">
        <f t="shared" si="42"/>
        <v/>
      </c>
      <c r="AC204">
        <f t="shared" si="43"/>
        <v>0</v>
      </c>
    </row>
    <row r="205" spans="1:29" x14ac:dyDescent="0.35">
      <c r="A205">
        <v>200</v>
      </c>
      <c r="B205" t="s">
        <v>11</v>
      </c>
      <c r="C205" t="s">
        <v>1186</v>
      </c>
      <c r="D205" t="s">
        <v>1188</v>
      </c>
      <c r="E205" t="s">
        <v>1</v>
      </c>
      <c r="F205" t="s">
        <v>1135</v>
      </c>
      <c r="G205" t="s">
        <v>0</v>
      </c>
      <c r="H205">
        <v>0.94</v>
      </c>
      <c r="I205">
        <v>3</v>
      </c>
      <c r="J205" t="s">
        <v>6</v>
      </c>
      <c r="K205" t="str">
        <f t="shared" si="41"/>
        <v/>
      </c>
      <c r="L205" t="str">
        <f t="shared" si="41"/>
        <v/>
      </c>
      <c r="M205" t="str">
        <f t="shared" si="41"/>
        <v/>
      </c>
      <c r="N205" t="str">
        <f t="shared" si="41"/>
        <v/>
      </c>
      <c r="O205" t="str">
        <f t="shared" si="41"/>
        <v/>
      </c>
      <c r="P205" t="str">
        <f t="shared" si="41"/>
        <v/>
      </c>
      <c r="Q205" t="str">
        <f t="shared" si="41"/>
        <v/>
      </c>
      <c r="R205" t="str">
        <f t="shared" si="41"/>
        <v/>
      </c>
      <c r="S205" t="str">
        <f t="shared" si="41"/>
        <v/>
      </c>
      <c r="T205" t="str">
        <f t="shared" si="41"/>
        <v/>
      </c>
      <c r="U205" t="str">
        <f t="shared" si="42"/>
        <v/>
      </c>
      <c r="V205" t="str">
        <f t="shared" si="42"/>
        <v/>
      </c>
      <c r="W205" t="str">
        <f t="shared" si="42"/>
        <v/>
      </c>
      <c r="X205" t="str">
        <f t="shared" si="42"/>
        <v/>
      </c>
      <c r="Y205" t="str">
        <f t="shared" si="42"/>
        <v/>
      </c>
      <c r="Z205" t="str">
        <f t="shared" si="42"/>
        <v/>
      </c>
      <c r="AA205" t="str">
        <f t="shared" si="42"/>
        <v/>
      </c>
      <c r="AB205" t="str">
        <f t="shared" si="42"/>
        <v/>
      </c>
      <c r="AC205">
        <f t="shared" si="43"/>
        <v>0</v>
      </c>
    </row>
    <row r="206" spans="1:29" x14ac:dyDescent="0.35">
      <c r="A206">
        <v>201</v>
      </c>
      <c r="B206" t="s">
        <v>11</v>
      </c>
      <c r="C206" t="s">
        <v>1187</v>
      </c>
      <c r="D206" t="s">
        <v>1189</v>
      </c>
      <c r="E206" t="s">
        <v>1</v>
      </c>
      <c r="F206" t="s">
        <v>1135</v>
      </c>
      <c r="G206" t="s">
        <v>2</v>
      </c>
      <c r="H206">
        <v>1.968</v>
      </c>
      <c r="I206">
        <v>3</v>
      </c>
      <c r="J206" t="s">
        <v>6</v>
      </c>
      <c r="K206" t="str">
        <f t="shared" ref="K206:T215" si="44">IFERROR(IFERROR(IF(K$5=$K$1,VLOOKUP($A206,dormitorios,2,0),IF(K$5=$L$1,VLOOKUP($A206,comedor,2,0),IF(K$5=$M$1,VLOOKUP($A206,alojamiento,2,0),IF(K$5=$N$1,VLOOKUP($A206,sanidad,2,0),IF(K$5=$O$1,VLOOKUP($A206,servicios,2,0),IF(K$5=$P$1,VLOOKUP($A206,comyaloj,2,0),IF(K$5=$Q$1,VLOOKUP($A206,comandancia,2,0),IF(K$5=$R$1,VLOOKUP($A206,mantenimiento,2,0),IF(K$5=$S$1,VLOOKUP($A206,serestatal,2,0),IF(K$5=$T$1,VLOOKUP($A206,conferencias,2,0),"")))))))))),"")*K$3,"")</f>
        <v/>
      </c>
      <c r="L206" t="str">
        <f t="shared" si="44"/>
        <v/>
      </c>
      <c r="M206" t="str">
        <f t="shared" si="44"/>
        <v/>
      </c>
      <c r="N206" t="str">
        <f t="shared" si="44"/>
        <v/>
      </c>
      <c r="O206" t="str">
        <f t="shared" si="44"/>
        <v/>
      </c>
      <c r="P206" t="str">
        <f t="shared" si="44"/>
        <v/>
      </c>
      <c r="Q206" t="str">
        <f t="shared" si="44"/>
        <v/>
      </c>
      <c r="R206" t="str">
        <f t="shared" si="44"/>
        <v/>
      </c>
      <c r="S206" t="str">
        <f t="shared" si="44"/>
        <v/>
      </c>
      <c r="T206" t="str">
        <f t="shared" si="44"/>
        <v/>
      </c>
      <c r="U206" t="str">
        <f t="shared" ref="U206:AB215" si="45">IFERROR(IFERROR(IF(U$5=$K$1,VLOOKUP($A206,dormitorios,2,0),IF(U$5=$L$1,VLOOKUP($A206,comedor,2,0),IF(U$5=$M$1,VLOOKUP($A206,alojamiento,2,0),IF(U$5=$N$1,VLOOKUP($A206,sanidad,2,0),IF(U$5=$O$1,VLOOKUP($A206,servicios,2,0),IF(U$5=$P$1,VLOOKUP($A206,comyaloj,2,0),IF(U$5=$Q$1,VLOOKUP($A206,comandancia,2,0),IF(U$5=$R$1,VLOOKUP($A206,mantenimiento,2,0),IF(U$5=$S$1,VLOOKUP($A206,serestatal,2,0),IF(U$5=$T$1,VLOOKUP($A206,conferencias,2,0),"")))))))))),"")*U$3,"")</f>
        <v/>
      </c>
      <c r="V206" t="str">
        <f t="shared" si="45"/>
        <v/>
      </c>
      <c r="W206" t="str">
        <f t="shared" si="45"/>
        <v/>
      </c>
      <c r="X206" t="str">
        <f t="shared" si="45"/>
        <v/>
      </c>
      <c r="Y206" t="str">
        <f t="shared" si="45"/>
        <v/>
      </c>
      <c r="Z206" t="str">
        <f t="shared" si="45"/>
        <v/>
      </c>
      <c r="AA206" t="str">
        <f t="shared" si="45"/>
        <v/>
      </c>
      <c r="AB206" t="str">
        <f t="shared" si="45"/>
        <v/>
      </c>
      <c r="AC206">
        <f t="shared" si="43"/>
        <v>0</v>
      </c>
    </row>
    <row r="207" spans="1:29" x14ac:dyDescent="0.35">
      <c r="A207">
        <v>202</v>
      </c>
      <c r="B207" t="s">
        <v>11</v>
      </c>
      <c r="C207" t="s">
        <v>1227</v>
      </c>
      <c r="D207" t="s">
        <v>1228</v>
      </c>
      <c r="E207" t="s">
        <v>1</v>
      </c>
      <c r="F207" t="s">
        <v>1135</v>
      </c>
      <c r="G207" t="s">
        <v>0</v>
      </c>
      <c r="H207">
        <v>2.08</v>
      </c>
      <c r="I207">
        <v>3</v>
      </c>
      <c r="J207" t="s">
        <v>6</v>
      </c>
      <c r="K207" t="str">
        <f t="shared" si="44"/>
        <v/>
      </c>
      <c r="L207" t="str">
        <f t="shared" si="44"/>
        <v/>
      </c>
      <c r="M207" t="str">
        <f t="shared" si="44"/>
        <v/>
      </c>
      <c r="N207" t="str">
        <f t="shared" si="44"/>
        <v/>
      </c>
      <c r="O207" t="str">
        <f t="shared" si="44"/>
        <v/>
      </c>
      <c r="P207" t="str">
        <f t="shared" si="44"/>
        <v/>
      </c>
      <c r="Q207" t="str">
        <f t="shared" si="44"/>
        <v/>
      </c>
      <c r="R207" t="str">
        <f t="shared" si="44"/>
        <v/>
      </c>
      <c r="S207" t="str">
        <f t="shared" si="44"/>
        <v/>
      </c>
      <c r="T207" t="str">
        <f t="shared" si="44"/>
        <v/>
      </c>
      <c r="U207" t="str">
        <f t="shared" si="45"/>
        <v/>
      </c>
      <c r="V207" t="str">
        <f t="shared" si="45"/>
        <v/>
      </c>
      <c r="W207" t="str">
        <f t="shared" si="45"/>
        <v/>
      </c>
      <c r="X207" t="str">
        <f t="shared" si="45"/>
        <v/>
      </c>
      <c r="Y207" t="str">
        <f t="shared" si="45"/>
        <v/>
      </c>
      <c r="Z207" t="str">
        <f t="shared" si="45"/>
        <v/>
      </c>
      <c r="AA207" t="str">
        <f t="shared" si="45"/>
        <v/>
      </c>
      <c r="AB207" t="str">
        <f t="shared" si="45"/>
        <v/>
      </c>
      <c r="AC207">
        <f t="shared" si="43"/>
        <v>0</v>
      </c>
    </row>
    <row r="208" spans="1:29" x14ac:dyDescent="0.35">
      <c r="A208">
        <v>203</v>
      </c>
      <c r="B208" t="s">
        <v>11</v>
      </c>
      <c r="C208" t="s">
        <v>1149</v>
      </c>
      <c r="D208" t="s">
        <v>1245</v>
      </c>
      <c r="E208" t="s">
        <v>1</v>
      </c>
      <c r="F208" t="s">
        <v>516</v>
      </c>
      <c r="G208" t="s">
        <v>0</v>
      </c>
      <c r="H208">
        <v>1.252</v>
      </c>
      <c r="I208">
        <v>2.7149999999999999</v>
      </c>
      <c r="J208" t="s">
        <v>6</v>
      </c>
      <c r="K208" t="str">
        <f t="shared" si="44"/>
        <v/>
      </c>
      <c r="L208" t="str">
        <f t="shared" si="44"/>
        <v/>
      </c>
      <c r="M208" t="str">
        <f t="shared" si="44"/>
        <v/>
      </c>
      <c r="N208" t="str">
        <f t="shared" si="44"/>
        <v/>
      </c>
      <c r="O208" t="str">
        <f t="shared" si="44"/>
        <v/>
      </c>
      <c r="P208" t="str">
        <f t="shared" si="44"/>
        <v/>
      </c>
      <c r="Q208" t="str">
        <f t="shared" si="44"/>
        <v/>
      </c>
      <c r="R208" t="str">
        <f t="shared" si="44"/>
        <v/>
      </c>
      <c r="S208" t="str">
        <f t="shared" si="44"/>
        <v/>
      </c>
      <c r="T208" t="str">
        <f t="shared" si="44"/>
        <v/>
      </c>
      <c r="U208" t="str">
        <f t="shared" si="45"/>
        <v/>
      </c>
      <c r="V208" t="str">
        <f t="shared" si="45"/>
        <v/>
      </c>
      <c r="W208" t="str">
        <f t="shared" si="45"/>
        <v/>
      </c>
      <c r="X208" t="str">
        <f t="shared" si="45"/>
        <v/>
      </c>
      <c r="Y208" t="str">
        <f t="shared" si="45"/>
        <v/>
      </c>
      <c r="Z208" t="str">
        <f t="shared" si="45"/>
        <v/>
      </c>
      <c r="AA208" t="str">
        <f t="shared" si="45"/>
        <v/>
      </c>
      <c r="AB208" t="str">
        <f t="shared" si="45"/>
        <v/>
      </c>
      <c r="AC208">
        <f t="shared" si="43"/>
        <v>0</v>
      </c>
    </row>
    <row r="209" spans="1:29" x14ac:dyDescent="0.35">
      <c r="A209">
        <v>204</v>
      </c>
      <c r="B209" t="s">
        <v>11</v>
      </c>
      <c r="C209" t="s">
        <v>1156</v>
      </c>
      <c r="D209" t="s">
        <v>1246</v>
      </c>
      <c r="E209" t="s">
        <v>1</v>
      </c>
      <c r="F209" t="s">
        <v>889</v>
      </c>
      <c r="G209" t="s">
        <v>0</v>
      </c>
      <c r="H209">
        <v>1.252</v>
      </c>
      <c r="I209">
        <v>2.72</v>
      </c>
      <c r="J209" t="s">
        <v>6</v>
      </c>
      <c r="K209" t="str">
        <f t="shared" si="44"/>
        <v/>
      </c>
      <c r="L209" t="str">
        <f t="shared" si="44"/>
        <v/>
      </c>
      <c r="M209" t="str">
        <f t="shared" si="44"/>
        <v/>
      </c>
      <c r="N209" t="str">
        <f t="shared" si="44"/>
        <v/>
      </c>
      <c r="O209" t="str">
        <f t="shared" si="44"/>
        <v/>
      </c>
      <c r="P209" t="str">
        <f t="shared" si="44"/>
        <v/>
      </c>
      <c r="Q209" t="str">
        <f t="shared" si="44"/>
        <v/>
      </c>
      <c r="R209" t="str">
        <f t="shared" si="44"/>
        <v/>
      </c>
      <c r="S209" t="str">
        <f t="shared" si="44"/>
        <v/>
      </c>
      <c r="T209" t="str">
        <f t="shared" si="44"/>
        <v/>
      </c>
      <c r="U209" t="str">
        <f t="shared" si="45"/>
        <v/>
      </c>
      <c r="V209" t="str">
        <f t="shared" si="45"/>
        <v/>
      </c>
      <c r="W209" t="str">
        <f t="shared" si="45"/>
        <v/>
      </c>
      <c r="X209" t="str">
        <f t="shared" si="45"/>
        <v/>
      </c>
      <c r="Y209" t="str">
        <f t="shared" si="45"/>
        <v/>
      </c>
      <c r="Z209" t="str">
        <f t="shared" si="45"/>
        <v/>
      </c>
      <c r="AA209" t="str">
        <f t="shared" si="45"/>
        <v/>
      </c>
      <c r="AB209" t="str">
        <f t="shared" si="45"/>
        <v/>
      </c>
      <c r="AC209">
        <f t="shared" si="43"/>
        <v>0</v>
      </c>
    </row>
    <row r="210" spans="1:29" x14ac:dyDescent="0.35">
      <c r="A210">
        <v>205</v>
      </c>
      <c r="B210" t="s">
        <v>11</v>
      </c>
      <c r="C210" t="s">
        <v>1168</v>
      </c>
      <c r="D210" t="s">
        <v>1247</v>
      </c>
      <c r="E210" t="s">
        <v>920</v>
      </c>
      <c r="F210" t="s">
        <v>516</v>
      </c>
      <c r="G210" t="s">
        <v>0</v>
      </c>
      <c r="H210">
        <v>2.0910000000000002</v>
      </c>
      <c r="I210">
        <v>2.72</v>
      </c>
      <c r="J210" t="s">
        <v>6</v>
      </c>
      <c r="K210" t="str">
        <f t="shared" si="44"/>
        <v/>
      </c>
      <c r="L210" t="str">
        <f t="shared" si="44"/>
        <v/>
      </c>
      <c r="M210" t="str">
        <f t="shared" si="44"/>
        <v/>
      </c>
      <c r="N210" t="str">
        <f t="shared" si="44"/>
        <v/>
      </c>
      <c r="O210" t="str">
        <f t="shared" si="44"/>
        <v/>
      </c>
      <c r="P210" t="str">
        <f t="shared" si="44"/>
        <v/>
      </c>
      <c r="Q210" t="str">
        <f t="shared" si="44"/>
        <v/>
      </c>
      <c r="R210" t="str">
        <f t="shared" si="44"/>
        <v/>
      </c>
      <c r="S210" t="str">
        <f t="shared" si="44"/>
        <v/>
      </c>
      <c r="T210" t="str">
        <f t="shared" si="44"/>
        <v/>
      </c>
      <c r="U210" t="str">
        <f t="shared" si="45"/>
        <v/>
      </c>
      <c r="V210" t="str">
        <f t="shared" si="45"/>
        <v/>
      </c>
      <c r="W210" t="str">
        <f t="shared" si="45"/>
        <v/>
      </c>
      <c r="X210" t="str">
        <f t="shared" si="45"/>
        <v/>
      </c>
      <c r="Y210" t="str">
        <f t="shared" si="45"/>
        <v/>
      </c>
      <c r="Z210" t="str">
        <f t="shared" si="45"/>
        <v/>
      </c>
      <c r="AA210" t="str">
        <f t="shared" si="45"/>
        <v/>
      </c>
      <c r="AB210" t="str">
        <f t="shared" si="45"/>
        <v/>
      </c>
      <c r="AC210">
        <f t="shared" si="43"/>
        <v>0</v>
      </c>
    </row>
    <row r="211" spans="1:29" x14ac:dyDescent="0.35">
      <c r="A211">
        <v>206</v>
      </c>
      <c r="B211" t="s">
        <v>11</v>
      </c>
      <c r="C211" t="s">
        <v>1175</v>
      </c>
      <c r="D211" t="s">
        <v>1248</v>
      </c>
      <c r="E211" t="s">
        <v>1177</v>
      </c>
      <c r="F211" t="s">
        <v>516</v>
      </c>
      <c r="G211" t="s">
        <v>0</v>
      </c>
      <c r="H211">
        <v>1.5029999999999999</v>
      </c>
      <c r="I211">
        <v>2.72</v>
      </c>
      <c r="J211" t="s">
        <v>6</v>
      </c>
      <c r="K211" t="str">
        <f t="shared" si="44"/>
        <v/>
      </c>
      <c r="L211" t="str">
        <f t="shared" si="44"/>
        <v/>
      </c>
      <c r="M211" t="str">
        <f t="shared" si="44"/>
        <v/>
      </c>
      <c r="N211" t="str">
        <f t="shared" si="44"/>
        <v/>
      </c>
      <c r="O211" t="str">
        <f t="shared" si="44"/>
        <v/>
      </c>
      <c r="P211" t="str">
        <f t="shared" si="44"/>
        <v/>
      </c>
      <c r="Q211" t="str">
        <f t="shared" si="44"/>
        <v/>
      </c>
      <c r="R211" t="str">
        <f t="shared" si="44"/>
        <v/>
      </c>
      <c r="S211" t="str">
        <f t="shared" si="44"/>
        <v/>
      </c>
      <c r="T211" t="str">
        <f t="shared" si="44"/>
        <v/>
      </c>
      <c r="U211" t="str">
        <f t="shared" si="45"/>
        <v/>
      </c>
      <c r="V211" t="str">
        <f t="shared" si="45"/>
        <v/>
      </c>
      <c r="W211" t="str">
        <f t="shared" si="45"/>
        <v/>
      </c>
      <c r="X211" t="str">
        <f t="shared" si="45"/>
        <v/>
      </c>
      <c r="Y211" t="str">
        <f t="shared" si="45"/>
        <v/>
      </c>
      <c r="Z211" t="str">
        <f t="shared" si="45"/>
        <v/>
      </c>
      <c r="AA211" t="str">
        <f t="shared" si="45"/>
        <v/>
      </c>
      <c r="AB211" t="str">
        <f t="shared" si="45"/>
        <v/>
      </c>
      <c r="AC211">
        <f t="shared" si="43"/>
        <v>0</v>
      </c>
    </row>
    <row r="212" spans="1:29" x14ac:dyDescent="0.35">
      <c r="A212">
        <v>207</v>
      </c>
      <c r="B212" t="s">
        <v>11</v>
      </c>
      <c r="C212" t="s">
        <v>1178</v>
      </c>
      <c r="D212" t="s">
        <v>1249</v>
      </c>
      <c r="E212" t="s">
        <v>1180</v>
      </c>
      <c r="F212" t="s">
        <v>516</v>
      </c>
      <c r="G212" t="s">
        <v>0</v>
      </c>
      <c r="H212">
        <v>1.8680000000000001</v>
      </c>
      <c r="I212">
        <v>2.72</v>
      </c>
      <c r="J212" t="s">
        <v>6</v>
      </c>
      <c r="K212" t="str">
        <f t="shared" si="44"/>
        <v/>
      </c>
      <c r="L212" t="str">
        <f t="shared" si="44"/>
        <v/>
      </c>
      <c r="M212" t="str">
        <f t="shared" si="44"/>
        <v/>
      </c>
      <c r="N212" t="str">
        <f t="shared" si="44"/>
        <v/>
      </c>
      <c r="O212" t="str">
        <f t="shared" si="44"/>
        <v/>
      </c>
      <c r="P212" t="str">
        <f t="shared" si="44"/>
        <v/>
      </c>
      <c r="Q212" t="str">
        <f t="shared" si="44"/>
        <v/>
      </c>
      <c r="R212" t="str">
        <f t="shared" si="44"/>
        <v/>
      </c>
      <c r="S212" t="str">
        <f t="shared" si="44"/>
        <v/>
      </c>
      <c r="T212" t="str">
        <f t="shared" si="44"/>
        <v/>
      </c>
      <c r="U212" t="str">
        <f t="shared" si="45"/>
        <v/>
      </c>
      <c r="V212" t="str">
        <f t="shared" si="45"/>
        <v/>
      </c>
      <c r="W212" t="str">
        <f t="shared" si="45"/>
        <v/>
      </c>
      <c r="X212" t="str">
        <f t="shared" si="45"/>
        <v/>
      </c>
      <c r="Y212" t="str">
        <f t="shared" si="45"/>
        <v/>
      </c>
      <c r="Z212" t="str">
        <f t="shared" si="45"/>
        <v/>
      </c>
      <c r="AA212" t="str">
        <f t="shared" si="45"/>
        <v/>
      </c>
      <c r="AB212" t="str">
        <f t="shared" si="45"/>
        <v/>
      </c>
      <c r="AC212">
        <f t="shared" si="43"/>
        <v>0</v>
      </c>
    </row>
    <row r="213" spans="1:29" x14ac:dyDescent="0.35">
      <c r="A213">
        <v>208</v>
      </c>
      <c r="B213" t="s">
        <v>11</v>
      </c>
      <c r="C213" t="s">
        <v>1186</v>
      </c>
      <c r="D213" t="s">
        <v>1259</v>
      </c>
      <c r="E213" t="s">
        <v>1</v>
      </c>
      <c r="F213" t="s">
        <v>889</v>
      </c>
      <c r="G213" t="s">
        <v>0</v>
      </c>
      <c r="H213">
        <v>1.038</v>
      </c>
      <c r="I213">
        <v>2.7149999999999999</v>
      </c>
      <c r="J213" t="s">
        <v>6</v>
      </c>
      <c r="K213" t="str">
        <f t="shared" si="44"/>
        <v/>
      </c>
      <c r="L213">
        <f t="shared" si="44"/>
        <v>6</v>
      </c>
      <c r="M213" t="str">
        <f t="shared" si="44"/>
        <v/>
      </c>
      <c r="N213" t="str">
        <f t="shared" si="44"/>
        <v/>
      </c>
      <c r="O213" t="str">
        <f t="shared" si="44"/>
        <v/>
      </c>
      <c r="P213" t="str">
        <f t="shared" si="44"/>
        <v/>
      </c>
      <c r="Q213" t="str">
        <f t="shared" si="44"/>
        <v/>
      </c>
      <c r="R213" t="str">
        <f t="shared" si="44"/>
        <v/>
      </c>
      <c r="S213" t="str">
        <f t="shared" si="44"/>
        <v/>
      </c>
      <c r="T213" t="str">
        <f t="shared" si="44"/>
        <v/>
      </c>
      <c r="U213" t="str">
        <f t="shared" si="45"/>
        <v/>
      </c>
      <c r="V213" t="str">
        <f t="shared" si="45"/>
        <v/>
      </c>
      <c r="W213" t="str">
        <f t="shared" si="45"/>
        <v/>
      </c>
      <c r="X213" t="str">
        <f t="shared" si="45"/>
        <v/>
      </c>
      <c r="Y213" t="str">
        <f t="shared" si="45"/>
        <v/>
      </c>
      <c r="Z213" t="str">
        <f t="shared" si="45"/>
        <v/>
      </c>
      <c r="AA213" t="str">
        <f t="shared" si="45"/>
        <v/>
      </c>
      <c r="AB213" t="str">
        <f t="shared" si="45"/>
        <v/>
      </c>
      <c r="AC213">
        <f t="shared" si="43"/>
        <v>6</v>
      </c>
    </row>
    <row r="214" spans="1:29" x14ac:dyDescent="0.35">
      <c r="A214">
        <v>209</v>
      </c>
      <c r="B214" t="s">
        <v>11</v>
      </c>
      <c r="C214" t="s">
        <v>1187</v>
      </c>
      <c r="D214" t="s">
        <v>1260</v>
      </c>
      <c r="E214" t="s">
        <v>662</v>
      </c>
      <c r="F214" t="s">
        <v>516</v>
      </c>
      <c r="G214" t="s">
        <v>0</v>
      </c>
      <c r="H214">
        <v>2.0390000000000001</v>
      </c>
      <c r="I214">
        <v>2.7149999999999999</v>
      </c>
      <c r="J214" t="s">
        <v>6</v>
      </c>
      <c r="K214" t="str">
        <f t="shared" si="44"/>
        <v/>
      </c>
      <c r="L214" t="str">
        <f t="shared" si="44"/>
        <v/>
      </c>
      <c r="M214">
        <f t="shared" si="44"/>
        <v>8</v>
      </c>
      <c r="N214" t="str">
        <f t="shared" si="44"/>
        <v/>
      </c>
      <c r="O214" t="str">
        <f t="shared" si="44"/>
        <v/>
      </c>
      <c r="P214" t="str">
        <f t="shared" si="44"/>
        <v/>
      </c>
      <c r="Q214" t="str">
        <f t="shared" si="44"/>
        <v/>
      </c>
      <c r="R214" t="str">
        <f t="shared" si="44"/>
        <v/>
      </c>
      <c r="S214" t="str">
        <f t="shared" si="44"/>
        <v/>
      </c>
      <c r="T214" t="str">
        <f t="shared" si="44"/>
        <v/>
      </c>
      <c r="U214" t="str">
        <f t="shared" si="45"/>
        <v/>
      </c>
      <c r="V214" t="str">
        <f t="shared" si="45"/>
        <v/>
      </c>
      <c r="W214" t="str">
        <f t="shared" si="45"/>
        <v/>
      </c>
      <c r="X214" t="str">
        <f t="shared" si="45"/>
        <v/>
      </c>
      <c r="Y214" t="str">
        <f t="shared" si="45"/>
        <v/>
      </c>
      <c r="Z214" t="str">
        <f t="shared" si="45"/>
        <v/>
      </c>
      <c r="AA214" t="str">
        <f t="shared" si="45"/>
        <v/>
      </c>
      <c r="AB214" t="str">
        <f t="shared" si="45"/>
        <v/>
      </c>
      <c r="AC214">
        <f t="shared" si="43"/>
        <v>8</v>
      </c>
    </row>
    <row r="215" spans="1:29" x14ac:dyDescent="0.35">
      <c r="A215">
        <v>210</v>
      </c>
      <c r="B215" t="s">
        <v>11</v>
      </c>
      <c r="C215" t="s">
        <v>1227</v>
      </c>
      <c r="D215" t="s">
        <v>1266</v>
      </c>
      <c r="E215" t="s">
        <v>1</v>
      </c>
      <c r="F215" t="s">
        <v>516</v>
      </c>
      <c r="G215" t="s">
        <v>2</v>
      </c>
      <c r="H215">
        <v>1.1120000000000001</v>
      </c>
      <c r="I215">
        <v>2.7149999999999999</v>
      </c>
      <c r="J215" t="s">
        <v>6</v>
      </c>
      <c r="K215" t="str">
        <f t="shared" si="44"/>
        <v/>
      </c>
      <c r="L215" t="str">
        <f t="shared" si="44"/>
        <v/>
      </c>
      <c r="M215" t="str">
        <f t="shared" si="44"/>
        <v/>
      </c>
      <c r="N215" t="str">
        <f t="shared" si="44"/>
        <v/>
      </c>
      <c r="O215" t="str">
        <f t="shared" si="44"/>
        <v/>
      </c>
      <c r="P215" t="str">
        <f t="shared" si="44"/>
        <v/>
      </c>
      <c r="Q215" t="str">
        <f t="shared" si="44"/>
        <v/>
      </c>
      <c r="R215" t="str">
        <f t="shared" si="44"/>
        <v/>
      </c>
      <c r="S215" t="str">
        <f t="shared" si="44"/>
        <v/>
      </c>
      <c r="T215" t="str">
        <f t="shared" si="44"/>
        <v/>
      </c>
      <c r="U215" t="str">
        <f t="shared" si="45"/>
        <v/>
      </c>
      <c r="V215" t="str">
        <f t="shared" si="45"/>
        <v/>
      </c>
      <c r="W215" t="str">
        <f t="shared" si="45"/>
        <v/>
      </c>
      <c r="X215" t="str">
        <f t="shared" si="45"/>
        <v/>
      </c>
      <c r="Y215" t="str">
        <f t="shared" si="45"/>
        <v/>
      </c>
      <c r="Z215" t="str">
        <f t="shared" si="45"/>
        <v/>
      </c>
      <c r="AA215" t="str">
        <f t="shared" si="45"/>
        <v/>
      </c>
      <c r="AB215" t="str">
        <f t="shared" si="45"/>
        <v/>
      </c>
      <c r="AC215">
        <f t="shared" si="43"/>
        <v>0</v>
      </c>
    </row>
    <row r="216" spans="1:29" x14ac:dyDescent="0.35">
      <c r="A216">
        <v>211</v>
      </c>
      <c r="B216" t="s">
        <v>11</v>
      </c>
      <c r="C216" t="s">
        <v>1267</v>
      </c>
      <c r="D216" t="s">
        <v>1268</v>
      </c>
      <c r="E216" t="s">
        <v>1</v>
      </c>
      <c r="F216" t="s">
        <v>673</v>
      </c>
      <c r="G216" t="s">
        <v>2</v>
      </c>
      <c r="H216">
        <v>1.9219999999999999</v>
      </c>
      <c r="I216">
        <v>2.7149999999999999</v>
      </c>
      <c r="J216" t="s">
        <v>6</v>
      </c>
      <c r="K216" t="str">
        <f t="shared" ref="K216:T225" si="46">IFERROR(IFERROR(IF(K$5=$K$1,VLOOKUP($A216,dormitorios,2,0),IF(K$5=$L$1,VLOOKUP($A216,comedor,2,0),IF(K$5=$M$1,VLOOKUP($A216,alojamiento,2,0),IF(K$5=$N$1,VLOOKUP($A216,sanidad,2,0),IF(K$5=$O$1,VLOOKUP($A216,servicios,2,0),IF(K$5=$P$1,VLOOKUP($A216,comyaloj,2,0),IF(K$5=$Q$1,VLOOKUP($A216,comandancia,2,0),IF(K$5=$R$1,VLOOKUP($A216,mantenimiento,2,0),IF(K$5=$S$1,VLOOKUP($A216,serestatal,2,0),IF(K$5=$T$1,VLOOKUP($A216,conferencias,2,0),"")))))))))),"")*K$3,"")</f>
        <v/>
      </c>
      <c r="L216" t="str">
        <f t="shared" si="46"/>
        <v/>
      </c>
      <c r="M216" t="str">
        <f t="shared" si="46"/>
        <v/>
      </c>
      <c r="N216" t="str">
        <f t="shared" si="46"/>
        <v/>
      </c>
      <c r="O216" t="str">
        <f t="shared" si="46"/>
        <v/>
      </c>
      <c r="P216" t="str">
        <f t="shared" si="46"/>
        <v/>
      </c>
      <c r="Q216" t="str">
        <f t="shared" si="46"/>
        <v/>
      </c>
      <c r="R216" t="str">
        <f t="shared" si="46"/>
        <v/>
      </c>
      <c r="S216" t="str">
        <f t="shared" si="46"/>
        <v/>
      </c>
      <c r="T216" t="str">
        <f t="shared" si="46"/>
        <v/>
      </c>
      <c r="U216" t="str">
        <f t="shared" ref="U216:AB225" si="47">IFERROR(IFERROR(IF(U$5=$K$1,VLOOKUP($A216,dormitorios,2,0),IF(U$5=$L$1,VLOOKUP($A216,comedor,2,0),IF(U$5=$M$1,VLOOKUP($A216,alojamiento,2,0),IF(U$5=$N$1,VLOOKUP($A216,sanidad,2,0),IF(U$5=$O$1,VLOOKUP($A216,servicios,2,0),IF(U$5=$P$1,VLOOKUP($A216,comyaloj,2,0),IF(U$5=$Q$1,VLOOKUP($A216,comandancia,2,0),IF(U$5=$R$1,VLOOKUP($A216,mantenimiento,2,0),IF(U$5=$S$1,VLOOKUP($A216,serestatal,2,0),IF(U$5=$T$1,VLOOKUP($A216,conferencias,2,0),"")))))))))),"")*U$3,"")</f>
        <v/>
      </c>
      <c r="V216" t="str">
        <f t="shared" si="47"/>
        <v/>
      </c>
      <c r="W216" t="str">
        <f t="shared" si="47"/>
        <v/>
      </c>
      <c r="X216" t="str">
        <f t="shared" si="47"/>
        <v/>
      </c>
      <c r="Y216" t="str">
        <f t="shared" si="47"/>
        <v/>
      </c>
      <c r="Z216" t="str">
        <f t="shared" si="47"/>
        <v/>
      </c>
      <c r="AA216" t="str">
        <f t="shared" si="47"/>
        <v/>
      </c>
      <c r="AB216" t="str">
        <f t="shared" si="47"/>
        <v/>
      </c>
      <c r="AC216">
        <f t="shared" si="43"/>
        <v>0</v>
      </c>
    </row>
    <row r="217" spans="1:29" x14ac:dyDescent="0.35">
      <c r="A217">
        <v>212</v>
      </c>
      <c r="B217" t="s">
        <v>11</v>
      </c>
      <c r="C217" t="s">
        <v>1272</v>
      </c>
      <c r="D217" t="s">
        <v>1273</v>
      </c>
      <c r="E217" t="s">
        <v>1</v>
      </c>
      <c r="F217" t="s">
        <v>673</v>
      </c>
      <c r="G217" t="s">
        <v>2</v>
      </c>
      <c r="H217">
        <v>2.2010000000000001</v>
      </c>
      <c r="I217">
        <v>2.7149999999999999</v>
      </c>
      <c r="J217" t="s">
        <v>6</v>
      </c>
      <c r="K217" t="str">
        <f t="shared" si="46"/>
        <v/>
      </c>
      <c r="L217" t="str">
        <f t="shared" si="46"/>
        <v/>
      </c>
      <c r="M217" t="str">
        <f t="shared" si="46"/>
        <v/>
      </c>
      <c r="N217" t="str">
        <f t="shared" si="46"/>
        <v/>
      </c>
      <c r="O217" t="str">
        <f t="shared" si="46"/>
        <v/>
      </c>
      <c r="P217" t="str">
        <f t="shared" si="46"/>
        <v/>
      </c>
      <c r="Q217" t="str">
        <f t="shared" si="46"/>
        <v/>
      </c>
      <c r="R217" t="str">
        <f t="shared" si="46"/>
        <v/>
      </c>
      <c r="S217" t="str">
        <f t="shared" si="46"/>
        <v/>
      </c>
      <c r="T217" t="str">
        <f t="shared" si="46"/>
        <v/>
      </c>
      <c r="U217" t="str">
        <f t="shared" si="47"/>
        <v/>
      </c>
      <c r="V217" t="str">
        <f t="shared" si="47"/>
        <v/>
      </c>
      <c r="W217" t="str">
        <f t="shared" si="47"/>
        <v/>
      </c>
      <c r="X217" t="str">
        <f t="shared" si="47"/>
        <v/>
      </c>
      <c r="Y217" t="str">
        <f t="shared" si="47"/>
        <v/>
      </c>
      <c r="Z217" t="str">
        <f t="shared" si="47"/>
        <v/>
      </c>
      <c r="AA217" t="str">
        <f t="shared" si="47"/>
        <v/>
      </c>
      <c r="AB217" t="str">
        <f t="shared" si="47"/>
        <v/>
      </c>
      <c r="AC217">
        <f t="shared" si="43"/>
        <v>0</v>
      </c>
    </row>
    <row r="218" spans="1:29" x14ac:dyDescent="0.35">
      <c r="A218">
        <v>213</v>
      </c>
      <c r="B218" t="s">
        <v>11</v>
      </c>
      <c r="C218" t="s">
        <v>1281</v>
      </c>
      <c r="D218" t="s">
        <v>1282</v>
      </c>
      <c r="E218" t="s">
        <v>1</v>
      </c>
      <c r="F218" t="s">
        <v>516</v>
      </c>
      <c r="G218" t="s">
        <v>0</v>
      </c>
      <c r="H218">
        <v>1.9159999999999999</v>
      </c>
      <c r="I218">
        <v>2.7149999999999999</v>
      </c>
      <c r="J218" t="s">
        <v>6</v>
      </c>
      <c r="K218" t="str">
        <f t="shared" si="46"/>
        <v/>
      </c>
      <c r="L218" t="str">
        <f t="shared" si="46"/>
        <v/>
      </c>
      <c r="M218" t="str">
        <f t="shared" si="46"/>
        <v/>
      </c>
      <c r="N218" t="str">
        <f t="shared" si="46"/>
        <v/>
      </c>
      <c r="O218" t="str">
        <f t="shared" si="46"/>
        <v/>
      </c>
      <c r="P218" t="str">
        <f t="shared" si="46"/>
        <v/>
      </c>
      <c r="Q218" t="str">
        <f t="shared" si="46"/>
        <v/>
      </c>
      <c r="R218" t="str">
        <f t="shared" si="46"/>
        <v/>
      </c>
      <c r="S218" t="str">
        <f t="shared" si="46"/>
        <v/>
      </c>
      <c r="T218" t="str">
        <f t="shared" si="46"/>
        <v/>
      </c>
      <c r="U218" t="str">
        <f t="shared" si="47"/>
        <v/>
      </c>
      <c r="V218" t="str">
        <f t="shared" si="47"/>
        <v/>
      </c>
      <c r="W218" t="str">
        <f t="shared" si="47"/>
        <v/>
      </c>
      <c r="X218" t="str">
        <f t="shared" si="47"/>
        <v/>
      </c>
      <c r="Y218" t="str">
        <f t="shared" si="47"/>
        <v/>
      </c>
      <c r="Z218" t="str">
        <f t="shared" si="47"/>
        <v/>
      </c>
      <c r="AA218" t="str">
        <f t="shared" si="47"/>
        <v/>
      </c>
      <c r="AB218" t="str">
        <f t="shared" si="47"/>
        <v/>
      </c>
      <c r="AC218">
        <f t="shared" si="43"/>
        <v>0</v>
      </c>
    </row>
    <row r="219" spans="1:29" x14ac:dyDescent="0.35">
      <c r="A219">
        <v>214</v>
      </c>
      <c r="B219" t="s">
        <v>11</v>
      </c>
      <c r="C219" t="s">
        <v>1283</v>
      </c>
      <c r="D219" t="s">
        <v>1284</v>
      </c>
      <c r="E219" t="s">
        <v>920</v>
      </c>
      <c r="F219" t="s">
        <v>516</v>
      </c>
      <c r="G219" t="s">
        <v>0</v>
      </c>
      <c r="H219">
        <v>1.968</v>
      </c>
      <c r="I219">
        <v>2.7149999999999999</v>
      </c>
      <c r="J219" t="s">
        <v>6</v>
      </c>
      <c r="K219" t="str">
        <f t="shared" si="46"/>
        <v/>
      </c>
      <c r="L219" t="str">
        <f t="shared" si="46"/>
        <v/>
      </c>
      <c r="M219" t="str">
        <f t="shared" si="46"/>
        <v/>
      </c>
      <c r="N219" t="str">
        <f t="shared" si="46"/>
        <v/>
      </c>
      <c r="O219" t="str">
        <f t="shared" si="46"/>
        <v/>
      </c>
      <c r="P219" t="str">
        <f t="shared" si="46"/>
        <v/>
      </c>
      <c r="Q219" t="str">
        <f t="shared" si="46"/>
        <v/>
      </c>
      <c r="R219" t="str">
        <f t="shared" si="46"/>
        <v/>
      </c>
      <c r="S219" t="str">
        <f t="shared" si="46"/>
        <v/>
      </c>
      <c r="T219" t="str">
        <f t="shared" si="46"/>
        <v/>
      </c>
      <c r="U219" t="str">
        <f t="shared" si="47"/>
        <v/>
      </c>
      <c r="V219" t="str">
        <f t="shared" si="47"/>
        <v/>
      </c>
      <c r="W219" t="str">
        <f t="shared" si="47"/>
        <v/>
      </c>
      <c r="X219" t="str">
        <f t="shared" si="47"/>
        <v/>
      </c>
      <c r="Y219" t="str">
        <f t="shared" si="47"/>
        <v/>
      </c>
      <c r="Z219" t="str">
        <f t="shared" si="47"/>
        <v/>
      </c>
      <c r="AA219" t="str">
        <f t="shared" si="47"/>
        <v/>
      </c>
      <c r="AB219" t="str">
        <f t="shared" si="47"/>
        <v/>
      </c>
      <c r="AC219">
        <f t="shared" si="43"/>
        <v>0</v>
      </c>
    </row>
    <row r="220" spans="1:29" x14ac:dyDescent="0.35">
      <c r="A220">
        <v>215</v>
      </c>
      <c r="B220" t="s">
        <v>11</v>
      </c>
      <c r="C220" t="s">
        <v>75</v>
      </c>
      <c r="D220" t="s">
        <v>246</v>
      </c>
      <c r="E220" t="s">
        <v>24</v>
      </c>
      <c r="F220" t="s">
        <v>889</v>
      </c>
      <c r="G220" t="s">
        <v>2</v>
      </c>
      <c r="H220">
        <v>1.87</v>
      </c>
      <c r="I220">
        <v>2.7149999999999999</v>
      </c>
      <c r="J220" t="s">
        <v>6</v>
      </c>
      <c r="K220" t="str">
        <f t="shared" si="46"/>
        <v/>
      </c>
      <c r="L220" t="str">
        <f t="shared" si="46"/>
        <v/>
      </c>
      <c r="M220" t="str">
        <f t="shared" si="46"/>
        <v/>
      </c>
      <c r="N220" t="str">
        <f t="shared" si="46"/>
        <v/>
      </c>
      <c r="O220" t="str">
        <f t="shared" si="46"/>
        <v/>
      </c>
      <c r="P220" t="str">
        <f t="shared" si="46"/>
        <v/>
      </c>
      <c r="Q220" t="str">
        <f t="shared" si="46"/>
        <v/>
      </c>
      <c r="R220" t="str">
        <f t="shared" si="46"/>
        <v/>
      </c>
      <c r="S220" t="str">
        <f t="shared" si="46"/>
        <v/>
      </c>
      <c r="T220" t="str">
        <f t="shared" si="46"/>
        <v/>
      </c>
      <c r="U220" t="str">
        <f t="shared" si="47"/>
        <v/>
      </c>
      <c r="V220" t="str">
        <f t="shared" si="47"/>
        <v/>
      </c>
      <c r="W220" t="str">
        <f t="shared" si="47"/>
        <v/>
      </c>
      <c r="X220" t="str">
        <f t="shared" si="47"/>
        <v/>
      </c>
      <c r="Y220" t="str">
        <f t="shared" si="47"/>
        <v/>
      </c>
      <c r="Z220" t="str">
        <f t="shared" si="47"/>
        <v/>
      </c>
      <c r="AA220" t="str">
        <f t="shared" si="47"/>
        <v/>
      </c>
      <c r="AB220" t="str">
        <f t="shared" si="47"/>
        <v/>
      </c>
      <c r="AC220">
        <f t="shared" si="43"/>
        <v>0</v>
      </c>
    </row>
    <row r="221" spans="1:29" x14ac:dyDescent="0.35">
      <c r="A221">
        <v>216</v>
      </c>
      <c r="B221" t="s">
        <v>11</v>
      </c>
      <c r="C221" t="s">
        <v>76</v>
      </c>
      <c r="D221" t="s">
        <v>247</v>
      </c>
      <c r="E221" t="s">
        <v>24</v>
      </c>
      <c r="F221" t="s">
        <v>889</v>
      </c>
      <c r="G221" t="s">
        <v>2</v>
      </c>
      <c r="H221">
        <v>2.02</v>
      </c>
      <c r="I221">
        <v>2.7149999999999999</v>
      </c>
      <c r="J221" t="s">
        <v>6</v>
      </c>
      <c r="K221" t="str">
        <f t="shared" si="46"/>
        <v/>
      </c>
      <c r="L221" t="str">
        <f t="shared" si="46"/>
        <v/>
      </c>
      <c r="M221" t="str">
        <f t="shared" si="46"/>
        <v/>
      </c>
      <c r="N221" t="str">
        <f t="shared" si="46"/>
        <v/>
      </c>
      <c r="O221" t="str">
        <f t="shared" si="46"/>
        <v/>
      </c>
      <c r="P221" t="str">
        <f t="shared" si="46"/>
        <v/>
      </c>
      <c r="Q221" t="str">
        <f t="shared" si="46"/>
        <v/>
      </c>
      <c r="R221" t="str">
        <f t="shared" si="46"/>
        <v/>
      </c>
      <c r="S221" t="str">
        <f t="shared" si="46"/>
        <v/>
      </c>
      <c r="T221" t="str">
        <f t="shared" si="46"/>
        <v/>
      </c>
      <c r="U221" t="str">
        <f t="shared" si="47"/>
        <v/>
      </c>
      <c r="V221" t="str">
        <f t="shared" si="47"/>
        <v/>
      </c>
      <c r="W221" t="str">
        <f t="shared" si="47"/>
        <v/>
      </c>
      <c r="X221" t="str">
        <f t="shared" si="47"/>
        <v/>
      </c>
      <c r="Y221" t="str">
        <f t="shared" si="47"/>
        <v/>
      </c>
      <c r="Z221" t="str">
        <f t="shared" si="47"/>
        <v/>
      </c>
      <c r="AA221" t="str">
        <f t="shared" si="47"/>
        <v/>
      </c>
      <c r="AB221" t="str">
        <f t="shared" si="47"/>
        <v/>
      </c>
      <c r="AC221">
        <f t="shared" si="43"/>
        <v>0</v>
      </c>
    </row>
    <row r="222" spans="1:29" x14ac:dyDescent="0.35">
      <c r="A222">
        <v>217</v>
      </c>
      <c r="B222" t="s">
        <v>11</v>
      </c>
      <c r="C222" t="s">
        <v>77</v>
      </c>
      <c r="D222" t="s">
        <v>248</v>
      </c>
      <c r="E222" t="s">
        <v>24</v>
      </c>
      <c r="F222" t="s">
        <v>889</v>
      </c>
      <c r="G222" t="s">
        <v>2</v>
      </c>
      <c r="H222">
        <v>1.93</v>
      </c>
      <c r="I222">
        <v>2.7149999999999999</v>
      </c>
      <c r="J222" t="s">
        <v>6</v>
      </c>
      <c r="K222" t="str">
        <f t="shared" si="46"/>
        <v/>
      </c>
      <c r="L222" t="str">
        <f t="shared" si="46"/>
        <v/>
      </c>
      <c r="M222" t="str">
        <f t="shared" si="46"/>
        <v/>
      </c>
      <c r="N222" t="str">
        <f t="shared" si="46"/>
        <v/>
      </c>
      <c r="O222" t="str">
        <f t="shared" si="46"/>
        <v/>
      </c>
      <c r="P222" t="str">
        <f t="shared" si="46"/>
        <v/>
      </c>
      <c r="Q222" t="str">
        <f t="shared" si="46"/>
        <v/>
      </c>
      <c r="R222" t="str">
        <f t="shared" si="46"/>
        <v/>
      </c>
      <c r="S222" t="str">
        <f t="shared" si="46"/>
        <v/>
      </c>
      <c r="T222" t="str">
        <f t="shared" si="46"/>
        <v/>
      </c>
      <c r="U222" t="str">
        <f t="shared" si="47"/>
        <v/>
      </c>
      <c r="V222" t="str">
        <f t="shared" si="47"/>
        <v/>
      </c>
      <c r="W222" t="str">
        <f t="shared" si="47"/>
        <v/>
      </c>
      <c r="X222" t="str">
        <f t="shared" si="47"/>
        <v/>
      </c>
      <c r="Y222" t="str">
        <f t="shared" si="47"/>
        <v/>
      </c>
      <c r="Z222" t="str">
        <f t="shared" si="47"/>
        <v/>
      </c>
      <c r="AA222" t="str">
        <f t="shared" si="47"/>
        <v/>
      </c>
      <c r="AB222" t="str">
        <f t="shared" si="47"/>
        <v/>
      </c>
      <c r="AC222">
        <f t="shared" si="43"/>
        <v>0</v>
      </c>
    </row>
    <row r="223" spans="1:29" x14ac:dyDescent="0.35">
      <c r="A223">
        <v>218</v>
      </c>
      <c r="B223" t="s">
        <v>11</v>
      </c>
      <c r="C223" t="s">
        <v>78</v>
      </c>
      <c r="D223" t="s">
        <v>249</v>
      </c>
      <c r="E223" t="s">
        <v>24</v>
      </c>
      <c r="F223" t="s">
        <v>889</v>
      </c>
      <c r="G223" t="s">
        <v>0</v>
      </c>
      <c r="H223">
        <v>1.69</v>
      </c>
      <c r="I223">
        <v>2.7149999999999999</v>
      </c>
      <c r="J223" t="s">
        <v>6</v>
      </c>
      <c r="K223" t="str">
        <f t="shared" si="46"/>
        <v/>
      </c>
      <c r="L223" t="str">
        <f t="shared" si="46"/>
        <v/>
      </c>
      <c r="M223" t="str">
        <f t="shared" si="46"/>
        <v/>
      </c>
      <c r="N223" t="str">
        <f t="shared" si="46"/>
        <v/>
      </c>
      <c r="O223" t="str">
        <f t="shared" si="46"/>
        <v/>
      </c>
      <c r="P223" t="str">
        <f t="shared" si="46"/>
        <v/>
      </c>
      <c r="Q223" t="str">
        <f t="shared" si="46"/>
        <v/>
      </c>
      <c r="R223" t="str">
        <f t="shared" si="46"/>
        <v/>
      </c>
      <c r="S223" t="str">
        <f t="shared" si="46"/>
        <v/>
      </c>
      <c r="T223" t="str">
        <f t="shared" si="46"/>
        <v/>
      </c>
      <c r="U223" t="str">
        <f t="shared" si="47"/>
        <v/>
      </c>
      <c r="V223" t="str">
        <f t="shared" si="47"/>
        <v/>
      </c>
      <c r="W223" t="str">
        <f t="shared" si="47"/>
        <v/>
      </c>
      <c r="X223" t="str">
        <f t="shared" si="47"/>
        <v/>
      </c>
      <c r="Y223" t="str">
        <f t="shared" si="47"/>
        <v/>
      </c>
      <c r="Z223" t="str">
        <f t="shared" si="47"/>
        <v/>
      </c>
      <c r="AA223" t="str">
        <f t="shared" si="47"/>
        <v/>
      </c>
      <c r="AB223" t="str">
        <f t="shared" si="47"/>
        <v/>
      </c>
      <c r="AC223">
        <f t="shared" si="43"/>
        <v>0</v>
      </c>
    </row>
    <row r="224" spans="1:29" x14ac:dyDescent="0.35">
      <c r="A224">
        <v>219</v>
      </c>
      <c r="B224" t="s">
        <v>11</v>
      </c>
      <c r="C224" t="s">
        <v>79</v>
      </c>
      <c r="D224" t="s">
        <v>250</v>
      </c>
      <c r="E224" t="s">
        <v>24</v>
      </c>
      <c r="F224" t="s">
        <v>889</v>
      </c>
      <c r="G224" t="s">
        <v>2</v>
      </c>
      <c r="H224">
        <v>1.9750000000000001</v>
      </c>
      <c r="I224">
        <v>2.7149999999999999</v>
      </c>
      <c r="J224" t="s">
        <v>6</v>
      </c>
      <c r="K224" t="str">
        <f t="shared" si="46"/>
        <v/>
      </c>
      <c r="L224" t="str">
        <f t="shared" si="46"/>
        <v/>
      </c>
      <c r="M224" t="str">
        <f t="shared" si="46"/>
        <v/>
      </c>
      <c r="N224" t="str">
        <f t="shared" si="46"/>
        <v/>
      </c>
      <c r="O224" t="str">
        <f t="shared" si="46"/>
        <v/>
      </c>
      <c r="P224" t="str">
        <f t="shared" si="46"/>
        <v/>
      </c>
      <c r="Q224" t="str">
        <f t="shared" si="46"/>
        <v/>
      </c>
      <c r="R224" t="str">
        <f t="shared" si="46"/>
        <v/>
      </c>
      <c r="S224" t="str">
        <f t="shared" si="46"/>
        <v/>
      </c>
      <c r="T224" t="str">
        <f t="shared" si="46"/>
        <v/>
      </c>
      <c r="U224" t="str">
        <f t="shared" si="47"/>
        <v/>
      </c>
      <c r="V224" t="str">
        <f t="shared" si="47"/>
        <v/>
      </c>
      <c r="W224" t="str">
        <f t="shared" si="47"/>
        <v/>
      </c>
      <c r="X224" t="str">
        <f t="shared" si="47"/>
        <v/>
      </c>
      <c r="Y224" t="str">
        <f t="shared" si="47"/>
        <v/>
      </c>
      <c r="Z224" t="str">
        <f t="shared" si="47"/>
        <v/>
      </c>
      <c r="AA224" t="str">
        <f t="shared" si="47"/>
        <v/>
      </c>
      <c r="AB224" t="str">
        <f t="shared" si="47"/>
        <v/>
      </c>
      <c r="AC224">
        <f t="shared" si="43"/>
        <v>0</v>
      </c>
    </row>
    <row r="225" spans="1:29" x14ac:dyDescent="0.35">
      <c r="A225">
        <v>220</v>
      </c>
      <c r="B225" t="s">
        <v>11</v>
      </c>
      <c r="C225" t="s">
        <v>80</v>
      </c>
      <c r="D225" t="s">
        <v>251</v>
      </c>
      <c r="E225" t="s">
        <v>337</v>
      </c>
      <c r="F225" t="s">
        <v>889</v>
      </c>
      <c r="G225" t="s">
        <v>0</v>
      </c>
      <c r="H225">
        <v>1.86</v>
      </c>
      <c r="I225">
        <v>2.7149999999999999</v>
      </c>
      <c r="J225" t="s">
        <v>6</v>
      </c>
      <c r="K225" t="str">
        <f t="shared" si="46"/>
        <v/>
      </c>
      <c r="L225" t="str">
        <f t="shared" si="46"/>
        <v/>
      </c>
      <c r="M225" t="str">
        <f t="shared" si="46"/>
        <v/>
      </c>
      <c r="N225" t="str">
        <f t="shared" si="46"/>
        <v/>
      </c>
      <c r="O225" t="str">
        <f t="shared" si="46"/>
        <v/>
      </c>
      <c r="P225" t="str">
        <f t="shared" si="46"/>
        <v/>
      </c>
      <c r="Q225" t="str">
        <f t="shared" si="46"/>
        <v/>
      </c>
      <c r="R225" t="str">
        <f t="shared" si="46"/>
        <v/>
      </c>
      <c r="S225" t="str">
        <f t="shared" si="46"/>
        <v/>
      </c>
      <c r="T225" t="str">
        <f t="shared" si="46"/>
        <v/>
      </c>
      <c r="U225" t="str">
        <f t="shared" si="47"/>
        <v/>
      </c>
      <c r="V225" t="str">
        <f t="shared" si="47"/>
        <v/>
      </c>
      <c r="W225" t="str">
        <f t="shared" si="47"/>
        <v/>
      </c>
      <c r="X225" t="str">
        <f t="shared" si="47"/>
        <v/>
      </c>
      <c r="Y225" t="str">
        <f t="shared" si="47"/>
        <v/>
      </c>
      <c r="Z225" t="str">
        <f t="shared" si="47"/>
        <v/>
      </c>
      <c r="AA225" t="str">
        <f t="shared" si="47"/>
        <v/>
      </c>
      <c r="AB225" t="str">
        <f t="shared" si="47"/>
        <v/>
      </c>
      <c r="AC225">
        <f t="shared" si="43"/>
        <v>0</v>
      </c>
    </row>
    <row r="226" spans="1:29" x14ac:dyDescent="0.35">
      <c r="A226">
        <v>221</v>
      </c>
      <c r="B226" t="s">
        <v>11</v>
      </c>
      <c r="C226" t="s">
        <v>81</v>
      </c>
      <c r="D226" t="s">
        <v>252</v>
      </c>
      <c r="E226" t="s">
        <v>24</v>
      </c>
      <c r="F226" t="s">
        <v>889</v>
      </c>
      <c r="G226" t="s">
        <v>9</v>
      </c>
      <c r="H226">
        <v>1.9750000000000001</v>
      </c>
      <c r="I226">
        <v>2.7149999999999999</v>
      </c>
      <c r="J226" t="s">
        <v>6</v>
      </c>
      <c r="K226" t="str">
        <f t="shared" ref="K226:T235" si="48">IFERROR(IFERROR(IF(K$5=$K$1,VLOOKUP($A226,dormitorios,2,0),IF(K$5=$L$1,VLOOKUP($A226,comedor,2,0),IF(K$5=$M$1,VLOOKUP($A226,alojamiento,2,0),IF(K$5=$N$1,VLOOKUP($A226,sanidad,2,0),IF(K$5=$O$1,VLOOKUP($A226,servicios,2,0),IF(K$5=$P$1,VLOOKUP($A226,comyaloj,2,0),IF(K$5=$Q$1,VLOOKUP($A226,comandancia,2,0),IF(K$5=$R$1,VLOOKUP($A226,mantenimiento,2,0),IF(K$5=$S$1,VLOOKUP($A226,serestatal,2,0),IF(K$5=$T$1,VLOOKUP($A226,conferencias,2,0),"")))))))))),"")*K$3,"")</f>
        <v/>
      </c>
      <c r="L226" t="str">
        <f t="shared" si="48"/>
        <v/>
      </c>
      <c r="M226" t="str">
        <f t="shared" si="48"/>
        <v/>
      </c>
      <c r="N226" t="str">
        <f t="shared" si="48"/>
        <v/>
      </c>
      <c r="O226" t="str">
        <f t="shared" si="48"/>
        <v/>
      </c>
      <c r="P226" t="str">
        <f t="shared" si="48"/>
        <v/>
      </c>
      <c r="Q226" t="str">
        <f t="shared" si="48"/>
        <v/>
      </c>
      <c r="R226" t="str">
        <f t="shared" si="48"/>
        <v/>
      </c>
      <c r="S226" t="str">
        <f t="shared" si="48"/>
        <v/>
      </c>
      <c r="T226" t="str">
        <f t="shared" si="48"/>
        <v/>
      </c>
      <c r="U226" t="str">
        <f t="shared" ref="U226:AB235" si="49">IFERROR(IFERROR(IF(U$5=$K$1,VLOOKUP($A226,dormitorios,2,0),IF(U$5=$L$1,VLOOKUP($A226,comedor,2,0),IF(U$5=$M$1,VLOOKUP($A226,alojamiento,2,0),IF(U$5=$N$1,VLOOKUP($A226,sanidad,2,0),IF(U$5=$O$1,VLOOKUP($A226,servicios,2,0),IF(U$5=$P$1,VLOOKUP($A226,comyaloj,2,0),IF(U$5=$Q$1,VLOOKUP($A226,comandancia,2,0),IF(U$5=$R$1,VLOOKUP($A226,mantenimiento,2,0),IF(U$5=$S$1,VLOOKUP($A226,serestatal,2,0),IF(U$5=$T$1,VLOOKUP($A226,conferencias,2,0),"")))))))))),"")*U$3,"")</f>
        <v/>
      </c>
      <c r="V226" t="str">
        <f t="shared" si="49"/>
        <v/>
      </c>
      <c r="W226" t="str">
        <f t="shared" si="49"/>
        <v/>
      </c>
      <c r="X226" t="str">
        <f t="shared" si="49"/>
        <v/>
      </c>
      <c r="Y226" t="str">
        <f t="shared" si="49"/>
        <v/>
      </c>
      <c r="Z226" t="str">
        <f t="shared" si="49"/>
        <v/>
      </c>
      <c r="AA226" t="str">
        <f t="shared" si="49"/>
        <v/>
      </c>
      <c r="AB226" t="str">
        <f t="shared" si="49"/>
        <v/>
      </c>
      <c r="AC226">
        <f t="shared" si="43"/>
        <v>0</v>
      </c>
    </row>
    <row r="227" spans="1:29" x14ac:dyDescent="0.35">
      <c r="A227">
        <v>222</v>
      </c>
      <c r="B227" t="s">
        <v>11</v>
      </c>
      <c r="C227" t="s">
        <v>82</v>
      </c>
      <c r="D227" t="s">
        <v>253</v>
      </c>
      <c r="E227" t="s">
        <v>62</v>
      </c>
      <c r="F227" t="s">
        <v>889</v>
      </c>
      <c r="G227" t="s">
        <v>0</v>
      </c>
      <c r="H227">
        <v>2.02</v>
      </c>
      <c r="I227">
        <v>2.7149999999999999</v>
      </c>
      <c r="J227" t="s">
        <v>6</v>
      </c>
      <c r="K227" t="str">
        <f t="shared" si="48"/>
        <v/>
      </c>
      <c r="L227" t="str">
        <f t="shared" si="48"/>
        <v/>
      </c>
      <c r="M227" t="str">
        <f t="shared" si="48"/>
        <v/>
      </c>
      <c r="N227" t="str">
        <f t="shared" si="48"/>
        <v/>
      </c>
      <c r="O227" t="str">
        <f t="shared" si="48"/>
        <v/>
      </c>
      <c r="P227" t="str">
        <f t="shared" si="48"/>
        <v/>
      </c>
      <c r="Q227" t="str">
        <f t="shared" si="48"/>
        <v/>
      </c>
      <c r="R227" t="str">
        <f t="shared" si="48"/>
        <v/>
      </c>
      <c r="S227" t="str">
        <f t="shared" si="48"/>
        <v/>
      </c>
      <c r="T227" t="str">
        <f t="shared" si="48"/>
        <v/>
      </c>
      <c r="U227" t="str">
        <f t="shared" si="49"/>
        <v/>
      </c>
      <c r="V227" t="str">
        <f t="shared" si="49"/>
        <v/>
      </c>
      <c r="W227" t="str">
        <f t="shared" si="49"/>
        <v/>
      </c>
      <c r="X227" t="str">
        <f t="shared" si="49"/>
        <v/>
      </c>
      <c r="Y227" t="str">
        <f t="shared" si="49"/>
        <v/>
      </c>
      <c r="Z227" t="str">
        <f t="shared" si="49"/>
        <v/>
      </c>
      <c r="AA227" t="str">
        <f t="shared" si="49"/>
        <v/>
      </c>
      <c r="AB227" t="str">
        <f t="shared" si="49"/>
        <v/>
      </c>
      <c r="AC227">
        <f t="shared" si="43"/>
        <v>0</v>
      </c>
    </row>
    <row r="228" spans="1:29" x14ac:dyDescent="0.35">
      <c r="A228">
        <v>223</v>
      </c>
      <c r="B228" t="s">
        <v>11</v>
      </c>
      <c r="C228" t="s">
        <v>83</v>
      </c>
      <c r="D228" t="s">
        <v>254</v>
      </c>
      <c r="E228" t="s">
        <v>1158</v>
      </c>
      <c r="F228" t="s">
        <v>889</v>
      </c>
      <c r="G228" t="s">
        <v>0</v>
      </c>
      <c r="H228">
        <v>1.9750000000000001</v>
      </c>
      <c r="I228">
        <v>2.7149999999999999</v>
      </c>
      <c r="J228" t="s">
        <v>6</v>
      </c>
      <c r="K228" t="str">
        <f t="shared" si="48"/>
        <v/>
      </c>
      <c r="L228" t="str">
        <f t="shared" si="48"/>
        <v/>
      </c>
      <c r="M228" t="str">
        <f t="shared" si="48"/>
        <v/>
      </c>
      <c r="N228" t="str">
        <f t="shared" si="48"/>
        <v/>
      </c>
      <c r="O228" t="str">
        <f t="shared" si="48"/>
        <v/>
      </c>
      <c r="P228" t="str">
        <f t="shared" si="48"/>
        <v/>
      </c>
      <c r="Q228" t="str">
        <f t="shared" si="48"/>
        <v/>
      </c>
      <c r="R228" t="str">
        <f t="shared" si="48"/>
        <v/>
      </c>
      <c r="S228" t="str">
        <f t="shared" si="48"/>
        <v/>
      </c>
      <c r="T228" t="str">
        <f t="shared" si="48"/>
        <v/>
      </c>
      <c r="U228" t="str">
        <f t="shared" si="49"/>
        <v/>
      </c>
      <c r="V228" t="str">
        <f t="shared" si="49"/>
        <v/>
      </c>
      <c r="W228" t="str">
        <f t="shared" si="49"/>
        <v/>
      </c>
      <c r="X228" t="str">
        <f t="shared" si="49"/>
        <v/>
      </c>
      <c r="Y228" t="str">
        <f t="shared" si="49"/>
        <v/>
      </c>
      <c r="Z228" t="str">
        <f t="shared" si="49"/>
        <v/>
      </c>
      <c r="AA228" t="str">
        <f t="shared" si="49"/>
        <v/>
      </c>
      <c r="AB228" t="str">
        <f t="shared" si="49"/>
        <v/>
      </c>
      <c r="AC228">
        <f t="shared" si="43"/>
        <v>0</v>
      </c>
    </row>
    <row r="229" spans="1:29" x14ac:dyDescent="0.35">
      <c r="A229">
        <v>224</v>
      </c>
      <c r="B229" t="s">
        <v>11</v>
      </c>
      <c r="C229" t="s">
        <v>84</v>
      </c>
      <c r="D229" t="s">
        <v>255</v>
      </c>
      <c r="E229" t="s">
        <v>24</v>
      </c>
      <c r="F229" t="s">
        <v>889</v>
      </c>
      <c r="G229" t="s">
        <v>0</v>
      </c>
      <c r="H229">
        <v>2.02</v>
      </c>
      <c r="I229">
        <v>2.7149999999999999</v>
      </c>
      <c r="J229" t="s">
        <v>6</v>
      </c>
      <c r="K229" t="str">
        <f t="shared" si="48"/>
        <v/>
      </c>
      <c r="L229" t="str">
        <f t="shared" si="48"/>
        <v/>
      </c>
      <c r="M229" t="str">
        <f t="shared" si="48"/>
        <v/>
      </c>
      <c r="N229" t="str">
        <f t="shared" si="48"/>
        <v/>
      </c>
      <c r="O229" t="str">
        <f t="shared" si="48"/>
        <v/>
      </c>
      <c r="P229" t="str">
        <f t="shared" si="48"/>
        <v/>
      </c>
      <c r="Q229" t="str">
        <f t="shared" si="48"/>
        <v/>
      </c>
      <c r="R229" t="str">
        <f t="shared" si="48"/>
        <v/>
      </c>
      <c r="S229" t="str">
        <f t="shared" si="48"/>
        <v/>
      </c>
      <c r="T229" t="str">
        <f t="shared" si="48"/>
        <v/>
      </c>
      <c r="U229" t="str">
        <f t="shared" si="49"/>
        <v/>
      </c>
      <c r="V229" t="str">
        <f t="shared" si="49"/>
        <v/>
      </c>
      <c r="W229" t="str">
        <f t="shared" si="49"/>
        <v/>
      </c>
      <c r="X229" t="str">
        <f t="shared" si="49"/>
        <v/>
      </c>
      <c r="Y229" t="str">
        <f t="shared" si="49"/>
        <v/>
      </c>
      <c r="Z229" t="str">
        <f t="shared" si="49"/>
        <v/>
      </c>
      <c r="AA229" t="str">
        <f t="shared" si="49"/>
        <v/>
      </c>
      <c r="AB229" t="str">
        <f t="shared" si="49"/>
        <v/>
      </c>
      <c r="AC229">
        <f t="shared" si="43"/>
        <v>0</v>
      </c>
    </row>
    <row r="230" spans="1:29" x14ac:dyDescent="0.35">
      <c r="A230">
        <v>225</v>
      </c>
      <c r="B230" t="s">
        <v>11</v>
      </c>
      <c r="C230" t="s">
        <v>85</v>
      </c>
      <c r="D230" t="s">
        <v>256</v>
      </c>
      <c r="E230" t="s">
        <v>24</v>
      </c>
      <c r="F230" t="s">
        <v>889</v>
      </c>
      <c r="G230" t="s">
        <v>0</v>
      </c>
      <c r="H230">
        <v>1.95</v>
      </c>
      <c r="I230">
        <v>2.7149999999999999</v>
      </c>
      <c r="J230" t="s">
        <v>6</v>
      </c>
      <c r="K230" t="str">
        <f t="shared" si="48"/>
        <v/>
      </c>
      <c r="L230" t="str">
        <f t="shared" si="48"/>
        <v/>
      </c>
      <c r="M230" t="str">
        <f t="shared" si="48"/>
        <v/>
      </c>
      <c r="N230" t="str">
        <f t="shared" si="48"/>
        <v/>
      </c>
      <c r="O230" t="str">
        <f t="shared" si="48"/>
        <v/>
      </c>
      <c r="P230" t="str">
        <f t="shared" si="48"/>
        <v/>
      </c>
      <c r="Q230" t="str">
        <f t="shared" si="48"/>
        <v/>
      </c>
      <c r="R230" t="str">
        <f t="shared" si="48"/>
        <v/>
      </c>
      <c r="S230" t="str">
        <f t="shared" si="48"/>
        <v/>
      </c>
      <c r="T230" t="str">
        <f t="shared" si="48"/>
        <v/>
      </c>
      <c r="U230" t="str">
        <f t="shared" si="49"/>
        <v/>
      </c>
      <c r="V230" t="str">
        <f t="shared" si="49"/>
        <v/>
      </c>
      <c r="W230" t="str">
        <f t="shared" si="49"/>
        <v/>
      </c>
      <c r="X230" t="str">
        <f t="shared" si="49"/>
        <v/>
      </c>
      <c r="Y230" t="str">
        <f t="shared" si="49"/>
        <v/>
      </c>
      <c r="Z230" t="str">
        <f t="shared" si="49"/>
        <v/>
      </c>
      <c r="AA230" t="str">
        <f t="shared" si="49"/>
        <v/>
      </c>
      <c r="AB230" t="str">
        <f t="shared" si="49"/>
        <v/>
      </c>
      <c r="AC230">
        <f t="shared" si="43"/>
        <v>0</v>
      </c>
    </row>
    <row r="231" spans="1:29" x14ac:dyDescent="0.35">
      <c r="A231">
        <v>226</v>
      </c>
      <c r="B231" t="s">
        <v>11</v>
      </c>
      <c r="C231" t="s">
        <v>86</v>
      </c>
      <c r="D231" t="s">
        <v>257</v>
      </c>
      <c r="E231" t="s">
        <v>24</v>
      </c>
      <c r="F231" t="s">
        <v>889</v>
      </c>
      <c r="G231" t="s">
        <v>2</v>
      </c>
      <c r="H231">
        <v>1.95</v>
      </c>
      <c r="I231">
        <v>2.7149999999999999</v>
      </c>
      <c r="J231" t="s">
        <v>6</v>
      </c>
      <c r="K231" t="str">
        <f t="shared" si="48"/>
        <v/>
      </c>
      <c r="L231" t="str">
        <f t="shared" si="48"/>
        <v/>
      </c>
      <c r="M231" t="str">
        <f t="shared" si="48"/>
        <v/>
      </c>
      <c r="N231" t="str">
        <f t="shared" si="48"/>
        <v/>
      </c>
      <c r="O231" t="str">
        <f t="shared" si="48"/>
        <v/>
      </c>
      <c r="P231" t="str">
        <f t="shared" si="48"/>
        <v/>
      </c>
      <c r="Q231" t="str">
        <f t="shared" si="48"/>
        <v/>
      </c>
      <c r="R231" t="str">
        <f t="shared" si="48"/>
        <v/>
      </c>
      <c r="S231" t="str">
        <f t="shared" si="48"/>
        <v/>
      </c>
      <c r="T231" t="str">
        <f t="shared" si="48"/>
        <v/>
      </c>
      <c r="U231" t="str">
        <f t="shared" si="49"/>
        <v/>
      </c>
      <c r="V231" t="str">
        <f t="shared" si="49"/>
        <v/>
      </c>
      <c r="W231" t="str">
        <f t="shared" si="49"/>
        <v/>
      </c>
      <c r="X231" t="str">
        <f t="shared" si="49"/>
        <v/>
      </c>
      <c r="Y231" t="str">
        <f t="shared" si="49"/>
        <v/>
      </c>
      <c r="Z231" t="str">
        <f t="shared" si="49"/>
        <v/>
      </c>
      <c r="AA231" t="str">
        <f t="shared" si="49"/>
        <v/>
      </c>
      <c r="AB231" t="str">
        <f t="shared" si="49"/>
        <v/>
      </c>
      <c r="AC231">
        <f t="shared" si="43"/>
        <v>0</v>
      </c>
    </row>
    <row r="232" spans="1:29" x14ac:dyDescent="0.35">
      <c r="A232">
        <v>227</v>
      </c>
      <c r="B232" t="s">
        <v>11</v>
      </c>
      <c r="C232" t="s">
        <v>87</v>
      </c>
      <c r="D232" t="s">
        <v>258</v>
      </c>
      <c r="E232" t="s">
        <v>24</v>
      </c>
      <c r="F232" t="s">
        <v>889</v>
      </c>
      <c r="G232" t="s">
        <v>0</v>
      </c>
      <c r="H232">
        <v>1.96</v>
      </c>
      <c r="I232">
        <v>2.7149999999999999</v>
      </c>
      <c r="J232" t="s">
        <v>6</v>
      </c>
      <c r="K232" t="str">
        <f t="shared" si="48"/>
        <v/>
      </c>
      <c r="L232" t="str">
        <f t="shared" si="48"/>
        <v/>
      </c>
      <c r="M232" t="str">
        <f t="shared" si="48"/>
        <v/>
      </c>
      <c r="N232" t="str">
        <f t="shared" si="48"/>
        <v/>
      </c>
      <c r="O232" t="str">
        <f t="shared" si="48"/>
        <v/>
      </c>
      <c r="P232" t="str">
        <f t="shared" si="48"/>
        <v/>
      </c>
      <c r="Q232" t="str">
        <f t="shared" si="48"/>
        <v/>
      </c>
      <c r="R232" t="str">
        <f t="shared" si="48"/>
        <v/>
      </c>
      <c r="S232" t="str">
        <f t="shared" si="48"/>
        <v/>
      </c>
      <c r="T232" t="str">
        <f t="shared" si="48"/>
        <v/>
      </c>
      <c r="U232" t="str">
        <f t="shared" si="49"/>
        <v/>
      </c>
      <c r="V232" t="str">
        <f t="shared" si="49"/>
        <v/>
      </c>
      <c r="W232" t="str">
        <f t="shared" si="49"/>
        <v/>
      </c>
      <c r="X232" t="str">
        <f t="shared" si="49"/>
        <v/>
      </c>
      <c r="Y232" t="str">
        <f t="shared" si="49"/>
        <v/>
      </c>
      <c r="Z232" t="str">
        <f t="shared" si="49"/>
        <v/>
      </c>
      <c r="AA232" t="str">
        <f t="shared" si="49"/>
        <v/>
      </c>
      <c r="AB232" t="str">
        <f t="shared" si="49"/>
        <v/>
      </c>
      <c r="AC232">
        <f t="shared" si="43"/>
        <v>0</v>
      </c>
    </row>
    <row r="233" spans="1:29" x14ac:dyDescent="0.35">
      <c r="A233">
        <v>228</v>
      </c>
      <c r="B233" t="s">
        <v>11</v>
      </c>
      <c r="C233" t="s">
        <v>120</v>
      </c>
      <c r="D233" t="s">
        <v>259</v>
      </c>
      <c r="E233" t="s">
        <v>352</v>
      </c>
      <c r="F233" t="s">
        <v>889</v>
      </c>
      <c r="G233" t="s">
        <v>0</v>
      </c>
      <c r="H233">
        <v>1.66</v>
      </c>
      <c r="I233">
        <v>2.7149999999999999</v>
      </c>
      <c r="J233" t="s">
        <v>6</v>
      </c>
      <c r="K233" t="str">
        <f t="shared" si="48"/>
        <v/>
      </c>
      <c r="L233" t="str">
        <f t="shared" si="48"/>
        <v/>
      </c>
      <c r="M233" t="str">
        <f t="shared" si="48"/>
        <v/>
      </c>
      <c r="N233" t="str">
        <f t="shared" si="48"/>
        <v/>
      </c>
      <c r="O233" t="str">
        <f t="shared" si="48"/>
        <v/>
      </c>
      <c r="P233" t="str">
        <f t="shared" si="48"/>
        <v/>
      </c>
      <c r="Q233" t="str">
        <f t="shared" si="48"/>
        <v/>
      </c>
      <c r="R233" t="str">
        <f t="shared" si="48"/>
        <v/>
      </c>
      <c r="S233" t="str">
        <f t="shared" si="48"/>
        <v/>
      </c>
      <c r="T233" t="str">
        <f t="shared" si="48"/>
        <v/>
      </c>
      <c r="U233" t="str">
        <f t="shared" si="49"/>
        <v/>
      </c>
      <c r="V233" t="str">
        <f t="shared" si="49"/>
        <v/>
      </c>
      <c r="W233" t="str">
        <f t="shared" si="49"/>
        <v/>
      </c>
      <c r="X233" t="str">
        <f t="shared" si="49"/>
        <v/>
      </c>
      <c r="Y233" t="str">
        <f t="shared" si="49"/>
        <v/>
      </c>
      <c r="Z233" t="str">
        <f t="shared" si="49"/>
        <v/>
      </c>
      <c r="AA233" t="str">
        <f t="shared" si="49"/>
        <v/>
      </c>
      <c r="AB233" t="str">
        <f t="shared" si="49"/>
        <v/>
      </c>
      <c r="AC233">
        <f t="shared" si="43"/>
        <v>0</v>
      </c>
    </row>
    <row r="234" spans="1:29" x14ac:dyDescent="0.35">
      <c r="A234">
        <v>229</v>
      </c>
      <c r="B234" t="s">
        <v>11</v>
      </c>
      <c r="C234" t="s">
        <v>177</v>
      </c>
      <c r="D234" t="s">
        <v>260</v>
      </c>
      <c r="E234" t="s">
        <v>24</v>
      </c>
      <c r="F234" t="s">
        <v>889</v>
      </c>
      <c r="G234" t="s">
        <v>5</v>
      </c>
      <c r="H234">
        <v>1.93</v>
      </c>
      <c r="I234">
        <v>2.7149999999999999</v>
      </c>
      <c r="J234" t="s">
        <v>6</v>
      </c>
      <c r="K234" t="str">
        <f t="shared" si="48"/>
        <v/>
      </c>
      <c r="L234" t="str">
        <f t="shared" si="48"/>
        <v/>
      </c>
      <c r="M234" t="str">
        <f t="shared" si="48"/>
        <v/>
      </c>
      <c r="N234" t="str">
        <f t="shared" si="48"/>
        <v/>
      </c>
      <c r="O234" t="str">
        <f t="shared" si="48"/>
        <v/>
      </c>
      <c r="P234" t="str">
        <f t="shared" si="48"/>
        <v/>
      </c>
      <c r="Q234" t="str">
        <f t="shared" si="48"/>
        <v/>
      </c>
      <c r="R234" t="str">
        <f t="shared" si="48"/>
        <v/>
      </c>
      <c r="S234" t="str">
        <f t="shared" si="48"/>
        <v/>
      </c>
      <c r="T234" t="str">
        <f t="shared" si="48"/>
        <v/>
      </c>
      <c r="U234" t="str">
        <f t="shared" si="49"/>
        <v/>
      </c>
      <c r="V234" t="str">
        <f t="shared" si="49"/>
        <v/>
      </c>
      <c r="W234" t="str">
        <f t="shared" si="49"/>
        <v/>
      </c>
      <c r="X234" t="str">
        <f t="shared" si="49"/>
        <v/>
      </c>
      <c r="Y234" t="str">
        <f t="shared" si="49"/>
        <v/>
      </c>
      <c r="Z234" t="str">
        <f t="shared" si="49"/>
        <v/>
      </c>
      <c r="AA234" t="str">
        <f t="shared" si="49"/>
        <v/>
      </c>
      <c r="AB234" t="str">
        <f t="shared" si="49"/>
        <v/>
      </c>
      <c r="AC234">
        <f t="shared" si="43"/>
        <v>0</v>
      </c>
    </row>
    <row r="235" spans="1:29" x14ac:dyDescent="0.35">
      <c r="A235">
        <v>230</v>
      </c>
      <c r="B235" t="s">
        <v>11</v>
      </c>
      <c r="C235" t="s">
        <v>178</v>
      </c>
      <c r="D235" t="s">
        <v>261</v>
      </c>
      <c r="E235" t="s">
        <v>24</v>
      </c>
      <c r="F235" t="s">
        <v>889</v>
      </c>
      <c r="G235" t="s">
        <v>5</v>
      </c>
      <c r="H235">
        <v>1.99</v>
      </c>
      <c r="I235">
        <v>2.7149999999999999</v>
      </c>
      <c r="J235" t="s">
        <v>6</v>
      </c>
      <c r="K235" t="str">
        <f t="shared" si="48"/>
        <v/>
      </c>
      <c r="L235" t="str">
        <f t="shared" si="48"/>
        <v/>
      </c>
      <c r="M235" t="str">
        <f t="shared" si="48"/>
        <v/>
      </c>
      <c r="N235" t="str">
        <f t="shared" si="48"/>
        <v/>
      </c>
      <c r="O235" t="str">
        <f t="shared" si="48"/>
        <v/>
      </c>
      <c r="P235" t="str">
        <f t="shared" si="48"/>
        <v/>
      </c>
      <c r="Q235" t="str">
        <f t="shared" si="48"/>
        <v/>
      </c>
      <c r="R235" t="str">
        <f t="shared" si="48"/>
        <v/>
      </c>
      <c r="S235" t="str">
        <f t="shared" si="48"/>
        <v/>
      </c>
      <c r="T235" t="str">
        <f t="shared" si="48"/>
        <v/>
      </c>
      <c r="U235" t="str">
        <f t="shared" si="49"/>
        <v/>
      </c>
      <c r="V235" t="str">
        <f t="shared" si="49"/>
        <v/>
      </c>
      <c r="W235" t="str">
        <f t="shared" si="49"/>
        <v/>
      </c>
      <c r="X235" t="str">
        <f t="shared" si="49"/>
        <v/>
      </c>
      <c r="Y235" t="str">
        <f t="shared" si="49"/>
        <v/>
      </c>
      <c r="Z235" t="str">
        <f t="shared" si="49"/>
        <v/>
      </c>
      <c r="AA235" t="str">
        <f t="shared" si="49"/>
        <v/>
      </c>
      <c r="AB235" t="str">
        <f t="shared" si="49"/>
        <v/>
      </c>
      <c r="AC235">
        <f t="shared" si="43"/>
        <v>0</v>
      </c>
    </row>
    <row r="236" spans="1:29" x14ac:dyDescent="0.35">
      <c r="A236">
        <v>231</v>
      </c>
      <c r="B236" t="s">
        <v>11</v>
      </c>
      <c r="C236" t="s">
        <v>179</v>
      </c>
      <c r="D236" t="s">
        <v>262</v>
      </c>
      <c r="E236" t="s">
        <v>300</v>
      </c>
      <c r="F236" t="s">
        <v>889</v>
      </c>
      <c r="G236" t="s">
        <v>0</v>
      </c>
      <c r="H236">
        <v>1.9903</v>
      </c>
      <c r="I236">
        <v>2.7149999999999999</v>
      </c>
      <c r="J236" t="s">
        <v>6</v>
      </c>
      <c r="K236" t="str">
        <f t="shared" ref="K236:T245" si="50">IFERROR(IFERROR(IF(K$5=$K$1,VLOOKUP($A236,dormitorios,2,0),IF(K$5=$L$1,VLOOKUP($A236,comedor,2,0),IF(K$5=$M$1,VLOOKUP($A236,alojamiento,2,0),IF(K$5=$N$1,VLOOKUP($A236,sanidad,2,0),IF(K$5=$O$1,VLOOKUP($A236,servicios,2,0),IF(K$5=$P$1,VLOOKUP($A236,comyaloj,2,0),IF(K$5=$Q$1,VLOOKUP($A236,comandancia,2,0),IF(K$5=$R$1,VLOOKUP($A236,mantenimiento,2,0),IF(K$5=$S$1,VLOOKUP($A236,serestatal,2,0),IF(K$5=$T$1,VLOOKUP($A236,conferencias,2,0),"")))))))))),"")*K$3,"")</f>
        <v/>
      </c>
      <c r="L236" t="str">
        <f t="shared" si="50"/>
        <v/>
      </c>
      <c r="M236" t="str">
        <f t="shared" si="50"/>
        <v/>
      </c>
      <c r="N236" t="str">
        <f t="shared" si="50"/>
        <v/>
      </c>
      <c r="O236" t="str">
        <f t="shared" si="50"/>
        <v/>
      </c>
      <c r="P236" t="str">
        <f t="shared" si="50"/>
        <v/>
      </c>
      <c r="Q236" t="str">
        <f t="shared" si="50"/>
        <v/>
      </c>
      <c r="R236" t="str">
        <f t="shared" si="50"/>
        <v/>
      </c>
      <c r="S236" t="str">
        <f t="shared" si="50"/>
        <v/>
      </c>
      <c r="T236" t="str">
        <f t="shared" si="50"/>
        <v/>
      </c>
      <c r="U236" t="str">
        <f t="shared" ref="U236:AB245" si="51">IFERROR(IFERROR(IF(U$5=$K$1,VLOOKUP($A236,dormitorios,2,0),IF(U$5=$L$1,VLOOKUP($A236,comedor,2,0),IF(U$5=$M$1,VLOOKUP($A236,alojamiento,2,0),IF(U$5=$N$1,VLOOKUP($A236,sanidad,2,0),IF(U$5=$O$1,VLOOKUP($A236,servicios,2,0),IF(U$5=$P$1,VLOOKUP($A236,comyaloj,2,0),IF(U$5=$Q$1,VLOOKUP($A236,comandancia,2,0),IF(U$5=$R$1,VLOOKUP($A236,mantenimiento,2,0),IF(U$5=$S$1,VLOOKUP($A236,serestatal,2,0),IF(U$5=$T$1,VLOOKUP($A236,conferencias,2,0),"")))))))))),"")*U$3,"")</f>
        <v/>
      </c>
      <c r="V236" t="str">
        <f t="shared" si="51"/>
        <v/>
      </c>
      <c r="W236" t="str">
        <f t="shared" si="51"/>
        <v/>
      </c>
      <c r="X236" t="str">
        <f t="shared" si="51"/>
        <v/>
      </c>
      <c r="Y236" t="str">
        <f t="shared" si="51"/>
        <v/>
      </c>
      <c r="Z236" t="str">
        <f t="shared" si="51"/>
        <v/>
      </c>
      <c r="AA236" t="str">
        <f t="shared" si="51"/>
        <v/>
      </c>
      <c r="AB236" t="str">
        <f t="shared" si="51"/>
        <v/>
      </c>
      <c r="AC236">
        <f t="shared" si="43"/>
        <v>0</v>
      </c>
    </row>
    <row r="237" spans="1:29" x14ac:dyDescent="0.35">
      <c r="A237">
        <v>232</v>
      </c>
      <c r="B237" t="s">
        <v>11</v>
      </c>
      <c r="C237" t="s">
        <v>180</v>
      </c>
      <c r="D237" t="s">
        <v>263</v>
      </c>
      <c r="E237" t="s">
        <v>301</v>
      </c>
      <c r="F237" t="s">
        <v>889</v>
      </c>
      <c r="G237" t="s">
        <v>0</v>
      </c>
      <c r="H237">
        <v>1.99</v>
      </c>
      <c r="I237">
        <v>2.7149999999999999</v>
      </c>
      <c r="J237" t="s">
        <v>6</v>
      </c>
      <c r="K237" t="str">
        <f t="shared" si="50"/>
        <v/>
      </c>
      <c r="L237" t="str">
        <f t="shared" si="50"/>
        <v/>
      </c>
      <c r="M237" t="str">
        <f t="shared" si="50"/>
        <v/>
      </c>
      <c r="N237" t="str">
        <f t="shared" si="50"/>
        <v/>
      </c>
      <c r="O237" t="str">
        <f t="shared" si="50"/>
        <v/>
      </c>
      <c r="P237" t="str">
        <f t="shared" si="50"/>
        <v/>
      </c>
      <c r="Q237" t="str">
        <f t="shared" si="50"/>
        <v/>
      </c>
      <c r="R237" t="str">
        <f t="shared" si="50"/>
        <v/>
      </c>
      <c r="S237" t="str">
        <f t="shared" si="50"/>
        <v/>
      </c>
      <c r="T237" t="str">
        <f t="shared" si="50"/>
        <v/>
      </c>
      <c r="U237" t="str">
        <f t="shared" si="51"/>
        <v/>
      </c>
      <c r="V237" t="str">
        <f t="shared" si="51"/>
        <v/>
      </c>
      <c r="W237" t="str">
        <f t="shared" si="51"/>
        <v/>
      </c>
      <c r="X237" t="str">
        <f t="shared" si="51"/>
        <v/>
      </c>
      <c r="Y237" t="str">
        <f t="shared" si="51"/>
        <v/>
      </c>
      <c r="Z237" t="str">
        <f t="shared" si="51"/>
        <v/>
      </c>
      <c r="AA237" t="str">
        <f t="shared" si="51"/>
        <v/>
      </c>
      <c r="AB237" t="str">
        <f t="shared" si="51"/>
        <v/>
      </c>
      <c r="AC237">
        <f t="shared" si="43"/>
        <v>0</v>
      </c>
    </row>
    <row r="238" spans="1:29" x14ac:dyDescent="0.35">
      <c r="A238">
        <v>233</v>
      </c>
      <c r="B238" t="s">
        <v>11</v>
      </c>
      <c r="C238" t="s">
        <v>181</v>
      </c>
      <c r="D238" t="s">
        <v>264</v>
      </c>
      <c r="E238" t="s">
        <v>340</v>
      </c>
      <c r="F238" t="s">
        <v>889</v>
      </c>
      <c r="G238" t="s">
        <v>0</v>
      </c>
      <c r="H238">
        <v>1.99</v>
      </c>
      <c r="I238">
        <v>2.7149999999999999</v>
      </c>
      <c r="J238" t="s">
        <v>6</v>
      </c>
      <c r="K238" t="str">
        <f t="shared" si="50"/>
        <v/>
      </c>
      <c r="L238" t="str">
        <f t="shared" si="50"/>
        <v/>
      </c>
      <c r="M238" t="str">
        <f t="shared" si="50"/>
        <v/>
      </c>
      <c r="N238" t="str">
        <f t="shared" si="50"/>
        <v/>
      </c>
      <c r="O238" t="str">
        <f t="shared" si="50"/>
        <v/>
      </c>
      <c r="P238" t="str">
        <f t="shared" si="50"/>
        <v/>
      </c>
      <c r="Q238" t="str">
        <f t="shared" si="50"/>
        <v/>
      </c>
      <c r="R238" t="str">
        <f t="shared" si="50"/>
        <v/>
      </c>
      <c r="S238" t="str">
        <f t="shared" si="50"/>
        <v/>
      </c>
      <c r="T238" t="str">
        <f t="shared" si="50"/>
        <v/>
      </c>
      <c r="U238" t="str">
        <f t="shared" si="51"/>
        <v/>
      </c>
      <c r="V238" t="str">
        <f t="shared" si="51"/>
        <v/>
      </c>
      <c r="W238" t="str">
        <f t="shared" si="51"/>
        <v/>
      </c>
      <c r="X238" t="str">
        <f t="shared" si="51"/>
        <v/>
      </c>
      <c r="Y238" t="str">
        <f t="shared" si="51"/>
        <v/>
      </c>
      <c r="Z238" t="str">
        <f t="shared" si="51"/>
        <v/>
      </c>
      <c r="AA238" t="str">
        <f t="shared" si="51"/>
        <v/>
      </c>
      <c r="AB238" t="str">
        <f t="shared" si="51"/>
        <v/>
      </c>
      <c r="AC238">
        <f t="shared" si="43"/>
        <v>0</v>
      </c>
    </row>
    <row r="239" spans="1:29" x14ac:dyDescent="0.35">
      <c r="A239">
        <v>234</v>
      </c>
      <c r="B239" t="s">
        <v>11</v>
      </c>
      <c r="C239" t="s">
        <v>182</v>
      </c>
      <c r="D239" t="s">
        <v>265</v>
      </c>
      <c r="E239" t="s">
        <v>24</v>
      </c>
      <c r="F239" t="s">
        <v>889</v>
      </c>
      <c r="G239" t="s">
        <v>2</v>
      </c>
      <c r="H239">
        <v>2.0640000000000001</v>
      </c>
      <c r="I239">
        <v>2.7149999999999999</v>
      </c>
      <c r="J239" t="s">
        <v>6</v>
      </c>
      <c r="K239" t="str">
        <f t="shared" si="50"/>
        <v/>
      </c>
      <c r="L239" t="str">
        <f t="shared" si="50"/>
        <v/>
      </c>
      <c r="M239" t="str">
        <f t="shared" si="50"/>
        <v/>
      </c>
      <c r="N239" t="str">
        <f t="shared" si="50"/>
        <v/>
      </c>
      <c r="O239" t="str">
        <f t="shared" si="50"/>
        <v/>
      </c>
      <c r="P239" t="str">
        <f t="shared" si="50"/>
        <v/>
      </c>
      <c r="Q239" t="str">
        <f t="shared" si="50"/>
        <v/>
      </c>
      <c r="R239" t="str">
        <f t="shared" si="50"/>
        <v/>
      </c>
      <c r="S239" t="str">
        <f t="shared" si="50"/>
        <v/>
      </c>
      <c r="T239" t="str">
        <f t="shared" si="50"/>
        <v/>
      </c>
      <c r="U239" t="str">
        <f t="shared" si="51"/>
        <v/>
      </c>
      <c r="V239" t="str">
        <f t="shared" si="51"/>
        <v/>
      </c>
      <c r="W239" t="str">
        <f t="shared" si="51"/>
        <v/>
      </c>
      <c r="X239" t="str">
        <f t="shared" si="51"/>
        <v/>
      </c>
      <c r="Y239" t="str">
        <f t="shared" si="51"/>
        <v/>
      </c>
      <c r="Z239" t="str">
        <f t="shared" si="51"/>
        <v/>
      </c>
      <c r="AA239" t="str">
        <f t="shared" si="51"/>
        <v/>
      </c>
      <c r="AB239" t="str">
        <f t="shared" si="51"/>
        <v/>
      </c>
      <c r="AC239">
        <f t="shared" si="43"/>
        <v>0</v>
      </c>
    </row>
    <row r="240" spans="1:29" x14ac:dyDescent="0.35">
      <c r="A240">
        <v>235</v>
      </c>
      <c r="B240" t="s">
        <v>11</v>
      </c>
      <c r="C240" t="s">
        <v>290</v>
      </c>
      <c r="D240" t="s">
        <v>291</v>
      </c>
      <c r="E240" t="s">
        <v>301</v>
      </c>
      <c r="F240" t="s">
        <v>889</v>
      </c>
      <c r="G240" t="s">
        <v>2</v>
      </c>
      <c r="H240">
        <v>1.99</v>
      </c>
      <c r="I240">
        <v>2.7149999999999999</v>
      </c>
      <c r="J240" t="s">
        <v>6</v>
      </c>
      <c r="K240" t="str">
        <f t="shared" si="50"/>
        <v/>
      </c>
      <c r="L240" t="str">
        <f t="shared" si="50"/>
        <v/>
      </c>
      <c r="M240" t="str">
        <f t="shared" si="50"/>
        <v/>
      </c>
      <c r="N240" t="str">
        <f t="shared" si="50"/>
        <v/>
      </c>
      <c r="O240" t="str">
        <f t="shared" si="50"/>
        <v/>
      </c>
      <c r="P240" t="str">
        <f t="shared" si="50"/>
        <v/>
      </c>
      <c r="Q240" t="str">
        <f t="shared" si="50"/>
        <v/>
      </c>
      <c r="R240" t="str">
        <f t="shared" si="50"/>
        <v/>
      </c>
      <c r="S240" t="str">
        <f t="shared" si="50"/>
        <v/>
      </c>
      <c r="T240" t="str">
        <f t="shared" si="50"/>
        <v/>
      </c>
      <c r="U240" t="str">
        <f t="shared" si="51"/>
        <v/>
      </c>
      <c r="V240" t="str">
        <f t="shared" si="51"/>
        <v/>
      </c>
      <c r="W240" t="str">
        <f t="shared" si="51"/>
        <v/>
      </c>
      <c r="X240" t="str">
        <f t="shared" si="51"/>
        <v/>
      </c>
      <c r="Y240" t="str">
        <f t="shared" si="51"/>
        <v/>
      </c>
      <c r="Z240" t="str">
        <f t="shared" si="51"/>
        <v/>
      </c>
      <c r="AA240" t="str">
        <f t="shared" si="51"/>
        <v/>
      </c>
      <c r="AB240" t="str">
        <f t="shared" si="51"/>
        <v/>
      </c>
      <c r="AC240">
        <f t="shared" si="43"/>
        <v>0</v>
      </c>
    </row>
    <row r="241" spans="1:29" x14ac:dyDescent="0.35">
      <c r="A241">
        <v>236</v>
      </c>
      <c r="B241" t="s">
        <v>11</v>
      </c>
      <c r="C241" t="s">
        <v>292</v>
      </c>
      <c r="D241" t="s">
        <v>293</v>
      </c>
      <c r="E241" t="s">
        <v>302</v>
      </c>
      <c r="F241" t="s">
        <v>889</v>
      </c>
      <c r="G241" t="s">
        <v>0</v>
      </c>
      <c r="H241">
        <v>1.88</v>
      </c>
      <c r="I241">
        <v>2.7149999999999999</v>
      </c>
      <c r="J241" t="s">
        <v>6</v>
      </c>
      <c r="K241" t="str">
        <f t="shared" si="50"/>
        <v/>
      </c>
      <c r="L241" t="str">
        <f t="shared" si="50"/>
        <v/>
      </c>
      <c r="M241" t="str">
        <f t="shared" si="50"/>
        <v/>
      </c>
      <c r="N241" t="str">
        <f t="shared" si="50"/>
        <v/>
      </c>
      <c r="O241" t="str">
        <f t="shared" si="50"/>
        <v/>
      </c>
      <c r="P241" t="str">
        <f t="shared" si="50"/>
        <v/>
      </c>
      <c r="Q241" t="str">
        <f t="shared" si="50"/>
        <v/>
      </c>
      <c r="R241" t="str">
        <f t="shared" si="50"/>
        <v/>
      </c>
      <c r="S241" t="str">
        <f t="shared" si="50"/>
        <v/>
      </c>
      <c r="T241" t="str">
        <f t="shared" si="50"/>
        <v/>
      </c>
      <c r="U241" t="str">
        <f t="shared" si="51"/>
        <v/>
      </c>
      <c r="V241" t="str">
        <f t="shared" si="51"/>
        <v/>
      </c>
      <c r="W241" t="str">
        <f t="shared" si="51"/>
        <v/>
      </c>
      <c r="X241" t="str">
        <f t="shared" si="51"/>
        <v/>
      </c>
      <c r="Y241" t="str">
        <f t="shared" si="51"/>
        <v/>
      </c>
      <c r="Z241" t="str">
        <f t="shared" si="51"/>
        <v/>
      </c>
      <c r="AA241" t="str">
        <f t="shared" si="51"/>
        <v/>
      </c>
      <c r="AB241" t="str">
        <f t="shared" si="51"/>
        <v/>
      </c>
      <c r="AC241">
        <f t="shared" si="43"/>
        <v>0</v>
      </c>
    </row>
    <row r="242" spans="1:29" x14ac:dyDescent="0.35">
      <c r="A242">
        <v>237</v>
      </c>
      <c r="B242" t="s">
        <v>11</v>
      </c>
      <c r="C242" t="s">
        <v>294</v>
      </c>
      <c r="D242" t="s">
        <v>295</v>
      </c>
      <c r="E242" t="s">
        <v>352</v>
      </c>
      <c r="F242" t="s">
        <v>889</v>
      </c>
      <c r="G242" t="s">
        <v>2</v>
      </c>
      <c r="H242">
        <v>1.5</v>
      </c>
      <c r="I242">
        <v>2.7149999999999999</v>
      </c>
      <c r="J242" t="s">
        <v>6</v>
      </c>
      <c r="K242" t="str">
        <f t="shared" si="50"/>
        <v/>
      </c>
      <c r="L242" t="str">
        <f t="shared" si="50"/>
        <v/>
      </c>
      <c r="M242" t="str">
        <f t="shared" si="50"/>
        <v/>
      </c>
      <c r="N242" t="str">
        <f t="shared" si="50"/>
        <v/>
      </c>
      <c r="O242" t="str">
        <f t="shared" si="50"/>
        <v/>
      </c>
      <c r="P242" t="str">
        <f t="shared" si="50"/>
        <v/>
      </c>
      <c r="Q242" t="str">
        <f t="shared" si="50"/>
        <v/>
      </c>
      <c r="R242" t="str">
        <f t="shared" si="50"/>
        <v/>
      </c>
      <c r="S242" t="str">
        <f t="shared" si="50"/>
        <v/>
      </c>
      <c r="T242" t="str">
        <f t="shared" si="50"/>
        <v/>
      </c>
      <c r="U242" t="str">
        <f t="shared" si="51"/>
        <v/>
      </c>
      <c r="V242" t="str">
        <f t="shared" si="51"/>
        <v/>
      </c>
      <c r="W242" t="str">
        <f t="shared" si="51"/>
        <v/>
      </c>
      <c r="X242" t="str">
        <f t="shared" si="51"/>
        <v/>
      </c>
      <c r="Y242" t="str">
        <f t="shared" si="51"/>
        <v/>
      </c>
      <c r="Z242" t="str">
        <f t="shared" si="51"/>
        <v/>
      </c>
      <c r="AA242" t="str">
        <f t="shared" si="51"/>
        <v/>
      </c>
      <c r="AB242" t="str">
        <f t="shared" si="51"/>
        <v/>
      </c>
      <c r="AC242">
        <f t="shared" si="43"/>
        <v>0</v>
      </c>
    </row>
    <row r="243" spans="1:29" x14ac:dyDescent="0.35">
      <c r="A243">
        <v>238</v>
      </c>
      <c r="B243" t="s">
        <v>11</v>
      </c>
      <c r="C243" t="s">
        <v>296</v>
      </c>
      <c r="D243" t="s">
        <v>297</v>
      </c>
      <c r="E243" t="s">
        <v>352</v>
      </c>
      <c r="F243" t="s">
        <v>889</v>
      </c>
      <c r="G243" t="s">
        <v>0</v>
      </c>
      <c r="H243">
        <v>1.5</v>
      </c>
      <c r="I243">
        <v>2.7149999999999999</v>
      </c>
      <c r="J243" t="s">
        <v>6</v>
      </c>
      <c r="K243" t="str">
        <f t="shared" si="50"/>
        <v/>
      </c>
      <c r="L243" t="str">
        <f t="shared" si="50"/>
        <v/>
      </c>
      <c r="M243" t="str">
        <f t="shared" si="50"/>
        <v/>
      </c>
      <c r="N243" t="str">
        <f t="shared" si="50"/>
        <v/>
      </c>
      <c r="O243" t="str">
        <f t="shared" si="50"/>
        <v/>
      </c>
      <c r="P243" t="str">
        <f t="shared" si="50"/>
        <v/>
      </c>
      <c r="Q243" t="str">
        <f t="shared" si="50"/>
        <v/>
      </c>
      <c r="R243" t="str">
        <f t="shared" si="50"/>
        <v/>
      </c>
      <c r="S243" t="str">
        <f t="shared" si="50"/>
        <v/>
      </c>
      <c r="T243" t="str">
        <f t="shared" si="50"/>
        <v/>
      </c>
      <c r="U243" t="str">
        <f t="shared" si="51"/>
        <v/>
      </c>
      <c r="V243" t="str">
        <f t="shared" si="51"/>
        <v/>
      </c>
      <c r="W243" t="str">
        <f t="shared" si="51"/>
        <v/>
      </c>
      <c r="X243" t="str">
        <f t="shared" si="51"/>
        <v/>
      </c>
      <c r="Y243" t="str">
        <f t="shared" si="51"/>
        <v/>
      </c>
      <c r="Z243" t="str">
        <f t="shared" si="51"/>
        <v/>
      </c>
      <c r="AA243" t="str">
        <f t="shared" si="51"/>
        <v/>
      </c>
      <c r="AB243" t="str">
        <f t="shared" si="51"/>
        <v/>
      </c>
      <c r="AC243">
        <f t="shared" si="43"/>
        <v>0</v>
      </c>
    </row>
    <row r="244" spans="1:29" x14ac:dyDescent="0.35">
      <c r="A244">
        <v>239</v>
      </c>
      <c r="B244" t="s">
        <v>11</v>
      </c>
      <c r="C244" t="s">
        <v>298</v>
      </c>
      <c r="D244" t="s">
        <v>299</v>
      </c>
      <c r="E244" t="s">
        <v>353</v>
      </c>
      <c r="F244" t="s">
        <v>889</v>
      </c>
      <c r="G244" t="s">
        <v>0</v>
      </c>
      <c r="H244">
        <v>1.9750000000000001</v>
      </c>
      <c r="I244">
        <v>2.7149999999999999</v>
      </c>
      <c r="J244" t="s">
        <v>6</v>
      </c>
      <c r="K244" t="str">
        <f t="shared" si="50"/>
        <v/>
      </c>
      <c r="L244" t="str">
        <f t="shared" si="50"/>
        <v/>
      </c>
      <c r="M244" t="str">
        <f t="shared" si="50"/>
        <v/>
      </c>
      <c r="N244" t="str">
        <f t="shared" si="50"/>
        <v/>
      </c>
      <c r="O244" t="str">
        <f t="shared" si="50"/>
        <v/>
      </c>
      <c r="P244" t="str">
        <f t="shared" si="50"/>
        <v/>
      </c>
      <c r="Q244" t="str">
        <f t="shared" si="50"/>
        <v/>
      </c>
      <c r="R244" t="str">
        <f t="shared" si="50"/>
        <v/>
      </c>
      <c r="S244" t="str">
        <f t="shared" si="50"/>
        <v/>
      </c>
      <c r="T244" t="str">
        <f t="shared" si="50"/>
        <v/>
      </c>
      <c r="U244" t="str">
        <f t="shared" si="51"/>
        <v/>
      </c>
      <c r="V244" t="str">
        <f t="shared" si="51"/>
        <v/>
      </c>
      <c r="W244" t="str">
        <f t="shared" si="51"/>
        <v/>
      </c>
      <c r="X244" t="str">
        <f t="shared" si="51"/>
        <v/>
      </c>
      <c r="Y244" t="str">
        <f t="shared" si="51"/>
        <v/>
      </c>
      <c r="Z244" t="str">
        <f t="shared" si="51"/>
        <v/>
      </c>
      <c r="AA244" t="str">
        <f t="shared" si="51"/>
        <v/>
      </c>
      <c r="AB244" t="str">
        <f t="shared" si="51"/>
        <v/>
      </c>
      <c r="AC244">
        <f t="shared" si="43"/>
        <v>0</v>
      </c>
    </row>
    <row r="245" spans="1:29" x14ac:dyDescent="0.35">
      <c r="A245">
        <v>240</v>
      </c>
      <c r="B245" t="s">
        <v>11</v>
      </c>
      <c r="C245" t="s">
        <v>309</v>
      </c>
      <c r="D245" t="s">
        <v>310</v>
      </c>
      <c r="E245" t="s">
        <v>24</v>
      </c>
      <c r="F245" t="s">
        <v>889</v>
      </c>
      <c r="G245" t="s">
        <v>0</v>
      </c>
      <c r="H245">
        <v>1.99</v>
      </c>
      <c r="I245">
        <v>2.7149999999999999</v>
      </c>
      <c r="J245" t="s">
        <v>6</v>
      </c>
      <c r="K245" t="str">
        <f t="shared" si="50"/>
        <v/>
      </c>
      <c r="L245" t="str">
        <f t="shared" si="50"/>
        <v/>
      </c>
      <c r="M245" t="str">
        <f t="shared" si="50"/>
        <v/>
      </c>
      <c r="N245" t="str">
        <f t="shared" si="50"/>
        <v/>
      </c>
      <c r="O245" t="str">
        <f t="shared" si="50"/>
        <v/>
      </c>
      <c r="P245" t="str">
        <f t="shared" si="50"/>
        <v/>
      </c>
      <c r="Q245" t="str">
        <f t="shared" si="50"/>
        <v/>
      </c>
      <c r="R245" t="str">
        <f t="shared" si="50"/>
        <v/>
      </c>
      <c r="S245" t="str">
        <f t="shared" si="50"/>
        <v/>
      </c>
      <c r="T245" t="str">
        <f t="shared" si="50"/>
        <v/>
      </c>
      <c r="U245" t="str">
        <f t="shared" si="51"/>
        <v/>
      </c>
      <c r="V245" t="str">
        <f t="shared" si="51"/>
        <v/>
      </c>
      <c r="W245" t="str">
        <f t="shared" si="51"/>
        <v/>
      </c>
      <c r="X245" t="str">
        <f t="shared" si="51"/>
        <v/>
      </c>
      <c r="Y245" t="str">
        <f t="shared" si="51"/>
        <v/>
      </c>
      <c r="Z245" t="str">
        <f t="shared" si="51"/>
        <v/>
      </c>
      <c r="AA245" t="str">
        <f t="shared" si="51"/>
        <v/>
      </c>
      <c r="AB245" t="str">
        <f t="shared" si="51"/>
        <v/>
      </c>
      <c r="AC245">
        <f t="shared" si="43"/>
        <v>0</v>
      </c>
    </row>
    <row r="246" spans="1:29" x14ac:dyDescent="0.35">
      <c r="A246">
        <v>241</v>
      </c>
      <c r="B246" t="s">
        <v>11</v>
      </c>
      <c r="C246" t="s">
        <v>311</v>
      </c>
      <c r="D246" t="s">
        <v>312</v>
      </c>
      <c r="E246" t="s">
        <v>24</v>
      </c>
      <c r="F246" t="s">
        <v>889</v>
      </c>
      <c r="G246" t="s">
        <v>0</v>
      </c>
      <c r="H246">
        <v>1.88</v>
      </c>
      <c r="I246">
        <v>2.7149999999999999</v>
      </c>
      <c r="J246" t="s">
        <v>6</v>
      </c>
      <c r="K246" t="str">
        <f t="shared" ref="K246:T255" si="52">IFERROR(IFERROR(IF(K$5=$K$1,VLOOKUP($A246,dormitorios,2,0),IF(K$5=$L$1,VLOOKUP($A246,comedor,2,0),IF(K$5=$M$1,VLOOKUP($A246,alojamiento,2,0),IF(K$5=$N$1,VLOOKUP($A246,sanidad,2,0),IF(K$5=$O$1,VLOOKUP($A246,servicios,2,0),IF(K$5=$P$1,VLOOKUP($A246,comyaloj,2,0),IF(K$5=$Q$1,VLOOKUP($A246,comandancia,2,0),IF(K$5=$R$1,VLOOKUP($A246,mantenimiento,2,0),IF(K$5=$S$1,VLOOKUP($A246,serestatal,2,0),IF(K$5=$T$1,VLOOKUP($A246,conferencias,2,0),"")))))))))),"")*K$3,"")</f>
        <v/>
      </c>
      <c r="L246" t="str">
        <f t="shared" si="52"/>
        <v/>
      </c>
      <c r="M246">
        <f t="shared" si="52"/>
        <v>4</v>
      </c>
      <c r="N246" t="str">
        <f t="shared" si="52"/>
        <v/>
      </c>
      <c r="O246" t="str">
        <f t="shared" si="52"/>
        <v/>
      </c>
      <c r="P246" t="str">
        <f t="shared" si="52"/>
        <v/>
      </c>
      <c r="Q246" t="str">
        <f t="shared" si="52"/>
        <v/>
      </c>
      <c r="R246" t="str">
        <f t="shared" si="52"/>
        <v/>
      </c>
      <c r="S246" t="str">
        <f t="shared" si="52"/>
        <v/>
      </c>
      <c r="T246" t="str">
        <f t="shared" si="52"/>
        <v/>
      </c>
      <c r="U246" t="str">
        <f t="shared" ref="U246:AB255" si="53">IFERROR(IFERROR(IF(U$5=$K$1,VLOOKUP($A246,dormitorios,2,0),IF(U$5=$L$1,VLOOKUP($A246,comedor,2,0),IF(U$5=$M$1,VLOOKUP($A246,alojamiento,2,0),IF(U$5=$N$1,VLOOKUP($A246,sanidad,2,0),IF(U$5=$O$1,VLOOKUP($A246,servicios,2,0),IF(U$5=$P$1,VLOOKUP($A246,comyaloj,2,0),IF(U$5=$Q$1,VLOOKUP($A246,comandancia,2,0),IF(U$5=$R$1,VLOOKUP($A246,mantenimiento,2,0),IF(U$5=$S$1,VLOOKUP($A246,serestatal,2,0),IF(U$5=$T$1,VLOOKUP($A246,conferencias,2,0),"")))))))))),"")*U$3,"")</f>
        <v/>
      </c>
      <c r="V246" t="str">
        <f t="shared" si="53"/>
        <v/>
      </c>
      <c r="W246" t="str">
        <f t="shared" si="53"/>
        <v/>
      </c>
      <c r="X246" t="str">
        <f t="shared" si="53"/>
        <v/>
      </c>
      <c r="Y246" t="str">
        <f t="shared" si="53"/>
        <v/>
      </c>
      <c r="Z246" t="str">
        <f t="shared" si="53"/>
        <v/>
      </c>
      <c r="AA246" t="str">
        <f t="shared" si="53"/>
        <v/>
      </c>
      <c r="AB246" t="str">
        <f t="shared" si="53"/>
        <v/>
      </c>
      <c r="AC246">
        <f t="shared" si="43"/>
        <v>4</v>
      </c>
    </row>
    <row r="247" spans="1:29" x14ac:dyDescent="0.35">
      <c r="A247">
        <v>242</v>
      </c>
      <c r="B247" t="s">
        <v>11</v>
      </c>
      <c r="C247" t="s">
        <v>378</v>
      </c>
      <c r="D247" t="s">
        <v>379</v>
      </c>
      <c r="E247" t="s">
        <v>380</v>
      </c>
      <c r="F247" t="s">
        <v>889</v>
      </c>
      <c r="G247" t="s">
        <v>2</v>
      </c>
      <c r="H247">
        <v>2.0074999999999998</v>
      </c>
      <c r="I247">
        <v>2.5</v>
      </c>
      <c r="J247" t="s">
        <v>6</v>
      </c>
      <c r="K247" t="str">
        <f t="shared" si="52"/>
        <v/>
      </c>
      <c r="L247" t="str">
        <f t="shared" si="52"/>
        <v/>
      </c>
      <c r="M247" t="str">
        <f t="shared" si="52"/>
        <v/>
      </c>
      <c r="N247" t="str">
        <f t="shared" si="52"/>
        <v/>
      </c>
      <c r="O247" t="str">
        <f t="shared" si="52"/>
        <v/>
      </c>
      <c r="P247" t="str">
        <f t="shared" si="52"/>
        <v/>
      </c>
      <c r="Q247" t="str">
        <f t="shared" si="52"/>
        <v/>
      </c>
      <c r="R247" t="str">
        <f t="shared" si="52"/>
        <v/>
      </c>
      <c r="S247" t="str">
        <f t="shared" si="52"/>
        <v/>
      </c>
      <c r="T247" t="str">
        <f t="shared" si="52"/>
        <v/>
      </c>
      <c r="U247" t="str">
        <f t="shared" si="53"/>
        <v/>
      </c>
      <c r="V247" t="str">
        <f t="shared" si="53"/>
        <v/>
      </c>
      <c r="W247" t="str">
        <f t="shared" si="53"/>
        <v/>
      </c>
      <c r="X247" t="str">
        <f t="shared" si="53"/>
        <v/>
      </c>
      <c r="Y247" t="str">
        <f t="shared" si="53"/>
        <v/>
      </c>
      <c r="Z247" t="str">
        <f t="shared" si="53"/>
        <v/>
      </c>
      <c r="AA247" t="str">
        <f t="shared" si="53"/>
        <v/>
      </c>
      <c r="AB247" t="str">
        <f t="shared" si="53"/>
        <v/>
      </c>
      <c r="AC247">
        <f t="shared" si="43"/>
        <v>0</v>
      </c>
    </row>
    <row r="248" spans="1:29" x14ac:dyDescent="0.35">
      <c r="A248">
        <v>243</v>
      </c>
      <c r="B248" t="s">
        <v>11</v>
      </c>
      <c r="C248" t="s">
        <v>381</v>
      </c>
      <c r="D248" t="s">
        <v>382</v>
      </c>
      <c r="E248" t="s">
        <v>383</v>
      </c>
      <c r="F248" t="s">
        <v>889</v>
      </c>
      <c r="G248" t="s">
        <v>2</v>
      </c>
      <c r="H248">
        <v>1.8965000000000001</v>
      </c>
      <c r="I248">
        <v>2.5</v>
      </c>
      <c r="J248" t="s">
        <v>6</v>
      </c>
      <c r="K248" t="str">
        <f t="shared" si="52"/>
        <v/>
      </c>
      <c r="L248" t="str">
        <f t="shared" si="52"/>
        <v/>
      </c>
      <c r="M248" t="str">
        <f t="shared" si="52"/>
        <v/>
      </c>
      <c r="N248" t="str">
        <f t="shared" si="52"/>
        <v/>
      </c>
      <c r="O248" t="str">
        <f t="shared" si="52"/>
        <v/>
      </c>
      <c r="P248" t="str">
        <f t="shared" si="52"/>
        <v/>
      </c>
      <c r="Q248" t="str">
        <f t="shared" si="52"/>
        <v/>
      </c>
      <c r="R248" t="str">
        <f t="shared" si="52"/>
        <v/>
      </c>
      <c r="S248" t="str">
        <f t="shared" si="52"/>
        <v/>
      </c>
      <c r="T248" t="str">
        <f t="shared" si="52"/>
        <v/>
      </c>
      <c r="U248" t="str">
        <f t="shared" si="53"/>
        <v/>
      </c>
      <c r="V248" t="str">
        <f t="shared" si="53"/>
        <v/>
      </c>
      <c r="W248" t="str">
        <f t="shared" si="53"/>
        <v/>
      </c>
      <c r="X248" t="str">
        <f t="shared" si="53"/>
        <v/>
      </c>
      <c r="Y248" t="str">
        <f t="shared" si="53"/>
        <v/>
      </c>
      <c r="Z248" t="str">
        <f t="shared" si="53"/>
        <v/>
      </c>
      <c r="AA248" t="str">
        <f t="shared" si="53"/>
        <v/>
      </c>
      <c r="AB248" t="str">
        <f t="shared" si="53"/>
        <v/>
      </c>
      <c r="AC248">
        <f t="shared" si="43"/>
        <v>0</v>
      </c>
    </row>
    <row r="249" spans="1:29" x14ac:dyDescent="0.35">
      <c r="A249">
        <v>244</v>
      </c>
      <c r="B249" t="s">
        <v>11</v>
      </c>
      <c r="C249" t="s">
        <v>384</v>
      </c>
      <c r="D249" t="s">
        <v>385</v>
      </c>
      <c r="E249" t="s">
        <v>386</v>
      </c>
      <c r="F249" t="s">
        <v>889</v>
      </c>
      <c r="G249" t="s">
        <v>0</v>
      </c>
      <c r="H249">
        <v>1.9750000000000001</v>
      </c>
      <c r="I249">
        <v>2.7149999999999999</v>
      </c>
      <c r="J249" t="s">
        <v>6</v>
      </c>
      <c r="K249" t="str">
        <f t="shared" si="52"/>
        <v/>
      </c>
      <c r="L249" t="str">
        <f t="shared" si="52"/>
        <v/>
      </c>
      <c r="M249" t="str">
        <f t="shared" si="52"/>
        <v/>
      </c>
      <c r="N249" t="str">
        <f t="shared" si="52"/>
        <v/>
      </c>
      <c r="O249" t="str">
        <f t="shared" si="52"/>
        <v/>
      </c>
      <c r="P249" t="str">
        <f t="shared" si="52"/>
        <v/>
      </c>
      <c r="Q249" t="str">
        <f t="shared" si="52"/>
        <v/>
      </c>
      <c r="R249" t="str">
        <f t="shared" si="52"/>
        <v/>
      </c>
      <c r="S249" t="str">
        <f t="shared" si="52"/>
        <v/>
      </c>
      <c r="T249" t="str">
        <f t="shared" si="52"/>
        <v/>
      </c>
      <c r="U249" t="str">
        <f t="shared" si="53"/>
        <v/>
      </c>
      <c r="V249" t="str">
        <f t="shared" si="53"/>
        <v/>
      </c>
      <c r="W249" t="str">
        <f t="shared" si="53"/>
        <v/>
      </c>
      <c r="X249" t="str">
        <f t="shared" si="53"/>
        <v/>
      </c>
      <c r="Y249" t="str">
        <f t="shared" si="53"/>
        <v/>
      </c>
      <c r="Z249" t="str">
        <f t="shared" si="53"/>
        <v/>
      </c>
      <c r="AA249" t="str">
        <f t="shared" si="53"/>
        <v/>
      </c>
      <c r="AB249" t="str">
        <f t="shared" si="53"/>
        <v/>
      </c>
      <c r="AC249">
        <f t="shared" si="43"/>
        <v>0</v>
      </c>
    </row>
    <row r="250" spans="1:29" x14ac:dyDescent="0.35">
      <c r="A250">
        <v>245</v>
      </c>
      <c r="B250" t="s">
        <v>11</v>
      </c>
      <c r="C250" t="s">
        <v>491</v>
      </c>
      <c r="D250" t="s">
        <v>492</v>
      </c>
      <c r="E250" t="s">
        <v>493</v>
      </c>
      <c r="F250" t="s">
        <v>889</v>
      </c>
      <c r="G250" t="s">
        <v>0</v>
      </c>
      <c r="H250">
        <v>2.02</v>
      </c>
      <c r="I250">
        <v>3.5</v>
      </c>
      <c r="J250" t="s">
        <v>6</v>
      </c>
      <c r="K250" t="str">
        <f t="shared" si="52"/>
        <v/>
      </c>
      <c r="L250" t="str">
        <f t="shared" si="52"/>
        <v/>
      </c>
      <c r="M250" t="str">
        <f t="shared" si="52"/>
        <v/>
      </c>
      <c r="N250" t="str">
        <f t="shared" si="52"/>
        <v/>
      </c>
      <c r="O250" t="str">
        <f t="shared" si="52"/>
        <v/>
      </c>
      <c r="P250" t="str">
        <f t="shared" si="52"/>
        <v/>
      </c>
      <c r="Q250" t="str">
        <f t="shared" si="52"/>
        <v/>
      </c>
      <c r="R250" t="str">
        <f t="shared" si="52"/>
        <v/>
      </c>
      <c r="S250" t="str">
        <f t="shared" si="52"/>
        <v/>
      </c>
      <c r="T250" t="str">
        <f t="shared" si="52"/>
        <v/>
      </c>
      <c r="U250" t="str">
        <f t="shared" si="53"/>
        <v/>
      </c>
      <c r="V250" t="str">
        <f t="shared" si="53"/>
        <v/>
      </c>
      <c r="W250" t="str">
        <f t="shared" si="53"/>
        <v/>
      </c>
      <c r="X250" t="str">
        <f t="shared" si="53"/>
        <v/>
      </c>
      <c r="Y250" t="str">
        <f t="shared" si="53"/>
        <v/>
      </c>
      <c r="Z250" t="str">
        <f t="shared" si="53"/>
        <v/>
      </c>
      <c r="AA250" t="str">
        <f t="shared" si="53"/>
        <v/>
      </c>
      <c r="AB250" t="str">
        <f t="shared" si="53"/>
        <v/>
      </c>
      <c r="AC250">
        <f t="shared" si="43"/>
        <v>0</v>
      </c>
    </row>
    <row r="251" spans="1:29" x14ac:dyDescent="0.35">
      <c r="A251">
        <v>246</v>
      </c>
      <c r="B251" t="s">
        <v>11</v>
      </c>
      <c r="C251" t="s">
        <v>494</v>
      </c>
      <c r="D251" t="s">
        <v>495</v>
      </c>
      <c r="E251" t="s">
        <v>496</v>
      </c>
      <c r="F251" t="s">
        <v>889</v>
      </c>
      <c r="G251" t="s">
        <v>0</v>
      </c>
      <c r="H251">
        <v>2.02</v>
      </c>
      <c r="I251">
        <v>3.5</v>
      </c>
      <c r="J251" t="s">
        <v>6</v>
      </c>
      <c r="K251" t="str">
        <f t="shared" si="52"/>
        <v/>
      </c>
      <c r="L251" t="str">
        <f t="shared" si="52"/>
        <v/>
      </c>
      <c r="M251" t="str">
        <f t="shared" si="52"/>
        <v/>
      </c>
      <c r="N251" t="str">
        <f t="shared" si="52"/>
        <v/>
      </c>
      <c r="O251" t="str">
        <f t="shared" si="52"/>
        <v/>
      </c>
      <c r="P251" t="str">
        <f t="shared" si="52"/>
        <v/>
      </c>
      <c r="Q251" t="str">
        <f t="shared" si="52"/>
        <v/>
      </c>
      <c r="R251" t="str">
        <f t="shared" si="52"/>
        <v/>
      </c>
      <c r="S251" t="str">
        <f t="shared" si="52"/>
        <v/>
      </c>
      <c r="T251" t="str">
        <f t="shared" si="52"/>
        <v/>
      </c>
      <c r="U251" t="str">
        <f t="shared" si="53"/>
        <v/>
      </c>
      <c r="V251" t="str">
        <f t="shared" si="53"/>
        <v/>
      </c>
      <c r="W251" t="str">
        <f t="shared" si="53"/>
        <v/>
      </c>
      <c r="X251" t="str">
        <f t="shared" si="53"/>
        <v/>
      </c>
      <c r="Y251" t="str">
        <f t="shared" si="53"/>
        <v/>
      </c>
      <c r="Z251" t="str">
        <f t="shared" si="53"/>
        <v/>
      </c>
      <c r="AA251" t="str">
        <f t="shared" si="53"/>
        <v/>
      </c>
      <c r="AB251" t="str">
        <f t="shared" si="53"/>
        <v/>
      </c>
      <c r="AC251">
        <f t="shared" si="43"/>
        <v>0</v>
      </c>
    </row>
    <row r="252" spans="1:29" x14ac:dyDescent="0.35">
      <c r="A252">
        <v>247</v>
      </c>
      <c r="B252" t="s">
        <v>11</v>
      </c>
      <c r="C252" t="s">
        <v>497</v>
      </c>
      <c r="D252" t="s">
        <v>498</v>
      </c>
      <c r="E252" t="s">
        <v>496</v>
      </c>
      <c r="F252" t="s">
        <v>889</v>
      </c>
      <c r="G252" t="s">
        <v>0</v>
      </c>
      <c r="H252">
        <v>1.95</v>
      </c>
      <c r="I252">
        <v>3.5</v>
      </c>
      <c r="J252" t="s">
        <v>6</v>
      </c>
      <c r="K252" t="str">
        <f t="shared" si="52"/>
        <v/>
      </c>
      <c r="L252" t="str">
        <f t="shared" si="52"/>
        <v/>
      </c>
      <c r="M252" t="str">
        <f t="shared" si="52"/>
        <v/>
      </c>
      <c r="N252" t="str">
        <f t="shared" si="52"/>
        <v/>
      </c>
      <c r="O252" t="str">
        <f t="shared" si="52"/>
        <v/>
      </c>
      <c r="P252" t="str">
        <f t="shared" si="52"/>
        <v/>
      </c>
      <c r="Q252" t="str">
        <f t="shared" si="52"/>
        <v/>
      </c>
      <c r="R252" t="str">
        <f t="shared" si="52"/>
        <v/>
      </c>
      <c r="S252" t="str">
        <f t="shared" si="52"/>
        <v/>
      </c>
      <c r="T252" t="str">
        <f t="shared" si="52"/>
        <v/>
      </c>
      <c r="U252" t="str">
        <f t="shared" si="53"/>
        <v/>
      </c>
      <c r="V252" t="str">
        <f t="shared" si="53"/>
        <v/>
      </c>
      <c r="W252" t="str">
        <f t="shared" si="53"/>
        <v/>
      </c>
      <c r="X252" t="str">
        <f t="shared" si="53"/>
        <v/>
      </c>
      <c r="Y252" t="str">
        <f t="shared" si="53"/>
        <v/>
      </c>
      <c r="Z252" t="str">
        <f t="shared" si="53"/>
        <v/>
      </c>
      <c r="AA252" t="str">
        <f t="shared" si="53"/>
        <v/>
      </c>
      <c r="AB252" t="str">
        <f t="shared" si="53"/>
        <v/>
      </c>
      <c r="AC252">
        <f t="shared" si="43"/>
        <v>0</v>
      </c>
    </row>
    <row r="253" spans="1:29" x14ac:dyDescent="0.35">
      <c r="A253">
        <v>248</v>
      </c>
      <c r="B253" t="s">
        <v>11</v>
      </c>
      <c r="C253" t="s">
        <v>499</v>
      </c>
      <c r="D253" t="s">
        <v>500</v>
      </c>
      <c r="E253" t="s">
        <v>501</v>
      </c>
      <c r="F253" t="s">
        <v>889</v>
      </c>
      <c r="G253" t="s">
        <v>0</v>
      </c>
      <c r="H253">
        <v>1.99</v>
      </c>
      <c r="I253">
        <v>3.5</v>
      </c>
      <c r="J253" t="s">
        <v>6</v>
      </c>
      <c r="K253" t="str">
        <f t="shared" si="52"/>
        <v/>
      </c>
      <c r="L253" t="str">
        <f t="shared" si="52"/>
        <v/>
      </c>
      <c r="M253" t="str">
        <f t="shared" si="52"/>
        <v/>
      </c>
      <c r="N253" t="str">
        <f t="shared" si="52"/>
        <v/>
      </c>
      <c r="O253" t="str">
        <f t="shared" si="52"/>
        <v/>
      </c>
      <c r="P253" t="str">
        <f t="shared" si="52"/>
        <v/>
      </c>
      <c r="Q253" t="str">
        <f t="shared" si="52"/>
        <v/>
      </c>
      <c r="R253" t="str">
        <f t="shared" si="52"/>
        <v/>
      </c>
      <c r="S253" t="str">
        <f t="shared" si="52"/>
        <v/>
      </c>
      <c r="T253" t="str">
        <f t="shared" si="52"/>
        <v/>
      </c>
      <c r="U253" t="str">
        <f t="shared" si="53"/>
        <v/>
      </c>
      <c r="V253" t="str">
        <f t="shared" si="53"/>
        <v/>
      </c>
      <c r="W253" t="str">
        <f t="shared" si="53"/>
        <v/>
      </c>
      <c r="X253" t="str">
        <f t="shared" si="53"/>
        <v/>
      </c>
      <c r="Y253" t="str">
        <f t="shared" si="53"/>
        <v/>
      </c>
      <c r="Z253" t="str">
        <f t="shared" si="53"/>
        <v/>
      </c>
      <c r="AA253" t="str">
        <f t="shared" si="53"/>
        <v/>
      </c>
      <c r="AB253" t="str">
        <f t="shared" si="53"/>
        <v/>
      </c>
      <c r="AC253">
        <f t="shared" si="43"/>
        <v>0</v>
      </c>
    </row>
    <row r="254" spans="1:29" x14ac:dyDescent="0.35">
      <c r="A254">
        <v>249</v>
      </c>
      <c r="B254" t="s">
        <v>11</v>
      </c>
      <c r="C254" t="s">
        <v>512</v>
      </c>
      <c r="D254" t="s">
        <v>513</v>
      </c>
      <c r="E254" t="s">
        <v>352</v>
      </c>
      <c r="F254" t="s">
        <v>889</v>
      </c>
      <c r="G254" t="s">
        <v>0</v>
      </c>
      <c r="H254">
        <v>1.95</v>
      </c>
      <c r="I254">
        <v>2.7149999999999999</v>
      </c>
      <c r="J254" t="s">
        <v>6</v>
      </c>
      <c r="K254" t="str">
        <f t="shared" si="52"/>
        <v/>
      </c>
      <c r="L254" t="str">
        <f t="shared" si="52"/>
        <v/>
      </c>
      <c r="M254" t="str">
        <f t="shared" si="52"/>
        <v/>
      </c>
      <c r="N254" t="str">
        <f t="shared" si="52"/>
        <v/>
      </c>
      <c r="O254" t="str">
        <f t="shared" si="52"/>
        <v/>
      </c>
      <c r="P254" t="str">
        <f t="shared" si="52"/>
        <v/>
      </c>
      <c r="Q254" t="str">
        <f t="shared" si="52"/>
        <v/>
      </c>
      <c r="R254" t="str">
        <f t="shared" si="52"/>
        <v/>
      </c>
      <c r="S254" t="str">
        <f t="shared" si="52"/>
        <v/>
      </c>
      <c r="T254" t="str">
        <f t="shared" si="52"/>
        <v/>
      </c>
      <c r="U254" t="str">
        <f t="shared" si="53"/>
        <v/>
      </c>
      <c r="V254" t="str">
        <f t="shared" si="53"/>
        <v/>
      </c>
      <c r="W254" t="str">
        <f t="shared" si="53"/>
        <v/>
      </c>
      <c r="X254" t="str">
        <f t="shared" si="53"/>
        <v/>
      </c>
      <c r="Y254" t="str">
        <f t="shared" si="53"/>
        <v/>
      </c>
      <c r="Z254" t="str">
        <f t="shared" si="53"/>
        <v/>
      </c>
      <c r="AA254" t="str">
        <f t="shared" si="53"/>
        <v/>
      </c>
      <c r="AB254" t="str">
        <f t="shared" si="53"/>
        <v/>
      </c>
      <c r="AC254">
        <f t="shared" si="43"/>
        <v>0</v>
      </c>
    </row>
    <row r="255" spans="1:29" x14ac:dyDescent="0.35">
      <c r="A255">
        <v>250</v>
      </c>
      <c r="B255" t="s">
        <v>11</v>
      </c>
      <c r="C255" t="s">
        <v>526</v>
      </c>
      <c r="D255" t="s">
        <v>527</v>
      </c>
      <c r="E255" t="s">
        <v>576</v>
      </c>
      <c r="F255" t="s">
        <v>889</v>
      </c>
      <c r="G255" t="s">
        <v>0</v>
      </c>
      <c r="H255">
        <v>2.31</v>
      </c>
      <c r="I255">
        <v>2.7149999999999999</v>
      </c>
      <c r="J255" t="s">
        <v>6</v>
      </c>
      <c r="K255" t="str">
        <f t="shared" si="52"/>
        <v/>
      </c>
      <c r="L255" t="str">
        <f t="shared" si="52"/>
        <v/>
      </c>
      <c r="M255" t="str">
        <f t="shared" si="52"/>
        <v/>
      </c>
      <c r="N255" t="str">
        <f t="shared" si="52"/>
        <v/>
      </c>
      <c r="O255" t="str">
        <f t="shared" si="52"/>
        <v/>
      </c>
      <c r="P255" t="str">
        <f t="shared" si="52"/>
        <v/>
      </c>
      <c r="Q255" t="str">
        <f t="shared" si="52"/>
        <v/>
      </c>
      <c r="R255" t="str">
        <f t="shared" si="52"/>
        <v/>
      </c>
      <c r="S255" t="str">
        <f t="shared" si="52"/>
        <v/>
      </c>
      <c r="T255" t="str">
        <f t="shared" si="52"/>
        <v/>
      </c>
      <c r="U255" t="str">
        <f t="shared" si="53"/>
        <v/>
      </c>
      <c r="V255" t="str">
        <f t="shared" si="53"/>
        <v/>
      </c>
      <c r="W255" t="str">
        <f t="shared" si="53"/>
        <v/>
      </c>
      <c r="X255" t="str">
        <f t="shared" si="53"/>
        <v/>
      </c>
      <c r="Y255" t="str">
        <f t="shared" si="53"/>
        <v/>
      </c>
      <c r="Z255" t="str">
        <f t="shared" si="53"/>
        <v/>
      </c>
      <c r="AA255" t="str">
        <f t="shared" si="53"/>
        <v/>
      </c>
      <c r="AB255" t="str">
        <f t="shared" si="53"/>
        <v/>
      </c>
      <c r="AC255">
        <f t="shared" si="43"/>
        <v>0</v>
      </c>
    </row>
    <row r="256" spans="1:29" x14ac:dyDescent="0.35">
      <c r="A256">
        <v>251</v>
      </c>
      <c r="B256" t="s">
        <v>11</v>
      </c>
      <c r="C256" t="s">
        <v>567</v>
      </c>
      <c r="D256" t="s">
        <v>555</v>
      </c>
      <c r="E256" t="s">
        <v>383</v>
      </c>
      <c r="F256" t="s">
        <v>889</v>
      </c>
      <c r="G256" t="s">
        <v>5</v>
      </c>
      <c r="H256">
        <v>1.99</v>
      </c>
      <c r="I256">
        <v>2.7149999999999999</v>
      </c>
      <c r="J256" t="s">
        <v>6</v>
      </c>
      <c r="K256" t="str">
        <f t="shared" ref="K256:T265" si="54">IFERROR(IFERROR(IF(K$5=$K$1,VLOOKUP($A256,dormitorios,2,0),IF(K$5=$L$1,VLOOKUP($A256,comedor,2,0),IF(K$5=$M$1,VLOOKUP($A256,alojamiento,2,0),IF(K$5=$N$1,VLOOKUP($A256,sanidad,2,0),IF(K$5=$O$1,VLOOKUP($A256,servicios,2,0),IF(K$5=$P$1,VLOOKUP($A256,comyaloj,2,0),IF(K$5=$Q$1,VLOOKUP($A256,comandancia,2,0),IF(K$5=$R$1,VLOOKUP($A256,mantenimiento,2,0),IF(K$5=$S$1,VLOOKUP($A256,serestatal,2,0),IF(K$5=$T$1,VLOOKUP($A256,conferencias,2,0),"")))))))))),"")*K$3,"")</f>
        <v/>
      </c>
      <c r="L256" t="str">
        <f t="shared" si="54"/>
        <v/>
      </c>
      <c r="M256" t="str">
        <f t="shared" si="54"/>
        <v/>
      </c>
      <c r="N256" t="str">
        <f t="shared" si="54"/>
        <v/>
      </c>
      <c r="O256" t="str">
        <f t="shared" si="54"/>
        <v/>
      </c>
      <c r="P256" t="str">
        <f t="shared" si="54"/>
        <v/>
      </c>
      <c r="Q256" t="str">
        <f t="shared" si="54"/>
        <v/>
      </c>
      <c r="R256" t="str">
        <f t="shared" si="54"/>
        <v/>
      </c>
      <c r="S256" t="str">
        <f t="shared" si="54"/>
        <v/>
      </c>
      <c r="T256" t="str">
        <f t="shared" si="54"/>
        <v/>
      </c>
      <c r="U256" t="str">
        <f t="shared" ref="U256:AB265" si="55">IFERROR(IFERROR(IF(U$5=$K$1,VLOOKUP($A256,dormitorios,2,0),IF(U$5=$L$1,VLOOKUP($A256,comedor,2,0),IF(U$5=$M$1,VLOOKUP($A256,alojamiento,2,0),IF(U$5=$N$1,VLOOKUP($A256,sanidad,2,0),IF(U$5=$O$1,VLOOKUP($A256,servicios,2,0),IF(U$5=$P$1,VLOOKUP($A256,comyaloj,2,0),IF(U$5=$Q$1,VLOOKUP($A256,comandancia,2,0),IF(U$5=$R$1,VLOOKUP($A256,mantenimiento,2,0),IF(U$5=$S$1,VLOOKUP($A256,serestatal,2,0),IF(U$5=$T$1,VLOOKUP($A256,conferencias,2,0),"")))))))))),"")*U$3,"")</f>
        <v/>
      </c>
      <c r="V256" t="str">
        <f t="shared" si="55"/>
        <v/>
      </c>
      <c r="W256" t="str">
        <f t="shared" si="55"/>
        <v/>
      </c>
      <c r="X256" t="str">
        <f t="shared" si="55"/>
        <v/>
      </c>
      <c r="Y256" t="str">
        <f t="shared" si="55"/>
        <v/>
      </c>
      <c r="Z256" t="str">
        <f t="shared" si="55"/>
        <v/>
      </c>
      <c r="AA256" t="str">
        <f t="shared" si="55"/>
        <v/>
      </c>
      <c r="AB256" t="str">
        <f t="shared" si="55"/>
        <v/>
      </c>
      <c r="AC256">
        <f t="shared" si="43"/>
        <v>0</v>
      </c>
    </row>
    <row r="257" spans="1:29" x14ac:dyDescent="0.35">
      <c r="A257">
        <v>252</v>
      </c>
      <c r="B257" t="s">
        <v>11</v>
      </c>
      <c r="C257" t="s">
        <v>568</v>
      </c>
      <c r="D257" t="s">
        <v>556</v>
      </c>
      <c r="E257" t="s">
        <v>352</v>
      </c>
      <c r="F257" t="s">
        <v>889</v>
      </c>
      <c r="G257" t="s">
        <v>0</v>
      </c>
      <c r="H257">
        <v>1.62</v>
      </c>
      <c r="I257">
        <v>2.7149999999999999</v>
      </c>
      <c r="J257" t="s">
        <v>6</v>
      </c>
      <c r="K257" t="str">
        <f t="shared" si="54"/>
        <v/>
      </c>
      <c r="L257" t="str">
        <f t="shared" si="54"/>
        <v/>
      </c>
      <c r="M257" t="str">
        <f t="shared" si="54"/>
        <v/>
      </c>
      <c r="N257" t="str">
        <f t="shared" si="54"/>
        <v/>
      </c>
      <c r="O257" t="str">
        <f t="shared" si="54"/>
        <v/>
      </c>
      <c r="P257" t="str">
        <f t="shared" si="54"/>
        <v/>
      </c>
      <c r="Q257" t="str">
        <f t="shared" si="54"/>
        <v/>
      </c>
      <c r="R257" t="str">
        <f t="shared" si="54"/>
        <v/>
      </c>
      <c r="S257" t="str">
        <f t="shared" si="54"/>
        <v/>
      </c>
      <c r="T257" t="str">
        <f t="shared" si="54"/>
        <v/>
      </c>
      <c r="U257" t="str">
        <f t="shared" si="55"/>
        <v/>
      </c>
      <c r="V257" t="str">
        <f t="shared" si="55"/>
        <v/>
      </c>
      <c r="W257" t="str">
        <f t="shared" si="55"/>
        <v/>
      </c>
      <c r="X257" t="str">
        <f t="shared" si="55"/>
        <v/>
      </c>
      <c r="Y257" t="str">
        <f t="shared" si="55"/>
        <v/>
      </c>
      <c r="Z257" t="str">
        <f t="shared" si="55"/>
        <v/>
      </c>
      <c r="AA257" t="str">
        <f t="shared" si="55"/>
        <v/>
      </c>
      <c r="AB257" t="str">
        <f t="shared" si="55"/>
        <v/>
      </c>
      <c r="AC257">
        <f t="shared" si="43"/>
        <v>0</v>
      </c>
    </row>
    <row r="258" spans="1:29" x14ac:dyDescent="0.35">
      <c r="A258">
        <v>253</v>
      </c>
      <c r="B258" t="s">
        <v>11</v>
      </c>
      <c r="C258" t="s">
        <v>569</v>
      </c>
      <c r="D258" t="s">
        <v>557</v>
      </c>
      <c r="E258" t="s">
        <v>352</v>
      </c>
      <c r="F258" t="s">
        <v>889</v>
      </c>
      <c r="G258" t="s">
        <v>2</v>
      </c>
      <c r="H258">
        <v>1.34</v>
      </c>
      <c r="I258">
        <v>2.7149999999999999</v>
      </c>
      <c r="J258" t="s">
        <v>6</v>
      </c>
      <c r="K258" t="str">
        <f t="shared" si="54"/>
        <v/>
      </c>
      <c r="L258" t="str">
        <f t="shared" si="54"/>
        <v/>
      </c>
      <c r="M258" t="str">
        <f t="shared" si="54"/>
        <v/>
      </c>
      <c r="N258" t="str">
        <f t="shared" si="54"/>
        <v/>
      </c>
      <c r="O258" t="str">
        <f t="shared" si="54"/>
        <v/>
      </c>
      <c r="P258" t="str">
        <f t="shared" si="54"/>
        <v/>
      </c>
      <c r="Q258" t="str">
        <f t="shared" si="54"/>
        <v/>
      </c>
      <c r="R258" t="str">
        <f t="shared" si="54"/>
        <v/>
      </c>
      <c r="S258" t="str">
        <f t="shared" si="54"/>
        <v/>
      </c>
      <c r="T258" t="str">
        <f t="shared" si="54"/>
        <v/>
      </c>
      <c r="U258" t="str">
        <f t="shared" si="55"/>
        <v/>
      </c>
      <c r="V258" t="str">
        <f t="shared" si="55"/>
        <v/>
      </c>
      <c r="W258" t="str">
        <f t="shared" si="55"/>
        <v/>
      </c>
      <c r="X258" t="str">
        <f t="shared" si="55"/>
        <v/>
      </c>
      <c r="Y258" t="str">
        <f t="shared" si="55"/>
        <v/>
      </c>
      <c r="Z258" t="str">
        <f t="shared" si="55"/>
        <v/>
      </c>
      <c r="AA258" t="str">
        <f t="shared" si="55"/>
        <v/>
      </c>
      <c r="AB258" t="str">
        <f t="shared" si="55"/>
        <v/>
      </c>
      <c r="AC258">
        <f t="shared" si="43"/>
        <v>0</v>
      </c>
    </row>
    <row r="259" spans="1:29" x14ac:dyDescent="0.35">
      <c r="A259">
        <v>254</v>
      </c>
      <c r="B259" t="s">
        <v>11</v>
      </c>
      <c r="C259" t="s">
        <v>570</v>
      </c>
      <c r="D259" t="s">
        <v>560</v>
      </c>
      <c r="E259" t="s">
        <v>352</v>
      </c>
      <c r="F259" t="s">
        <v>889</v>
      </c>
      <c r="G259" t="s">
        <v>0</v>
      </c>
      <c r="H259">
        <v>1.31</v>
      </c>
      <c r="I259">
        <v>2.7149999999999999</v>
      </c>
      <c r="J259" t="s">
        <v>6</v>
      </c>
      <c r="K259" t="str">
        <f t="shared" si="54"/>
        <v/>
      </c>
      <c r="L259" t="str">
        <f t="shared" si="54"/>
        <v/>
      </c>
      <c r="M259" t="str">
        <f t="shared" si="54"/>
        <v/>
      </c>
      <c r="N259" t="str">
        <f t="shared" si="54"/>
        <v/>
      </c>
      <c r="O259" t="str">
        <f t="shared" si="54"/>
        <v/>
      </c>
      <c r="P259" t="str">
        <f t="shared" si="54"/>
        <v/>
      </c>
      <c r="Q259" t="str">
        <f t="shared" si="54"/>
        <v/>
      </c>
      <c r="R259" t="str">
        <f t="shared" si="54"/>
        <v/>
      </c>
      <c r="S259" t="str">
        <f t="shared" si="54"/>
        <v/>
      </c>
      <c r="T259" t="str">
        <f t="shared" si="54"/>
        <v/>
      </c>
      <c r="U259" t="str">
        <f t="shared" si="55"/>
        <v/>
      </c>
      <c r="V259" t="str">
        <f t="shared" si="55"/>
        <v/>
      </c>
      <c r="W259" t="str">
        <f t="shared" si="55"/>
        <v/>
      </c>
      <c r="X259" t="str">
        <f t="shared" si="55"/>
        <v/>
      </c>
      <c r="Y259" t="str">
        <f t="shared" si="55"/>
        <v/>
      </c>
      <c r="Z259" t="str">
        <f t="shared" si="55"/>
        <v/>
      </c>
      <c r="AA259" t="str">
        <f t="shared" si="55"/>
        <v/>
      </c>
      <c r="AB259" t="str">
        <f t="shared" si="55"/>
        <v/>
      </c>
      <c r="AC259">
        <f t="shared" si="43"/>
        <v>0</v>
      </c>
    </row>
    <row r="260" spans="1:29" x14ac:dyDescent="0.35">
      <c r="A260">
        <v>255</v>
      </c>
      <c r="B260" t="s">
        <v>11</v>
      </c>
      <c r="C260" t="s">
        <v>571</v>
      </c>
      <c r="D260" t="s">
        <v>561</v>
      </c>
      <c r="E260" t="s">
        <v>562</v>
      </c>
      <c r="F260" t="s">
        <v>889</v>
      </c>
      <c r="G260" t="s">
        <v>0</v>
      </c>
      <c r="H260">
        <v>1.25</v>
      </c>
      <c r="I260">
        <v>2.7149999999999999</v>
      </c>
      <c r="J260" t="s">
        <v>6</v>
      </c>
      <c r="K260" t="str">
        <f t="shared" si="54"/>
        <v/>
      </c>
      <c r="L260" t="str">
        <f t="shared" si="54"/>
        <v/>
      </c>
      <c r="M260" t="str">
        <f t="shared" si="54"/>
        <v/>
      </c>
      <c r="N260" t="str">
        <f t="shared" si="54"/>
        <v/>
      </c>
      <c r="O260" t="str">
        <f t="shared" si="54"/>
        <v/>
      </c>
      <c r="P260" t="str">
        <f t="shared" si="54"/>
        <v/>
      </c>
      <c r="Q260" t="str">
        <f t="shared" si="54"/>
        <v/>
      </c>
      <c r="R260" t="str">
        <f t="shared" si="54"/>
        <v/>
      </c>
      <c r="S260" t="str">
        <f t="shared" si="54"/>
        <v/>
      </c>
      <c r="T260" t="str">
        <f t="shared" si="54"/>
        <v/>
      </c>
      <c r="U260" t="str">
        <f t="shared" si="55"/>
        <v/>
      </c>
      <c r="V260" t="str">
        <f t="shared" si="55"/>
        <v/>
      </c>
      <c r="W260" t="str">
        <f t="shared" si="55"/>
        <v/>
      </c>
      <c r="X260" t="str">
        <f t="shared" si="55"/>
        <v/>
      </c>
      <c r="Y260" t="str">
        <f t="shared" si="55"/>
        <v/>
      </c>
      <c r="Z260" t="str">
        <f t="shared" si="55"/>
        <v/>
      </c>
      <c r="AA260" t="str">
        <f t="shared" si="55"/>
        <v/>
      </c>
      <c r="AB260" t="str">
        <f t="shared" si="55"/>
        <v/>
      </c>
      <c r="AC260">
        <f t="shared" si="43"/>
        <v>0</v>
      </c>
    </row>
    <row r="261" spans="1:29" x14ac:dyDescent="0.35">
      <c r="A261">
        <v>256</v>
      </c>
      <c r="B261" t="s">
        <v>11</v>
      </c>
      <c r="C261" t="s">
        <v>572</v>
      </c>
      <c r="D261" t="s">
        <v>573</v>
      </c>
      <c r="E261" t="s">
        <v>352</v>
      </c>
      <c r="F261" t="s">
        <v>889</v>
      </c>
      <c r="G261" t="s">
        <v>0</v>
      </c>
      <c r="H261">
        <v>1.95</v>
      </c>
      <c r="I261">
        <v>2.7149999999999999</v>
      </c>
      <c r="J261" t="s">
        <v>6</v>
      </c>
      <c r="K261" t="str">
        <f t="shared" si="54"/>
        <v/>
      </c>
      <c r="L261" t="str">
        <f t="shared" si="54"/>
        <v/>
      </c>
      <c r="M261" t="str">
        <f t="shared" si="54"/>
        <v/>
      </c>
      <c r="N261" t="str">
        <f t="shared" si="54"/>
        <v/>
      </c>
      <c r="O261" t="str">
        <f t="shared" si="54"/>
        <v/>
      </c>
      <c r="P261" t="str">
        <f t="shared" si="54"/>
        <v/>
      </c>
      <c r="Q261" t="str">
        <f t="shared" si="54"/>
        <v/>
      </c>
      <c r="R261" t="str">
        <f t="shared" si="54"/>
        <v/>
      </c>
      <c r="S261" t="str">
        <f t="shared" si="54"/>
        <v/>
      </c>
      <c r="T261" t="str">
        <f t="shared" si="54"/>
        <v/>
      </c>
      <c r="U261" t="str">
        <f t="shared" si="55"/>
        <v/>
      </c>
      <c r="V261" t="str">
        <f t="shared" si="55"/>
        <v/>
      </c>
      <c r="W261" t="str">
        <f t="shared" si="55"/>
        <v/>
      </c>
      <c r="X261" t="str">
        <f t="shared" si="55"/>
        <v/>
      </c>
      <c r="Y261" t="str">
        <f t="shared" si="55"/>
        <v/>
      </c>
      <c r="Z261" t="str">
        <f t="shared" si="55"/>
        <v/>
      </c>
      <c r="AA261" t="str">
        <f t="shared" si="55"/>
        <v/>
      </c>
      <c r="AB261" t="str">
        <f t="shared" si="55"/>
        <v/>
      </c>
      <c r="AC261">
        <f t="shared" si="43"/>
        <v>0</v>
      </c>
    </row>
    <row r="262" spans="1:29" x14ac:dyDescent="0.35">
      <c r="A262">
        <v>257</v>
      </c>
      <c r="B262" t="s">
        <v>11</v>
      </c>
      <c r="C262" t="s">
        <v>574</v>
      </c>
      <c r="D262" t="s">
        <v>575</v>
      </c>
      <c r="E262" t="s">
        <v>352</v>
      </c>
      <c r="F262" t="s">
        <v>889</v>
      </c>
      <c r="G262" t="s">
        <v>0</v>
      </c>
      <c r="H262">
        <v>1.45</v>
      </c>
      <c r="I262">
        <v>2.7149999999999999</v>
      </c>
      <c r="J262" t="s">
        <v>6</v>
      </c>
      <c r="K262" t="str">
        <f t="shared" si="54"/>
        <v/>
      </c>
      <c r="L262" t="str">
        <f t="shared" si="54"/>
        <v/>
      </c>
      <c r="M262" t="str">
        <f t="shared" si="54"/>
        <v/>
      </c>
      <c r="N262" t="str">
        <f t="shared" si="54"/>
        <v/>
      </c>
      <c r="O262" t="str">
        <f t="shared" si="54"/>
        <v/>
      </c>
      <c r="P262" t="str">
        <f t="shared" si="54"/>
        <v/>
      </c>
      <c r="Q262" t="str">
        <f t="shared" si="54"/>
        <v/>
      </c>
      <c r="R262" t="str">
        <f t="shared" si="54"/>
        <v/>
      </c>
      <c r="S262" t="str">
        <f t="shared" si="54"/>
        <v/>
      </c>
      <c r="T262" t="str">
        <f t="shared" si="54"/>
        <v/>
      </c>
      <c r="U262" t="str">
        <f t="shared" si="55"/>
        <v/>
      </c>
      <c r="V262" t="str">
        <f t="shared" si="55"/>
        <v/>
      </c>
      <c r="W262" t="str">
        <f t="shared" si="55"/>
        <v/>
      </c>
      <c r="X262" t="str">
        <f t="shared" si="55"/>
        <v/>
      </c>
      <c r="Y262" t="str">
        <f t="shared" si="55"/>
        <v/>
      </c>
      <c r="Z262" t="str">
        <f t="shared" si="55"/>
        <v/>
      </c>
      <c r="AA262" t="str">
        <f t="shared" si="55"/>
        <v/>
      </c>
      <c r="AB262" t="str">
        <f t="shared" si="55"/>
        <v/>
      </c>
      <c r="AC262">
        <f t="shared" ref="AC262:AC325" si="56">SUM(K262:AB262)</f>
        <v>0</v>
      </c>
    </row>
    <row r="263" spans="1:29" x14ac:dyDescent="0.35">
      <c r="A263">
        <v>258</v>
      </c>
      <c r="B263" t="s">
        <v>11</v>
      </c>
      <c r="C263" t="s">
        <v>580</v>
      </c>
      <c r="D263" t="s">
        <v>581</v>
      </c>
      <c r="E263" t="s">
        <v>24</v>
      </c>
      <c r="F263" t="s">
        <v>889</v>
      </c>
      <c r="G263" t="s">
        <v>0</v>
      </c>
      <c r="H263">
        <v>1.9</v>
      </c>
      <c r="I263">
        <v>2.7149999999999999</v>
      </c>
      <c r="J263" t="s">
        <v>6</v>
      </c>
      <c r="K263" t="str">
        <f t="shared" si="54"/>
        <v/>
      </c>
      <c r="L263" t="str">
        <f t="shared" si="54"/>
        <v/>
      </c>
      <c r="M263" t="str">
        <f t="shared" si="54"/>
        <v/>
      </c>
      <c r="N263" t="str">
        <f t="shared" si="54"/>
        <v/>
      </c>
      <c r="O263" t="str">
        <f t="shared" si="54"/>
        <v/>
      </c>
      <c r="P263" t="str">
        <f t="shared" si="54"/>
        <v/>
      </c>
      <c r="Q263" t="str">
        <f t="shared" si="54"/>
        <v/>
      </c>
      <c r="R263" t="str">
        <f t="shared" si="54"/>
        <v/>
      </c>
      <c r="S263" t="str">
        <f t="shared" si="54"/>
        <v/>
      </c>
      <c r="T263" t="str">
        <f t="shared" si="54"/>
        <v/>
      </c>
      <c r="U263" t="str">
        <f t="shared" si="55"/>
        <v/>
      </c>
      <c r="V263" t="str">
        <f t="shared" si="55"/>
        <v/>
      </c>
      <c r="W263" t="str">
        <f t="shared" si="55"/>
        <v/>
      </c>
      <c r="X263" t="str">
        <f t="shared" si="55"/>
        <v/>
      </c>
      <c r="Y263" t="str">
        <f t="shared" si="55"/>
        <v/>
      </c>
      <c r="Z263" t="str">
        <f t="shared" si="55"/>
        <v/>
      </c>
      <c r="AA263" t="str">
        <f t="shared" si="55"/>
        <v/>
      </c>
      <c r="AB263" t="str">
        <f t="shared" si="55"/>
        <v/>
      </c>
      <c r="AC263">
        <f t="shared" si="56"/>
        <v>0</v>
      </c>
    </row>
    <row r="264" spans="1:29" x14ac:dyDescent="0.35">
      <c r="A264">
        <v>259</v>
      </c>
      <c r="B264" t="s">
        <v>11</v>
      </c>
      <c r="C264" t="s">
        <v>597</v>
      </c>
      <c r="D264" t="s">
        <v>598</v>
      </c>
      <c r="E264" t="s">
        <v>353</v>
      </c>
      <c r="F264" t="s">
        <v>889</v>
      </c>
      <c r="G264" t="s">
        <v>0</v>
      </c>
      <c r="H264">
        <v>2.02</v>
      </c>
      <c r="I264">
        <v>2.7149999999999999</v>
      </c>
      <c r="J264" t="s">
        <v>6</v>
      </c>
      <c r="K264" t="str">
        <f t="shared" si="54"/>
        <v/>
      </c>
      <c r="L264" t="str">
        <f t="shared" si="54"/>
        <v/>
      </c>
      <c r="M264" t="str">
        <f t="shared" si="54"/>
        <v/>
      </c>
      <c r="N264" t="str">
        <f t="shared" si="54"/>
        <v/>
      </c>
      <c r="O264" t="str">
        <f t="shared" si="54"/>
        <v/>
      </c>
      <c r="P264" t="str">
        <f t="shared" si="54"/>
        <v/>
      </c>
      <c r="Q264" t="str">
        <f t="shared" si="54"/>
        <v/>
      </c>
      <c r="R264" t="str">
        <f t="shared" si="54"/>
        <v/>
      </c>
      <c r="S264" t="str">
        <f t="shared" si="54"/>
        <v/>
      </c>
      <c r="T264" t="str">
        <f t="shared" si="54"/>
        <v/>
      </c>
      <c r="U264" t="str">
        <f t="shared" si="55"/>
        <v/>
      </c>
      <c r="V264" t="str">
        <f t="shared" si="55"/>
        <v/>
      </c>
      <c r="W264" t="str">
        <f t="shared" si="55"/>
        <v/>
      </c>
      <c r="X264" t="str">
        <f t="shared" si="55"/>
        <v/>
      </c>
      <c r="Y264" t="str">
        <f t="shared" si="55"/>
        <v/>
      </c>
      <c r="Z264" t="str">
        <f t="shared" si="55"/>
        <v/>
      </c>
      <c r="AA264" t="str">
        <f t="shared" si="55"/>
        <v/>
      </c>
      <c r="AB264" t="str">
        <f t="shared" si="55"/>
        <v/>
      </c>
      <c r="AC264">
        <f t="shared" si="56"/>
        <v>0</v>
      </c>
    </row>
    <row r="265" spans="1:29" x14ac:dyDescent="0.35">
      <c r="A265">
        <v>260</v>
      </c>
      <c r="B265" t="s">
        <v>11</v>
      </c>
      <c r="C265" t="s">
        <v>633</v>
      </c>
      <c r="D265" t="s">
        <v>634</v>
      </c>
      <c r="E265" t="s">
        <v>24</v>
      </c>
      <c r="F265" t="s">
        <v>889</v>
      </c>
      <c r="G265" t="s">
        <v>0</v>
      </c>
      <c r="H265">
        <v>1.23</v>
      </c>
      <c r="I265">
        <v>2.7149999999999999</v>
      </c>
      <c r="J265" t="s">
        <v>6</v>
      </c>
      <c r="K265" t="str">
        <f t="shared" si="54"/>
        <v/>
      </c>
      <c r="L265" t="str">
        <f t="shared" si="54"/>
        <v/>
      </c>
      <c r="M265" t="str">
        <f t="shared" si="54"/>
        <v/>
      </c>
      <c r="N265" t="str">
        <f t="shared" si="54"/>
        <v/>
      </c>
      <c r="O265" t="str">
        <f t="shared" si="54"/>
        <v/>
      </c>
      <c r="P265" t="str">
        <f t="shared" si="54"/>
        <v/>
      </c>
      <c r="Q265" t="str">
        <f t="shared" si="54"/>
        <v/>
      </c>
      <c r="R265" t="str">
        <f t="shared" si="54"/>
        <v/>
      </c>
      <c r="S265" t="str">
        <f t="shared" si="54"/>
        <v/>
      </c>
      <c r="T265" t="str">
        <f t="shared" si="54"/>
        <v/>
      </c>
      <c r="U265" t="str">
        <f t="shared" si="55"/>
        <v/>
      </c>
      <c r="V265" t="str">
        <f t="shared" si="55"/>
        <v/>
      </c>
      <c r="W265" t="str">
        <f t="shared" si="55"/>
        <v/>
      </c>
      <c r="X265" t="str">
        <f t="shared" si="55"/>
        <v/>
      </c>
      <c r="Y265" t="str">
        <f t="shared" si="55"/>
        <v/>
      </c>
      <c r="Z265" t="str">
        <f t="shared" si="55"/>
        <v/>
      </c>
      <c r="AA265" t="str">
        <f t="shared" si="55"/>
        <v/>
      </c>
      <c r="AB265" t="str">
        <f t="shared" si="55"/>
        <v/>
      </c>
      <c r="AC265">
        <f t="shared" si="56"/>
        <v>0</v>
      </c>
    </row>
    <row r="266" spans="1:29" x14ac:dyDescent="0.35">
      <c r="A266">
        <v>261</v>
      </c>
      <c r="B266" t="s">
        <v>11</v>
      </c>
      <c r="C266" t="s">
        <v>635</v>
      </c>
      <c r="D266" t="s">
        <v>636</v>
      </c>
      <c r="E266" t="s">
        <v>353</v>
      </c>
      <c r="F266" t="s">
        <v>889</v>
      </c>
      <c r="G266" t="s">
        <v>2</v>
      </c>
      <c r="H266">
        <v>1.99</v>
      </c>
      <c r="I266">
        <v>2.7149999999999999</v>
      </c>
      <c r="J266" t="s">
        <v>6</v>
      </c>
      <c r="K266" t="str">
        <f t="shared" ref="K266:T275" si="57">IFERROR(IFERROR(IF(K$5=$K$1,VLOOKUP($A266,dormitorios,2,0),IF(K$5=$L$1,VLOOKUP($A266,comedor,2,0),IF(K$5=$M$1,VLOOKUP($A266,alojamiento,2,0),IF(K$5=$N$1,VLOOKUP($A266,sanidad,2,0),IF(K$5=$O$1,VLOOKUP($A266,servicios,2,0),IF(K$5=$P$1,VLOOKUP($A266,comyaloj,2,0),IF(K$5=$Q$1,VLOOKUP($A266,comandancia,2,0),IF(K$5=$R$1,VLOOKUP($A266,mantenimiento,2,0),IF(K$5=$S$1,VLOOKUP($A266,serestatal,2,0),IF(K$5=$T$1,VLOOKUP($A266,conferencias,2,0),"")))))))))),"")*K$3,"")</f>
        <v/>
      </c>
      <c r="L266" t="str">
        <f t="shared" si="57"/>
        <v/>
      </c>
      <c r="M266" t="str">
        <f t="shared" si="57"/>
        <v/>
      </c>
      <c r="N266" t="str">
        <f t="shared" si="57"/>
        <v/>
      </c>
      <c r="O266" t="str">
        <f t="shared" si="57"/>
        <v/>
      </c>
      <c r="P266" t="str">
        <f t="shared" si="57"/>
        <v/>
      </c>
      <c r="Q266" t="str">
        <f t="shared" si="57"/>
        <v/>
      </c>
      <c r="R266" t="str">
        <f t="shared" si="57"/>
        <v/>
      </c>
      <c r="S266" t="str">
        <f t="shared" si="57"/>
        <v/>
      </c>
      <c r="T266" t="str">
        <f t="shared" si="57"/>
        <v/>
      </c>
      <c r="U266" t="str">
        <f t="shared" ref="U266:AB275" si="58">IFERROR(IFERROR(IF(U$5=$K$1,VLOOKUP($A266,dormitorios,2,0),IF(U$5=$L$1,VLOOKUP($A266,comedor,2,0),IF(U$5=$M$1,VLOOKUP($A266,alojamiento,2,0),IF(U$5=$N$1,VLOOKUP($A266,sanidad,2,0),IF(U$5=$O$1,VLOOKUP($A266,servicios,2,0),IF(U$5=$P$1,VLOOKUP($A266,comyaloj,2,0),IF(U$5=$Q$1,VLOOKUP($A266,comandancia,2,0),IF(U$5=$R$1,VLOOKUP($A266,mantenimiento,2,0),IF(U$5=$S$1,VLOOKUP($A266,serestatal,2,0),IF(U$5=$T$1,VLOOKUP($A266,conferencias,2,0),"")))))))))),"")*U$3,"")</f>
        <v/>
      </c>
      <c r="V266" t="str">
        <f t="shared" si="58"/>
        <v/>
      </c>
      <c r="W266" t="str">
        <f t="shared" si="58"/>
        <v/>
      </c>
      <c r="X266" t="str">
        <f t="shared" si="58"/>
        <v/>
      </c>
      <c r="Y266" t="str">
        <f t="shared" si="58"/>
        <v/>
      </c>
      <c r="Z266" t="str">
        <f t="shared" si="58"/>
        <v/>
      </c>
      <c r="AA266" t="str">
        <f t="shared" si="58"/>
        <v/>
      </c>
      <c r="AB266" t="str">
        <f t="shared" si="58"/>
        <v/>
      </c>
      <c r="AC266">
        <f t="shared" si="56"/>
        <v>0</v>
      </c>
    </row>
    <row r="267" spans="1:29" x14ac:dyDescent="0.35">
      <c r="A267">
        <v>262</v>
      </c>
      <c r="B267" t="s">
        <v>11</v>
      </c>
      <c r="C267" t="s">
        <v>641</v>
      </c>
      <c r="D267" t="s">
        <v>642</v>
      </c>
      <c r="E267" t="s">
        <v>24</v>
      </c>
      <c r="F267" t="s">
        <v>889</v>
      </c>
      <c r="G267" t="s">
        <v>0</v>
      </c>
      <c r="H267">
        <v>1.42</v>
      </c>
      <c r="I267">
        <v>2.7149999999999999</v>
      </c>
      <c r="J267" t="s">
        <v>6</v>
      </c>
      <c r="K267" t="str">
        <f t="shared" si="57"/>
        <v/>
      </c>
      <c r="L267" t="str">
        <f t="shared" si="57"/>
        <v/>
      </c>
      <c r="M267" t="str">
        <f t="shared" si="57"/>
        <v/>
      </c>
      <c r="N267" t="str">
        <f t="shared" si="57"/>
        <v/>
      </c>
      <c r="O267" t="str">
        <f t="shared" si="57"/>
        <v/>
      </c>
      <c r="P267" t="str">
        <f t="shared" si="57"/>
        <v/>
      </c>
      <c r="Q267" t="str">
        <f t="shared" si="57"/>
        <v/>
      </c>
      <c r="R267" t="str">
        <f t="shared" si="57"/>
        <v/>
      </c>
      <c r="S267" t="str">
        <f t="shared" si="57"/>
        <v/>
      </c>
      <c r="T267" t="str">
        <f t="shared" si="57"/>
        <v/>
      </c>
      <c r="U267" t="str">
        <f t="shared" si="58"/>
        <v/>
      </c>
      <c r="V267" t="str">
        <f t="shared" si="58"/>
        <v/>
      </c>
      <c r="W267" t="str">
        <f t="shared" si="58"/>
        <v/>
      </c>
      <c r="X267" t="str">
        <f t="shared" si="58"/>
        <v/>
      </c>
      <c r="Y267" t="str">
        <f t="shared" si="58"/>
        <v/>
      </c>
      <c r="Z267" t="str">
        <f t="shared" si="58"/>
        <v/>
      </c>
      <c r="AA267" t="str">
        <f t="shared" si="58"/>
        <v/>
      </c>
      <c r="AB267" t="str">
        <f t="shared" si="58"/>
        <v/>
      </c>
      <c r="AC267">
        <f t="shared" si="56"/>
        <v>0</v>
      </c>
    </row>
    <row r="268" spans="1:29" x14ac:dyDescent="0.35">
      <c r="A268">
        <v>263</v>
      </c>
      <c r="B268" t="s">
        <v>11</v>
      </c>
      <c r="C268" t="s">
        <v>643</v>
      </c>
      <c r="D268" t="s">
        <v>644</v>
      </c>
      <c r="E268" t="s">
        <v>24</v>
      </c>
      <c r="F268" t="s">
        <v>889</v>
      </c>
      <c r="G268" t="s">
        <v>0</v>
      </c>
      <c r="H268">
        <v>1.1299999999999999</v>
      </c>
      <c r="I268">
        <v>2.7149999999999999</v>
      </c>
      <c r="J268" t="s">
        <v>6</v>
      </c>
      <c r="K268" t="str">
        <f t="shared" si="57"/>
        <v/>
      </c>
      <c r="L268" t="str">
        <f t="shared" si="57"/>
        <v/>
      </c>
      <c r="M268" t="str">
        <f t="shared" si="57"/>
        <v/>
      </c>
      <c r="N268" t="str">
        <f t="shared" si="57"/>
        <v/>
      </c>
      <c r="O268" t="str">
        <f t="shared" si="57"/>
        <v/>
      </c>
      <c r="P268" t="str">
        <f t="shared" si="57"/>
        <v/>
      </c>
      <c r="Q268" t="str">
        <f t="shared" si="57"/>
        <v/>
      </c>
      <c r="R268" t="str">
        <f t="shared" si="57"/>
        <v/>
      </c>
      <c r="S268" t="str">
        <f t="shared" si="57"/>
        <v/>
      </c>
      <c r="T268" t="str">
        <f t="shared" si="57"/>
        <v/>
      </c>
      <c r="U268" t="str">
        <f t="shared" si="58"/>
        <v/>
      </c>
      <c r="V268" t="str">
        <f t="shared" si="58"/>
        <v/>
      </c>
      <c r="W268" t="str">
        <f t="shared" si="58"/>
        <v/>
      </c>
      <c r="X268" t="str">
        <f t="shared" si="58"/>
        <v/>
      </c>
      <c r="Y268" t="str">
        <f t="shared" si="58"/>
        <v/>
      </c>
      <c r="Z268" t="str">
        <f t="shared" si="58"/>
        <v/>
      </c>
      <c r="AA268" t="str">
        <f t="shared" si="58"/>
        <v/>
      </c>
      <c r="AB268" t="str">
        <f t="shared" si="58"/>
        <v/>
      </c>
      <c r="AC268">
        <f t="shared" si="56"/>
        <v>0</v>
      </c>
    </row>
    <row r="269" spans="1:29" x14ac:dyDescent="0.35">
      <c r="A269">
        <v>264</v>
      </c>
      <c r="B269" t="s">
        <v>11</v>
      </c>
      <c r="C269" t="s">
        <v>651</v>
      </c>
      <c r="D269" t="s">
        <v>652</v>
      </c>
      <c r="E269" t="s">
        <v>353</v>
      </c>
      <c r="F269" t="s">
        <v>889</v>
      </c>
      <c r="G269" t="s">
        <v>0</v>
      </c>
      <c r="H269">
        <v>1.9</v>
      </c>
      <c r="I269">
        <v>2.7149999999999999</v>
      </c>
      <c r="J269" t="s">
        <v>6</v>
      </c>
      <c r="K269" t="str">
        <f t="shared" si="57"/>
        <v/>
      </c>
      <c r="L269" t="str">
        <f t="shared" si="57"/>
        <v/>
      </c>
      <c r="M269" t="str">
        <f t="shared" si="57"/>
        <v/>
      </c>
      <c r="N269" t="str">
        <f t="shared" si="57"/>
        <v/>
      </c>
      <c r="O269" t="str">
        <f t="shared" si="57"/>
        <v/>
      </c>
      <c r="P269" t="str">
        <f t="shared" si="57"/>
        <v/>
      </c>
      <c r="Q269" t="str">
        <f t="shared" si="57"/>
        <v/>
      </c>
      <c r="R269" t="str">
        <f t="shared" si="57"/>
        <v/>
      </c>
      <c r="S269" t="str">
        <f t="shared" si="57"/>
        <v/>
      </c>
      <c r="T269" t="str">
        <f t="shared" si="57"/>
        <v/>
      </c>
      <c r="U269" t="str">
        <f t="shared" si="58"/>
        <v/>
      </c>
      <c r="V269" t="str">
        <f t="shared" si="58"/>
        <v/>
      </c>
      <c r="W269" t="str">
        <f t="shared" si="58"/>
        <v/>
      </c>
      <c r="X269" t="str">
        <f t="shared" si="58"/>
        <v/>
      </c>
      <c r="Y269" t="str">
        <f t="shared" si="58"/>
        <v/>
      </c>
      <c r="Z269" t="str">
        <f t="shared" si="58"/>
        <v/>
      </c>
      <c r="AA269" t="str">
        <f t="shared" si="58"/>
        <v/>
      </c>
      <c r="AB269" t="str">
        <f t="shared" si="58"/>
        <v/>
      </c>
      <c r="AC269">
        <f t="shared" si="56"/>
        <v>0</v>
      </c>
    </row>
    <row r="270" spans="1:29" x14ac:dyDescent="0.35">
      <c r="A270">
        <v>265</v>
      </c>
      <c r="B270" t="s">
        <v>11</v>
      </c>
      <c r="C270" t="s">
        <v>655</v>
      </c>
      <c r="D270" t="s">
        <v>656</v>
      </c>
      <c r="E270" t="s">
        <v>657</v>
      </c>
      <c r="F270" t="s">
        <v>889</v>
      </c>
      <c r="G270" t="s">
        <v>0</v>
      </c>
      <c r="H270">
        <v>2.0299999999999998</v>
      </c>
      <c r="I270">
        <v>2.7149999999999999</v>
      </c>
      <c r="J270" t="s">
        <v>6</v>
      </c>
      <c r="K270" t="str">
        <f t="shared" si="57"/>
        <v/>
      </c>
      <c r="L270" t="str">
        <f t="shared" si="57"/>
        <v/>
      </c>
      <c r="M270" t="str">
        <f t="shared" si="57"/>
        <v/>
      </c>
      <c r="N270" t="str">
        <f t="shared" si="57"/>
        <v/>
      </c>
      <c r="O270" t="str">
        <f t="shared" si="57"/>
        <v/>
      </c>
      <c r="P270" t="str">
        <f t="shared" si="57"/>
        <v/>
      </c>
      <c r="Q270" t="str">
        <f t="shared" si="57"/>
        <v/>
      </c>
      <c r="R270" t="str">
        <f t="shared" si="57"/>
        <v/>
      </c>
      <c r="S270" t="str">
        <f t="shared" si="57"/>
        <v/>
      </c>
      <c r="T270" t="str">
        <f t="shared" si="57"/>
        <v/>
      </c>
      <c r="U270" t="str">
        <f t="shared" si="58"/>
        <v/>
      </c>
      <c r="V270" t="str">
        <f t="shared" si="58"/>
        <v/>
      </c>
      <c r="W270" t="str">
        <f t="shared" si="58"/>
        <v/>
      </c>
      <c r="X270" t="str">
        <f t="shared" si="58"/>
        <v/>
      </c>
      <c r="Y270" t="str">
        <f t="shared" si="58"/>
        <v/>
      </c>
      <c r="Z270" t="str">
        <f t="shared" si="58"/>
        <v/>
      </c>
      <c r="AA270" t="str">
        <f t="shared" si="58"/>
        <v/>
      </c>
      <c r="AB270" t="str">
        <f t="shared" si="58"/>
        <v/>
      </c>
      <c r="AC270">
        <f t="shared" si="56"/>
        <v>0</v>
      </c>
    </row>
    <row r="271" spans="1:29" x14ac:dyDescent="0.35">
      <c r="A271">
        <v>266</v>
      </c>
      <c r="B271" t="s">
        <v>11</v>
      </c>
      <c r="C271" t="s">
        <v>682</v>
      </c>
      <c r="D271" t="s">
        <v>683</v>
      </c>
      <c r="E271" t="s">
        <v>1032</v>
      </c>
      <c r="F271" t="s">
        <v>516</v>
      </c>
      <c r="G271" t="s">
        <v>0</v>
      </c>
      <c r="H271">
        <v>2.02</v>
      </c>
      <c r="I271">
        <v>2.7149999999999999</v>
      </c>
      <c r="J271" t="s">
        <v>6</v>
      </c>
      <c r="K271">
        <f t="shared" si="57"/>
        <v>3</v>
      </c>
      <c r="L271" t="str">
        <f t="shared" si="57"/>
        <v/>
      </c>
      <c r="M271" t="str">
        <f t="shared" si="57"/>
        <v/>
      </c>
      <c r="N271" t="str">
        <f t="shared" si="57"/>
        <v/>
      </c>
      <c r="O271" t="str">
        <f t="shared" si="57"/>
        <v/>
      </c>
      <c r="P271" t="str">
        <f t="shared" si="57"/>
        <v/>
      </c>
      <c r="Q271" t="str">
        <f t="shared" si="57"/>
        <v/>
      </c>
      <c r="R271" t="str">
        <f t="shared" si="57"/>
        <v/>
      </c>
      <c r="S271" t="str">
        <f t="shared" si="57"/>
        <v/>
      </c>
      <c r="T271" t="str">
        <f t="shared" si="57"/>
        <v/>
      </c>
      <c r="U271" t="str">
        <f t="shared" si="58"/>
        <v/>
      </c>
      <c r="V271" t="str">
        <f t="shared" si="58"/>
        <v/>
      </c>
      <c r="W271" t="str">
        <f t="shared" si="58"/>
        <v/>
      </c>
      <c r="X271" t="str">
        <f t="shared" si="58"/>
        <v/>
      </c>
      <c r="Y271" t="str">
        <f t="shared" si="58"/>
        <v/>
      </c>
      <c r="Z271" t="str">
        <f t="shared" si="58"/>
        <v/>
      </c>
      <c r="AA271" t="str">
        <f t="shared" si="58"/>
        <v/>
      </c>
      <c r="AB271" t="str">
        <f t="shared" si="58"/>
        <v/>
      </c>
      <c r="AC271">
        <f t="shared" si="56"/>
        <v>3</v>
      </c>
    </row>
    <row r="272" spans="1:29" x14ac:dyDescent="0.35">
      <c r="A272">
        <v>267</v>
      </c>
      <c r="B272" t="s">
        <v>11</v>
      </c>
      <c r="C272" t="s">
        <v>684</v>
      </c>
      <c r="D272" t="s">
        <v>685</v>
      </c>
      <c r="E272" t="s">
        <v>688</v>
      </c>
      <c r="F272" t="s">
        <v>516</v>
      </c>
      <c r="G272" t="s">
        <v>0</v>
      </c>
      <c r="H272">
        <v>1.96</v>
      </c>
      <c r="I272">
        <v>2.7149999999999999</v>
      </c>
      <c r="J272" t="s">
        <v>6</v>
      </c>
      <c r="K272" t="str">
        <f t="shared" si="57"/>
        <v/>
      </c>
      <c r="L272" t="str">
        <f t="shared" si="57"/>
        <v/>
      </c>
      <c r="M272" t="str">
        <f t="shared" si="57"/>
        <v/>
      </c>
      <c r="N272" t="str">
        <f t="shared" si="57"/>
        <v/>
      </c>
      <c r="O272" t="str">
        <f t="shared" si="57"/>
        <v/>
      </c>
      <c r="P272" t="str">
        <f t="shared" si="57"/>
        <v/>
      </c>
      <c r="Q272" t="str">
        <f t="shared" si="57"/>
        <v/>
      </c>
      <c r="R272" t="str">
        <f t="shared" si="57"/>
        <v/>
      </c>
      <c r="S272" t="str">
        <f t="shared" si="57"/>
        <v/>
      </c>
      <c r="T272" t="str">
        <f t="shared" si="57"/>
        <v/>
      </c>
      <c r="U272" t="str">
        <f t="shared" si="58"/>
        <v/>
      </c>
      <c r="V272" t="str">
        <f t="shared" si="58"/>
        <v/>
      </c>
      <c r="W272" t="str">
        <f t="shared" si="58"/>
        <v/>
      </c>
      <c r="X272" t="str">
        <f t="shared" si="58"/>
        <v/>
      </c>
      <c r="Y272" t="str">
        <f t="shared" si="58"/>
        <v/>
      </c>
      <c r="Z272" t="str">
        <f t="shared" si="58"/>
        <v/>
      </c>
      <c r="AA272" t="str">
        <f t="shared" si="58"/>
        <v/>
      </c>
      <c r="AB272" t="str">
        <f t="shared" si="58"/>
        <v/>
      </c>
      <c r="AC272">
        <f t="shared" si="56"/>
        <v>0</v>
      </c>
    </row>
    <row r="273" spans="1:29" x14ac:dyDescent="0.35">
      <c r="A273">
        <v>268</v>
      </c>
      <c r="B273" t="s">
        <v>11</v>
      </c>
      <c r="C273" t="s">
        <v>686</v>
      </c>
      <c r="D273" t="s">
        <v>687</v>
      </c>
      <c r="E273" t="s">
        <v>689</v>
      </c>
      <c r="F273" t="s">
        <v>516</v>
      </c>
      <c r="G273" t="s">
        <v>0</v>
      </c>
      <c r="H273">
        <v>1.96</v>
      </c>
      <c r="I273">
        <v>2.7149999999999999</v>
      </c>
      <c r="J273" t="s">
        <v>6</v>
      </c>
      <c r="K273" t="str">
        <f t="shared" si="57"/>
        <v/>
      </c>
      <c r="L273" t="str">
        <f t="shared" si="57"/>
        <v/>
      </c>
      <c r="M273" t="str">
        <f t="shared" si="57"/>
        <v/>
      </c>
      <c r="N273" t="str">
        <f t="shared" si="57"/>
        <v/>
      </c>
      <c r="O273" t="str">
        <f t="shared" si="57"/>
        <v/>
      </c>
      <c r="P273" t="str">
        <f t="shared" si="57"/>
        <v/>
      </c>
      <c r="Q273" t="str">
        <f t="shared" si="57"/>
        <v/>
      </c>
      <c r="R273" t="str">
        <f t="shared" si="57"/>
        <v/>
      </c>
      <c r="S273" t="str">
        <f t="shared" si="57"/>
        <v/>
      </c>
      <c r="T273" t="str">
        <f t="shared" si="57"/>
        <v/>
      </c>
      <c r="U273" t="str">
        <f t="shared" si="58"/>
        <v/>
      </c>
      <c r="V273" t="str">
        <f t="shared" si="58"/>
        <v/>
      </c>
      <c r="W273" t="str">
        <f t="shared" si="58"/>
        <v/>
      </c>
      <c r="X273" t="str">
        <f t="shared" si="58"/>
        <v/>
      </c>
      <c r="Y273" t="str">
        <f t="shared" si="58"/>
        <v/>
      </c>
      <c r="Z273" t="str">
        <f t="shared" si="58"/>
        <v/>
      </c>
      <c r="AA273" t="str">
        <f t="shared" si="58"/>
        <v/>
      </c>
      <c r="AB273" t="str">
        <f t="shared" si="58"/>
        <v/>
      </c>
      <c r="AC273">
        <f t="shared" si="56"/>
        <v>0</v>
      </c>
    </row>
    <row r="274" spans="1:29" x14ac:dyDescent="0.35">
      <c r="A274">
        <v>269</v>
      </c>
      <c r="B274" t="s">
        <v>11</v>
      </c>
      <c r="C274" t="s">
        <v>711</v>
      </c>
      <c r="D274" t="s">
        <v>712</v>
      </c>
      <c r="E274" t="s">
        <v>1100</v>
      </c>
      <c r="F274" t="s">
        <v>516</v>
      </c>
      <c r="G274" t="s">
        <v>0</v>
      </c>
      <c r="H274">
        <v>2.0299999999999998</v>
      </c>
      <c r="I274">
        <v>2.7149999999999999</v>
      </c>
      <c r="J274" t="s">
        <v>6</v>
      </c>
      <c r="K274" t="str">
        <f t="shared" si="57"/>
        <v/>
      </c>
      <c r="L274">
        <f t="shared" si="57"/>
        <v>6</v>
      </c>
      <c r="M274" t="str">
        <f t="shared" si="57"/>
        <v/>
      </c>
      <c r="N274" t="str">
        <f t="shared" si="57"/>
        <v/>
      </c>
      <c r="O274" t="str">
        <f t="shared" si="57"/>
        <v/>
      </c>
      <c r="P274" t="str">
        <f t="shared" si="57"/>
        <v/>
      </c>
      <c r="Q274" t="str">
        <f t="shared" si="57"/>
        <v/>
      </c>
      <c r="R274" t="str">
        <f t="shared" si="57"/>
        <v/>
      </c>
      <c r="S274" t="str">
        <f t="shared" si="57"/>
        <v/>
      </c>
      <c r="T274" t="str">
        <f t="shared" si="57"/>
        <v/>
      </c>
      <c r="U274" t="str">
        <f t="shared" si="58"/>
        <v/>
      </c>
      <c r="V274" t="str">
        <f t="shared" si="58"/>
        <v/>
      </c>
      <c r="W274" t="str">
        <f t="shared" si="58"/>
        <v/>
      </c>
      <c r="X274" t="str">
        <f t="shared" si="58"/>
        <v/>
      </c>
      <c r="Y274" t="str">
        <f t="shared" si="58"/>
        <v/>
      </c>
      <c r="Z274" t="str">
        <f t="shared" si="58"/>
        <v/>
      </c>
      <c r="AA274" t="str">
        <f t="shared" si="58"/>
        <v/>
      </c>
      <c r="AB274" t="str">
        <f t="shared" si="58"/>
        <v/>
      </c>
      <c r="AC274">
        <f t="shared" si="56"/>
        <v>6</v>
      </c>
    </row>
    <row r="275" spans="1:29" x14ac:dyDescent="0.35">
      <c r="A275">
        <v>270</v>
      </c>
      <c r="B275" t="s">
        <v>11</v>
      </c>
      <c r="C275" t="s">
        <v>714</v>
      </c>
      <c r="D275" t="s">
        <v>715</v>
      </c>
      <c r="E275" t="s">
        <v>825</v>
      </c>
      <c r="F275" t="s">
        <v>516</v>
      </c>
      <c r="G275" t="s">
        <v>0</v>
      </c>
      <c r="H275">
        <v>2.02</v>
      </c>
      <c r="I275">
        <v>2.7149999999999999</v>
      </c>
      <c r="J275" t="s">
        <v>6</v>
      </c>
      <c r="K275" t="str">
        <f t="shared" si="57"/>
        <v/>
      </c>
      <c r="L275" t="str">
        <f t="shared" si="57"/>
        <v/>
      </c>
      <c r="M275" t="str">
        <f t="shared" si="57"/>
        <v/>
      </c>
      <c r="N275" t="str">
        <f t="shared" si="57"/>
        <v/>
      </c>
      <c r="O275" t="str">
        <f t="shared" si="57"/>
        <v/>
      </c>
      <c r="P275" t="str">
        <f t="shared" si="57"/>
        <v/>
      </c>
      <c r="Q275" t="str">
        <f t="shared" si="57"/>
        <v/>
      </c>
      <c r="R275" t="str">
        <f t="shared" si="57"/>
        <v/>
      </c>
      <c r="S275" t="str">
        <f t="shared" si="57"/>
        <v/>
      </c>
      <c r="T275" t="str">
        <f t="shared" si="57"/>
        <v/>
      </c>
      <c r="U275" t="str">
        <f t="shared" si="58"/>
        <v/>
      </c>
      <c r="V275" t="str">
        <f t="shared" si="58"/>
        <v/>
      </c>
      <c r="W275" t="str">
        <f t="shared" si="58"/>
        <v/>
      </c>
      <c r="X275" t="str">
        <f t="shared" si="58"/>
        <v/>
      </c>
      <c r="Y275" t="str">
        <f t="shared" si="58"/>
        <v/>
      </c>
      <c r="Z275" t="str">
        <f t="shared" si="58"/>
        <v/>
      </c>
      <c r="AA275" t="str">
        <f t="shared" si="58"/>
        <v/>
      </c>
      <c r="AB275" t="str">
        <f t="shared" si="58"/>
        <v/>
      </c>
      <c r="AC275">
        <f t="shared" si="56"/>
        <v>0</v>
      </c>
    </row>
    <row r="276" spans="1:29" x14ac:dyDescent="0.35">
      <c r="A276">
        <v>271</v>
      </c>
      <c r="B276" t="s">
        <v>11</v>
      </c>
      <c r="C276" t="s">
        <v>722</v>
      </c>
      <c r="D276" t="s">
        <v>723</v>
      </c>
      <c r="E276" t="s">
        <v>689</v>
      </c>
      <c r="F276" t="s">
        <v>516</v>
      </c>
      <c r="G276" t="s">
        <v>0</v>
      </c>
      <c r="H276">
        <v>1.23</v>
      </c>
      <c r="I276">
        <v>2.7149999999999999</v>
      </c>
      <c r="J276" t="s">
        <v>6</v>
      </c>
      <c r="K276" t="str">
        <f t="shared" ref="K276:T285" si="59">IFERROR(IFERROR(IF(K$5=$K$1,VLOOKUP($A276,dormitorios,2,0),IF(K$5=$L$1,VLOOKUP($A276,comedor,2,0),IF(K$5=$M$1,VLOOKUP($A276,alojamiento,2,0),IF(K$5=$N$1,VLOOKUP($A276,sanidad,2,0),IF(K$5=$O$1,VLOOKUP($A276,servicios,2,0),IF(K$5=$P$1,VLOOKUP($A276,comyaloj,2,0),IF(K$5=$Q$1,VLOOKUP($A276,comandancia,2,0),IF(K$5=$R$1,VLOOKUP($A276,mantenimiento,2,0),IF(K$5=$S$1,VLOOKUP($A276,serestatal,2,0),IF(K$5=$T$1,VLOOKUP($A276,conferencias,2,0),"")))))))))),"")*K$3,"")</f>
        <v/>
      </c>
      <c r="L276" t="str">
        <f t="shared" si="59"/>
        <v/>
      </c>
      <c r="M276" t="str">
        <f t="shared" si="59"/>
        <v/>
      </c>
      <c r="N276" t="str">
        <f t="shared" si="59"/>
        <v/>
      </c>
      <c r="O276" t="str">
        <f t="shared" si="59"/>
        <v/>
      </c>
      <c r="P276" t="str">
        <f t="shared" si="59"/>
        <v/>
      </c>
      <c r="Q276" t="str">
        <f t="shared" si="59"/>
        <v/>
      </c>
      <c r="R276" t="str">
        <f t="shared" si="59"/>
        <v/>
      </c>
      <c r="S276" t="str">
        <f t="shared" si="59"/>
        <v/>
      </c>
      <c r="T276" t="str">
        <f t="shared" si="59"/>
        <v/>
      </c>
      <c r="U276" t="str">
        <f t="shared" ref="U276:AB285" si="60">IFERROR(IFERROR(IF(U$5=$K$1,VLOOKUP($A276,dormitorios,2,0),IF(U$5=$L$1,VLOOKUP($A276,comedor,2,0),IF(U$5=$M$1,VLOOKUP($A276,alojamiento,2,0),IF(U$5=$N$1,VLOOKUP($A276,sanidad,2,0),IF(U$5=$O$1,VLOOKUP($A276,servicios,2,0),IF(U$5=$P$1,VLOOKUP($A276,comyaloj,2,0),IF(U$5=$Q$1,VLOOKUP($A276,comandancia,2,0),IF(U$5=$R$1,VLOOKUP($A276,mantenimiento,2,0),IF(U$5=$S$1,VLOOKUP($A276,serestatal,2,0),IF(U$5=$T$1,VLOOKUP($A276,conferencias,2,0),"")))))))))),"")*U$3,"")</f>
        <v/>
      </c>
      <c r="V276" t="str">
        <f t="shared" si="60"/>
        <v/>
      </c>
      <c r="W276" t="str">
        <f t="shared" si="60"/>
        <v/>
      </c>
      <c r="X276" t="str">
        <f t="shared" si="60"/>
        <v/>
      </c>
      <c r="Y276" t="str">
        <f t="shared" si="60"/>
        <v/>
      </c>
      <c r="Z276" t="str">
        <f t="shared" si="60"/>
        <v/>
      </c>
      <c r="AA276" t="str">
        <f t="shared" si="60"/>
        <v/>
      </c>
      <c r="AB276" t="str">
        <f t="shared" si="60"/>
        <v/>
      </c>
      <c r="AC276">
        <f t="shared" si="56"/>
        <v>0</v>
      </c>
    </row>
    <row r="277" spans="1:29" x14ac:dyDescent="0.35">
      <c r="A277">
        <v>272</v>
      </c>
      <c r="B277" t="s">
        <v>11</v>
      </c>
      <c r="C277" t="s">
        <v>740</v>
      </c>
      <c r="D277" t="s">
        <v>741</v>
      </c>
      <c r="E277" t="s">
        <v>657</v>
      </c>
      <c r="F277" t="s">
        <v>673</v>
      </c>
      <c r="G277" t="s">
        <v>0</v>
      </c>
      <c r="H277">
        <v>1.96</v>
      </c>
      <c r="I277">
        <v>2.7149999999999999</v>
      </c>
      <c r="J277" t="s">
        <v>6</v>
      </c>
      <c r="K277" t="str">
        <f t="shared" si="59"/>
        <v/>
      </c>
      <c r="L277" t="str">
        <f t="shared" si="59"/>
        <v/>
      </c>
      <c r="M277" t="str">
        <f t="shared" si="59"/>
        <v/>
      </c>
      <c r="N277" t="str">
        <f t="shared" si="59"/>
        <v/>
      </c>
      <c r="O277" t="str">
        <f t="shared" si="59"/>
        <v/>
      </c>
      <c r="P277" t="str">
        <f t="shared" si="59"/>
        <v/>
      </c>
      <c r="Q277" t="str">
        <f t="shared" si="59"/>
        <v/>
      </c>
      <c r="R277" t="str">
        <f t="shared" si="59"/>
        <v/>
      </c>
      <c r="S277" t="str">
        <f t="shared" si="59"/>
        <v/>
      </c>
      <c r="T277" t="str">
        <f t="shared" si="59"/>
        <v/>
      </c>
      <c r="U277" t="str">
        <f t="shared" si="60"/>
        <v/>
      </c>
      <c r="V277" t="str">
        <f t="shared" si="60"/>
        <v/>
      </c>
      <c r="W277" t="str">
        <f t="shared" si="60"/>
        <v/>
      </c>
      <c r="X277" t="str">
        <f t="shared" si="60"/>
        <v/>
      </c>
      <c r="Y277" t="str">
        <f t="shared" si="60"/>
        <v/>
      </c>
      <c r="Z277" t="str">
        <f t="shared" si="60"/>
        <v/>
      </c>
      <c r="AA277" t="str">
        <f t="shared" si="60"/>
        <v/>
      </c>
      <c r="AB277" t="str">
        <f t="shared" si="60"/>
        <v/>
      </c>
      <c r="AC277">
        <f t="shared" si="56"/>
        <v>0</v>
      </c>
    </row>
    <row r="278" spans="1:29" x14ac:dyDescent="0.35">
      <c r="A278">
        <v>273</v>
      </c>
      <c r="B278" t="s">
        <v>11</v>
      </c>
      <c r="C278" t="s">
        <v>748</v>
      </c>
      <c r="D278" t="s">
        <v>749</v>
      </c>
      <c r="E278" t="s">
        <v>657</v>
      </c>
      <c r="F278" t="s">
        <v>673</v>
      </c>
      <c r="G278" t="s">
        <v>0</v>
      </c>
      <c r="H278">
        <v>2.02</v>
      </c>
      <c r="I278">
        <v>2.7149999999999999</v>
      </c>
      <c r="J278" t="s">
        <v>6</v>
      </c>
      <c r="K278" t="str">
        <f t="shared" si="59"/>
        <v/>
      </c>
      <c r="L278" t="str">
        <f t="shared" si="59"/>
        <v/>
      </c>
      <c r="M278" t="str">
        <f t="shared" si="59"/>
        <v/>
      </c>
      <c r="N278" t="str">
        <f t="shared" si="59"/>
        <v/>
      </c>
      <c r="O278" t="str">
        <f t="shared" si="59"/>
        <v/>
      </c>
      <c r="P278" t="str">
        <f t="shared" si="59"/>
        <v/>
      </c>
      <c r="Q278" t="str">
        <f t="shared" si="59"/>
        <v/>
      </c>
      <c r="R278" t="str">
        <f t="shared" si="59"/>
        <v/>
      </c>
      <c r="S278" t="str">
        <f t="shared" si="59"/>
        <v/>
      </c>
      <c r="T278" t="str">
        <f t="shared" si="59"/>
        <v/>
      </c>
      <c r="U278" t="str">
        <f t="shared" si="60"/>
        <v/>
      </c>
      <c r="V278" t="str">
        <f t="shared" si="60"/>
        <v/>
      </c>
      <c r="W278" t="str">
        <f t="shared" si="60"/>
        <v/>
      </c>
      <c r="X278" t="str">
        <f t="shared" si="60"/>
        <v/>
      </c>
      <c r="Y278" t="str">
        <f t="shared" si="60"/>
        <v/>
      </c>
      <c r="Z278" t="str">
        <f t="shared" si="60"/>
        <v/>
      </c>
      <c r="AA278" t="str">
        <f t="shared" si="60"/>
        <v/>
      </c>
      <c r="AB278" t="str">
        <f t="shared" si="60"/>
        <v/>
      </c>
      <c r="AC278">
        <f t="shared" si="56"/>
        <v>0</v>
      </c>
    </row>
    <row r="279" spans="1:29" x14ac:dyDescent="0.35">
      <c r="A279">
        <v>274</v>
      </c>
      <c r="B279" t="s">
        <v>11</v>
      </c>
      <c r="C279" t="s">
        <v>760</v>
      </c>
      <c r="D279" t="s">
        <v>761</v>
      </c>
      <c r="E279" t="s">
        <v>762</v>
      </c>
      <c r="F279" t="s">
        <v>516</v>
      </c>
      <c r="G279" t="s">
        <v>0</v>
      </c>
      <c r="H279">
        <v>1.31</v>
      </c>
      <c r="I279">
        <v>2.7149999999999999</v>
      </c>
      <c r="J279" t="s">
        <v>6</v>
      </c>
      <c r="K279" t="str">
        <f t="shared" si="59"/>
        <v/>
      </c>
      <c r="L279" t="str">
        <f t="shared" si="59"/>
        <v/>
      </c>
      <c r="M279" t="str">
        <f t="shared" si="59"/>
        <v/>
      </c>
      <c r="N279" t="str">
        <f t="shared" si="59"/>
        <v/>
      </c>
      <c r="O279" t="str">
        <f t="shared" si="59"/>
        <v/>
      </c>
      <c r="P279" t="str">
        <f t="shared" si="59"/>
        <v/>
      </c>
      <c r="Q279" t="str">
        <f t="shared" si="59"/>
        <v/>
      </c>
      <c r="R279" t="str">
        <f t="shared" si="59"/>
        <v/>
      </c>
      <c r="S279" t="str">
        <f t="shared" si="59"/>
        <v/>
      </c>
      <c r="T279" t="str">
        <f t="shared" si="59"/>
        <v/>
      </c>
      <c r="U279" t="str">
        <f t="shared" si="60"/>
        <v/>
      </c>
      <c r="V279" t="str">
        <f t="shared" si="60"/>
        <v/>
      </c>
      <c r="W279" t="str">
        <f t="shared" si="60"/>
        <v/>
      </c>
      <c r="X279" t="str">
        <f t="shared" si="60"/>
        <v/>
      </c>
      <c r="Y279" t="str">
        <f t="shared" si="60"/>
        <v/>
      </c>
      <c r="Z279" t="str">
        <f t="shared" si="60"/>
        <v/>
      </c>
      <c r="AA279" t="str">
        <f t="shared" si="60"/>
        <v/>
      </c>
      <c r="AB279" t="str">
        <f t="shared" si="60"/>
        <v/>
      </c>
      <c r="AC279">
        <f t="shared" si="56"/>
        <v>0</v>
      </c>
    </row>
    <row r="280" spans="1:29" x14ac:dyDescent="0.35">
      <c r="A280">
        <v>275</v>
      </c>
      <c r="B280" t="s">
        <v>11</v>
      </c>
      <c r="C280" t="s">
        <v>763</v>
      </c>
      <c r="D280" t="s">
        <v>764</v>
      </c>
      <c r="E280" t="s">
        <v>713</v>
      </c>
      <c r="F280" t="s">
        <v>516</v>
      </c>
      <c r="G280" t="s">
        <v>0</v>
      </c>
      <c r="H280">
        <v>2.02</v>
      </c>
      <c r="I280">
        <v>2.7149999999999999</v>
      </c>
      <c r="J280" t="s">
        <v>6</v>
      </c>
      <c r="K280" t="str">
        <f t="shared" si="59"/>
        <v/>
      </c>
      <c r="L280" t="str">
        <f t="shared" si="59"/>
        <v/>
      </c>
      <c r="M280" t="str">
        <f t="shared" si="59"/>
        <v/>
      </c>
      <c r="N280" t="str">
        <f t="shared" si="59"/>
        <v/>
      </c>
      <c r="O280" t="str">
        <f t="shared" si="59"/>
        <v/>
      </c>
      <c r="P280" t="str">
        <f t="shared" si="59"/>
        <v/>
      </c>
      <c r="Q280" t="str">
        <f t="shared" si="59"/>
        <v/>
      </c>
      <c r="R280" t="str">
        <f t="shared" si="59"/>
        <v/>
      </c>
      <c r="S280" t="str">
        <f t="shared" si="59"/>
        <v/>
      </c>
      <c r="T280" t="str">
        <f t="shared" si="59"/>
        <v/>
      </c>
      <c r="U280" t="str">
        <f t="shared" si="60"/>
        <v/>
      </c>
      <c r="V280" t="str">
        <f t="shared" si="60"/>
        <v/>
      </c>
      <c r="W280" t="str">
        <f t="shared" si="60"/>
        <v/>
      </c>
      <c r="X280" t="str">
        <f t="shared" si="60"/>
        <v/>
      </c>
      <c r="Y280" t="str">
        <f t="shared" si="60"/>
        <v/>
      </c>
      <c r="Z280" t="str">
        <f t="shared" si="60"/>
        <v/>
      </c>
      <c r="AA280" t="str">
        <f t="shared" si="60"/>
        <v/>
      </c>
      <c r="AB280" t="str">
        <f t="shared" si="60"/>
        <v/>
      </c>
      <c r="AC280">
        <f t="shared" si="56"/>
        <v>0</v>
      </c>
    </row>
    <row r="281" spans="1:29" x14ac:dyDescent="0.35">
      <c r="A281">
        <v>276</v>
      </c>
      <c r="B281" t="s">
        <v>11</v>
      </c>
      <c r="C281" t="s">
        <v>772</v>
      </c>
      <c r="D281" t="s">
        <v>773</v>
      </c>
      <c r="E281" t="s">
        <v>689</v>
      </c>
      <c r="F281" t="s">
        <v>516</v>
      </c>
      <c r="G281" t="s">
        <v>0</v>
      </c>
      <c r="H281">
        <v>2.02</v>
      </c>
      <c r="I281">
        <v>2.7149999999999999</v>
      </c>
      <c r="J281" t="s">
        <v>6</v>
      </c>
      <c r="K281" t="str">
        <f t="shared" si="59"/>
        <v/>
      </c>
      <c r="L281" t="str">
        <f t="shared" si="59"/>
        <v/>
      </c>
      <c r="M281" t="str">
        <f t="shared" si="59"/>
        <v/>
      </c>
      <c r="N281" t="str">
        <f t="shared" si="59"/>
        <v/>
      </c>
      <c r="O281" t="str">
        <f t="shared" si="59"/>
        <v/>
      </c>
      <c r="P281" t="str">
        <f t="shared" si="59"/>
        <v/>
      </c>
      <c r="Q281" t="str">
        <f t="shared" si="59"/>
        <v/>
      </c>
      <c r="R281" t="str">
        <f t="shared" si="59"/>
        <v/>
      </c>
      <c r="S281" t="str">
        <f t="shared" si="59"/>
        <v/>
      </c>
      <c r="T281" t="str">
        <f t="shared" si="59"/>
        <v/>
      </c>
      <c r="U281" t="str">
        <f t="shared" si="60"/>
        <v/>
      </c>
      <c r="V281" t="str">
        <f t="shared" si="60"/>
        <v/>
      </c>
      <c r="W281" t="str">
        <f t="shared" si="60"/>
        <v/>
      </c>
      <c r="X281" t="str">
        <f t="shared" si="60"/>
        <v/>
      </c>
      <c r="Y281" t="str">
        <f t="shared" si="60"/>
        <v/>
      </c>
      <c r="Z281" t="str">
        <f t="shared" si="60"/>
        <v/>
      </c>
      <c r="AA281" t="str">
        <f t="shared" si="60"/>
        <v/>
      </c>
      <c r="AB281" t="str">
        <f t="shared" si="60"/>
        <v/>
      </c>
      <c r="AC281">
        <f t="shared" si="56"/>
        <v>0</v>
      </c>
    </row>
    <row r="282" spans="1:29" x14ac:dyDescent="0.35">
      <c r="A282">
        <v>277</v>
      </c>
      <c r="B282" t="s">
        <v>11</v>
      </c>
      <c r="C282" t="s">
        <v>774</v>
      </c>
      <c r="D282" t="s">
        <v>775</v>
      </c>
      <c r="E282" t="s">
        <v>689</v>
      </c>
      <c r="F282" t="s">
        <v>516</v>
      </c>
      <c r="G282" t="s">
        <v>0</v>
      </c>
      <c r="H282">
        <v>1.9</v>
      </c>
      <c r="I282">
        <v>2.7149999999999999</v>
      </c>
      <c r="J282" t="s">
        <v>6</v>
      </c>
      <c r="K282" t="str">
        <f t="shared" si="59"/>
        <v/>
      </c>
      <c r="L282" t="str">
        <f t="shared" si="59"/>
        <v/>
      </c>
      <c r="M282" t="str">
        <f t="shared" si="59"/>
        <v/>
      </c>
      <c r="N282" t="str">
        <f t="shared" si="59"/>
        <v/>
      </c>
      <c r="O282" t="str">
        <f t="shared" si="59"/>
        <v/>
      </c>
      <c r="P282" t="str">
        <f t="shared" si="59"/>
        <v/>
      </c>
      <c r="Q282" t="str">
        <f t="shared" si="59"/>
        <v/>
      </c>
      <c r="R282" t="str">
        <f t="shared" si="59"/>
        <v/>
      </c>
      <c r="S282" t="str">
        <f t="shared" si="59"/>
        <v/>
      </c>
      <c r="T282" t="str">
        <f t="shared" si="59"/>
        <v/>
      </c>
      <c r="U282" t="str">
        <f t="shared" si="60"/>
        <v/>
      </c>
      <c r="V282" t="str">
        <f t="shared" si="60"/>
        <v/>
      </c>
      <c r="W282" t="str">
        <f t="shared" si="60"/>
        <v/>
      </c>
      <c r="X282" t="str">
        <f t="shared" si="60"/>
        <v/>
      </c>
      <c r="Y282" t="str">
        <f t="shared" si="60"/>
        <v/>
      </c>
      <c r="Z282" t="str">
        <f t="shared" si="60"/>
        <v/>
      </c>
      <c r="AA282" t="str">
        <f t="shared" si="60"/>
        <v/>
      </c>
      <c r="AB282" t="str">
        <f t="shared" si="60"/>
        <v/>
      </c>
      <c r="AC282">
        <f t="shared" si="56"/>
        <v>0</v>
      </c>
    </row>
    <row r="283" spans="1:29" x14ac:dyDescent="0.35">
      <c r="A283">
        <v>278</v>
      </c>
      <c r="B283" t="s">
        <v>11</v>
      </c>
      <c r="C283" t="s">
        <v>778</v>
      </c>
      <c r="D283" t="s">
        <v>779</v>
      </c>
      <c r="E283" t="s">
        <v>713</v>
      </c>
      <c r="F283" t="s">
        <v>516</v>
      </c>
      <c r="G283" t="s">
        <v>0</v>
      </c>
      <c r="H283">
        <v>1.9</v>
      </c>
      <c r="I283">
        <v>2.7149999999999999</v>
      </c>
      <c r="J283" t="s">
        <v>6</v>
      </c>
      <c r="K283" t="str">
        <f t="shared" si="59"/>
        <v/>
      </c>
      <c r="L283" t="str">
        <f t="shared" si="59"/>
        <v/>
      </c>
      <c r="M283" t="str">
        <f t="shared" si="59"/>
        <v/>
      </c>
      <c r="N283" t="str">
        <f t="shared" si="59"/>
        <v/>
      </c>
      <c r="O283" t="str">
        <f t="shared" si="59"/>
        <v/>
      </c>
      <c r="P283" t="str">
        <f t="shared" si="59"/>
        <v/>
      </c>
      <c r="Q283" t="str">
        <f t="shared" si="59"/>
        <v/>
      </c>
      <c r="R283" t="str">
        <f t="shared" si="59"/>
        <v/>
      </c>
      <c r="S283" t="str">
        <f t="shared" si="59"/>
        <v/>
      </c>
      <c r="T283" t="str">
        <f t="shared" si="59"/>
        <v/>
      </c>
      <c r="U283" t="str">
        <f t="shared" si="60"/>
        <v/>
      </c>
      <c r="V283" t="str">
        <f t="shared" si="60"/>
        <v/>
      </c>
      <c r="W283" t="str">
        <f t="shared" si="60"/>
        <v/>
      </c>
      <c r="X283" t="str">
        <f t="shared" si="60"/>
        <v/>
      </c>
      <c r="Y283" t="str">
        <f t="shared" si="60"/>
        <v/>
      </c>
      <c r="Z283" t="str">
        <f t="shared" si="60"/>
        <v/>
      </c>
      <c r="AA283" t="str">
        <f t="shared" si="60"/>
        <v/>
      </c>
      <c r="AB283" t="str">
        <f t="shared" si="60"/>
        <v/>
      </c>
      <c r="AC283">
        <f t="shared" si="56"/>
        <v>0</v>
      </c>
    </row>
    <row r="284" spans="1:29" x14ac:dyDescent="0.35">
      <c r="A284">
        <v>279</v>
      </c>
      <c r="B284" t="s">
        <v>11</v>
      </c>
      <c r="C284" t="s">
        <v>788</v>
      </c>
      <c r="D284" t="s">
        <v>789</v>
      </c>
      <c r="E284" t="s">
        <v>790</v>
      </c>
      <c r="F284" t="s">
        <v>516</v>
      </c>
      <c r="G284" t="s">
        <v>0</v>
      </c>
      <c r="H284">
        <v>1.31</v>
      </c>
      <c r="I284">
        <v>2.7149999999999999</v>
      </c>
      <c r="J284" t="s">
        <v>6</v>
      </c>
      <c r="K284" t="str">
        <f t="shared" si="59"/>
        <v/>
      </c>
      <c r="L284" t="str">
        <f t="shared" si="59"/>
        <v/>
      </c>
      <c r="M284" t="str">
        <f t="shared" si="59"/>
        <v/>
      </c>
      <c r="N284" t="str">
        <f t="shared" si="59"/>
        <v/>
      </c>
      <c r="O284" t="str">
        <f t="shared" si="59"/>
        <v/>
      </c>
      <c r="P284" t="str">
        <f t="shared" si="59"/>
        <v/>
      </c>
      <c r="Q284" t="str">
        <f t="shared" si="59"/>
        <v/>
      </c>
      <c r="R284" t="str">
        <f t="shared" si="59"/>
        <v/>
      </c>
      <c r="S284" t="str">
        <f t="shared" si="59"/>
        <v/>
      </c>
      <c r="T284" t="str">
        <f t="shared" si="59"/>
        <v/>
      </c>
      <c r="U284" t="str">
        <f t="shared" si="60"/>
        <v/>
      </c>
      <c r="V284" t="str">
        <f t="shared" si="60"/>
        <v/>
      </c>
      <c r="W284" t="str">
        <f t="shared" si="60"/>
        <v/>
      </c>
      <c r="X284" t="str">
        <f t="shared" si="60"/>
        <v/>
      </c>
      <c r="Y284" t="str">
        <f t="shared" si="60"/>
        <v/>
      </c>
      <c r="Z284" t="str">
        <f t="shared" si="60"/>
        <v/>
      </c>
      <c r="AA284" t="str">
        <f t="shared" si="60"/>
        <v/>
      </c>
      <c r="AB284" t="str">
        <f t="shared" si="60"/>
        <v/>
      </c>
      <c r="AC284">
        <f t="shared" si="56"/>
        <v>0</v>
      </c>
    </row>
    <row r="285" spans="1:29" x14ac:dyDescent="0.35">
      <c r="A285">
        <v>280</v>
      </c>
      <c r="B285" t="s">
        <v>11</v>
      </c>
      <c r="C285" t="s">
        <v>793</v>
      </c>
      <c r="D285" t="s">
        <v>794</v>
      </c>
      <c r="E285" t="s">
        <v>825</v>
      </c>
      <c r="F285" t="s">
        <v>516</v>
      </c>
      <c r="G285" t="s">
        <v>0</v>
      </c>
      <c r="H285">
        <v>1.96</v>
      </c>
      <c r="I285">
        <v>2.7149999999999999</v>
      </c>
      <c r="J285" t="s">
        <v>6</v>
      </c>
      <c r="K285" t="str">
        <f t="shared" si="59"/>
        <v/>
      </c>
      <c r="L285" t="str">
        <f t="shared" si="59"/>
        <v/>
      </c>
      <c r="M285" t="str">
        <f t="shared" si="59"/>
        <v/>
      </c>
      <c r="N285" t="str">
        <f t="shared" si="59"/>
        <v/>
      </c>
      <c r="O285" t="str">
        <f t="shared" si="59"/>
        <v/>
      </c>
      <c r="P285" t="str">
        <f t="shared" si="59"/>
        <v/>
      </c>
      <c r="Q285" t="str">
        <f t="shared" si="59"/>
        <v/>
      </c>
      <c r="R285" t="str">
        <f t="shared" si="59"/>
        <v/>
      </c>
      <c r="S285" t="str">
        <f t="shared" si="59"/>
        <v/>
      </c>
      <c r="T285" t="str">
        <f t="shared" si="59"/>
        <v/>
      </c>
      <c r="U285" t="str">
        <f t="shared" si="60"/>
        <v/>
      </c>
      <c r="V285" t="str">
        <f t="shared" si="60"/>
        <v/>
      </c>
      <c r="W285" t="str">
        <f t="shared" si="60"/>
        <v/>
      </c>
      <c r="X285" t="str">
        <f t="shared" si="60"/>
        <v/>
      </c>
      <c r="Y285" t="str">
        <f t="shared" si="60"/>
        <v/>
      </c>
      <c r="Z285" t="str">
        <f t="shared" si="60"/>
        <v/>
      </c>
      <c r="AA285" t="str">
        <f t="shared" si="60"/>
        <v/>
      </c>
      <c r="AB285" t="str">
        <f t="shared" si="60"/>
        <v/>
      </c>
      <c r="AC285">
        <f t="shared" si="56"/>
        <v>0</v>
      </c>
    </row>
    <row r="286" spans="1:29" x14ac:dyDescent="0.35">
      <c r="A286">
        <v>281</v>
      </c>
      <c r="B286" t="s">
        <v>11</v>
      </c>
      <c r="C286" t="s">
        <v>821</v>
      </c>
      <c r="D286" t="s">
        <v>822</v>
      </c>
      <c r="E286" t="s">
        <v>689</v>
      </c>
      <c r="F286" t="s">
        <v>516</v>
      </c>
      <c r="G286" t="s">
        <v>0</v>
      </c>
      <c r="H286">
        <v>1.69</v>
      </c>
      <c r="I286">
        <v>2.7149999999999999</v>
      </c>
      <c r="J286" t="s">
        <v>6</v>
      </c>
      <c r="K286" t="str">
        <f t="shared" ref="K286:T295" si="61">IFERROR(IFERROR(IF(K$5=$K$1,VLOOKUP($A286,dormitorios,2,0),IF(K$5=$L$1,VLOOKUP($A286,comedor,2,0),IF(K$5=$M$1,VLOOKUP($A286,alojamiento,2,0),IF(K$5=$N$1,VLOOKUP($A286,sanidad,2,0),IF(K$5=$O$1,VLOOKUP($A286,servicios,2,0),IF(K$5=$P$1,VLOOKUP($A286,comyaloj,2,0),IF(K$5=$Q$1,VLOOKUP($A286,comandancia,2,0),IF(K$5=$R$1,VLOOKUP($A286,mantenimiento,2,0),IF(K$5=$S$1,VLOOKUP($A286,serestatal,2,0),IF(K$5=$T$1,VLOOKUP($A286,conferencias,2,0),"")))))))))),"")*K$3,"")</f>
        <v/>
      </c>
      <c r="L286" t="str">
        <f t="shared" si="61"/>
        <v/>
      </c>
      <c r="M286" t="str">
        <f t="shared" si="61"/>
        <v/>
      </c>
      <c r="N286" t="str">
        <f t="shared" si="61"/>
        <v/>
      </c>
      <c r="O286" t="str">
        <f t="shared" si="61"/>
        <v/>
      </c>
      <c r="P286" t="str">
        <f t="shared" si="61"/>
        <v/>
      </c>
      <c r="Q286" t="str">
        <f t="shared" si="61"/>
        <v/>
      </c>
      <c r="R286" t="str">
        <f t="shared" si="61"/>
        <v/>
      </c>
      <c r="S286" t="str">
        <f t="shared" si="61"/>
        <v/>
      </c>
      <c r="T286" t="str">
        <f t="shared" si="61"/>
        <v/>
      </c>
      <c r="U286" t="str">
        <f t="shared" ref="U286:AB295" si="62">IFERROR(IFERROR(IF(U$5=$K$1,VLOOKUP($A286,dormitorios,2,0),IF(U$5=$L$1,VLOOKUP($A286,comedor,2,0),IF(U$5=$M$1,VLOOKUP($A286,alojamiento,2,0),IF(U$5=$N$1,VLOOKUP($A286,sanidad,2,0),IF(U$5=$O$1,VLOOKUP($A286,servicios,2,0),IF(U$5=$P$1,VLOOKUP($A286,comyaloj,2,0),IF(U$5=$Q$1,VLOOKUP($A286,comandancia,2,0),IF(U$5=$R$1,VLOOKUP($A286,mantenimiento,2,0),IF(U$5=$S$1,VLOOKUP($A286,serestatal,2,0),IF(U$5=$T$1,VLOOKUP($A286,conferencias,2,0),"")))))))))),"")*U$3,"")</f>
        <v/>
      </c>
      <c r="V286" t="str">
        <f t="shared" si="62"/>
        <v/>
      </c>
      <c r="W286" t="str">
        <f t="shared" si="62"/>
        <v/>
      </c>
      <c r="X286" t="str">
        <f t="shared" si="62"/>
        <v/>
      </c>
      <c r="Y286" t="str">
        <f t="shared" si="62"/>
        <v/>
      </c>
      <c r="Z286" t="str">
        <f t="shared" si="62"/>
        <v/>
      </c>
      <c r="AA286" t="str">
        <f t="shared" si="62"/>
        <v/>
      </c>
      <c r="AB286" t="str">
        <f t="shared" si="62"/>
        <v/>
      </c>
      <c r="AC286">
        <f t="shared" si="56"/>
        <v>0</v>
      </c>
    </row>
    <row r="287" spans="1:29" x14ac:dyDescent="0.35">
      <c r="A287">
        <v>282</v>
      </c>
      <c r="B287" t="s">
        <v>11</v>
      </c>
      <c r="C287" t="s">
        <v>823</v>
      </c>
      <c r="D287" t="s">
        <v>824</v>
      </c>
      <c r="E287" t="s">
        <v>713</v>
      </c>
      <c r="F287" t="s">
        <v>516</v>
      </c>
      <c r="G287" t="s">
        <v>0</v>
      </c>
      <c r="H287">
        <v>1.69</v>
      </c>
      <c r="I287">
        <v>2.7149999999999999</v>
      </c>
      <c r="J287" t="s">
        <v>6</v>
      </c>
      <c r="K287" t="str">
        <f t="shared" si="61"/>
        <v/>
      </c>
      <c r="L287" t="str">
        <f t="shared" si="61"/>
        <v/>
      </c>
      <c r="M287" t="str">
        <f t="shared" si="61"/>
        <v/>
      </c>
      <c r="N287" t="str">
        <f t="shared" si="61"/>
        <v/>
      </c>
      <c r="O287" t="str">
        <f t="shared" si="61"/>
        <v/>
      </c>
      <c r="P287" t="str">
        <f t="shared" si="61"/>
        <v/>
      </c>
      <c r="Q287" t="str">
        <f t="shared" si="61"/>
        <v/>
      </c>
      <c r="R287" t="str">
        <f t="shared" si="61"/>
        <v/>
      </c>
      <c r="S287" t="str">
        <f t="shared" si="61"/>
        <v/>
      </c>
      <c r="T287" t="str">
        <f t="shared" si="61"/>
        <v/>
      </c>
      <c r="U287" t="str">
        <f t="shared" si="62"/>
        <v/>
      </c>
      <c r="V287" t="str">
        <f t="shared" si="62"/>
        <v/>
      </c>
      <c r="W287" t="str">
        <f t="shared" si="62"/>
        <v/>
      </c>
      <c r="X287" t="str">
        <f t="shared" si="62"/>
        <v/>
      </c>
      <c r="Y287" t="str">
        <f t="shared" si="62"/>
        <v/>
      </c>
      <c r="Z287" t="str">
        <f t="shared" si="62"/>
        <v/>
      </c>
      <c r="AA287" t="str">
        <f t="shared" si="62"/>
        <v/>
      </c>
      <c r="AB287" t="str">
        <f t="shared" si="62"/>
        <v/>
      </c>
      <c r="AC287">
        <f t="shared" si="56"/>
        <v>0</v>
      </c>
    </row>
    <row r="288" spans="1:29" x14ac:dyDescent="0.35">
      <c r="A288">
        <v>283</v>
      </c>
      <c r="B288" t="s">
        <v>11</v>
      </c>
      <c r="C288" t="s">
        <v>836</v>
      </c>
      <c r="D288" t="s">
        <v>837</v>
      </c>
      <c r="E288" t="s">
        <v>657</v>
      </c>
      <c r="F288" t="s">
        <v>673</v>
      </c>
      <c r="G288" t="s">
        <v>0</v>
      </c>
      <c r="H288">
        <v>1.9</v>
      </c>
      <c r="I288">
        <v>2.7149999999999999</v>
      </c>
      <c r="J288" t="s">
        <v>6</v>
      </c>
      <c r="K288" t="str">
        <f t="shared" si="61"/>
        <v/>
      </c>
      <c r="L288" t="str">
        <f t="shared" si="61"/>
        <v/>
      </c>
      <c r="M288" t="str">
        <f t="shared" si="61"/>
        <v/>
      </c>
      <c r="N288" t="str">
        <f t="shared" si="61"/>
        <v/>
      </c>
      <c r="O288" t="str">
        <f t="shared" si="61"/>
        <v/>
      </c>
      <c r="P288" t="str">
        <f t="shared" si="61"/>
        <v/>
      </c>
      <c r="Q288" t="str">
        <f t="shared" si="61"/>
        <v/>
      </c>
      <c r="R288" t="str">
        <f t="shared" si="61"/>
        <v/>
      </c>
      <c r="S288" t="str">
        <f t="shared" si="61"/>
        <v/>
      </c>
      <c r="T288" t="str">
        <f t="shared" si="61"/>
        <v/>
      </c>
      <c r="U288" t="str">
        <f t="shared" si="62"/>
        <v/>
      </c>
      <c r="V288" t="str">
        <f t="shared" si="62"/>
        <v/>
      </c>
      <c r="W288" t="str">
        <f t="shared" si="62"/>
        <v/>
      </c>
      <c r="X288" t="str">
        <f t="shared" si="62"/>
        <v/>
      </c>
      <c r="Y288" t="str">
        <f t="shared" si="62"/>
        <v/>
      </c>
      <c r="Z288" t="str">
        <f t="shared" si="62"/>
        <v/>
      </c>
      <c r="AA288" t="str">
        <f t="shared" si="62"/>
        <v/>
      </c>
      <c r="AB288" t="str">
        <f t="shared" si="62"/>
        <v/>
      </c>
      <c r="AC288">
        <f t="shared" si="56"/>
        <v>0</v>
      </c>
    </row>
    <row r="289" spans="1:29" x14ac:dyDescent="0.35">
      <c r="A289">
        <v>284</v>
      </c>
      <c r="B289" t="s">
        <v>11</v>
      </c>
      <c r="C289" t="s">
        <v>838</v>
      </c>
      <c r="D289" t="s">
        <v>839</v>
      </c>
      <c r="E289" t="s">
        <v>713</v>
      </c>
      <c r="F289" t="s">
        <v>516</v>
      </c>
      <c r="G289" t="s">
        <v>0</v>
      </c>
      <c r="H289">
        <v>1.1299999999999999</v>
      </c>
      <c r="I289">
        <v>2.7149999999999999</v>
      </c>
      <c r="J289" t="s">
        <v>6</v>
      </c>
      <c r="K289" t="str">
        <f t="shared" si="61"/>
        <v/>
      </c>
      <c r="L289" t="str">
        <f t="shared" si="61"/>
        <v/>
      </c>
      <c r="M289" t="str">
        <f t="shared" si="61"/>
        <v/>
      </c>
      <c r="N289" t="str">
        <f t="shared" si="61"/>
        <v/>
      </c>
      <c r="O289" t="str">
        <f t="shared" si="61"/>
        <v/>
      </c>
      <c r="P289" t="str">
        <f t="shared" si="61"/>
        <v/>
      </c>
      <c r="Q289" t="str">
        <f t="shared" si="61"/>
        <v/>
      </c>
      <c r="R289" t="str">
        <f t="shared" si="61"/>
        <v/>
      </c>
      <c r="S289" t="str">
        <f t="shared" si="61"/>
        <v/>
      </c>
      <c r="T289" t="str">
        <f t="shared" si="61"/>
        <v/>
      </c>
      <c r="U289" t="str">
        <f t="shared" si="62"/>
        <v/>
      </c>
      <c r="V289" t="str">
        <f t="shared" si="62"/>
        <v/>
      </c>
      <c r="W289" t="str">
        <f t="shared" si="62"/>
        <v/>
      </c>
      <c r="X289" t="str">
        <f t="shared" si="62"/>
        <v/>
      </c>
      <c r="Y289" t="str">
        <f t="shared" si="62"/>
        <v/>
      </c>
      <c r="Z289" t="str">
        <f t="shared" si="62"/>
        <v/>
      </c>
      <c r="AA289" t="str">
        <f t="shared" si="62"/>
        <v/>
      </c>
      <c r="AB289" t="str">
        <f t="shared" si="62"/>
        <v/>
      </c>
      <c r="AC289">
        <f t="shared" si="56"/>
        <v>0</v>
      </c>
    </row>
    <row r="290" spans="1:29" x14ac:dyDescent="0.35">
      <c r="A290">
        <v>285</v>
      </c>
      <c r="B290" t="s">
        <v>11</v>
      </c>
      <c r="C290" t="s">
        <v>842</v>
      </c>
      <c r="D290" t="s">
        <v>843</v>
      </c>
      <c r="E290" t="s">
        <v>713</v>
      </c>
      <c r="F290" t="s">
        <v>516</v>
      </c>
      <c r="G290" t="s">
        <v>2</v>
      </c>
      <c r="H290">
        <v>1.99</v>
      </c>
      <c r="I290">
        <v>2.7149999999999999</v>
      </c>
      <c r="J290" t="s">
        <v>6</v>
      </c>
      <c r="K290" t="str">
        <f t="shared" si="61"/>
        <v/>
      </c>
      <c r="L290" t="str">
        <f t="shared" si="61"/>
        <v/>
      </c>
      <c r="M290" t="str">
        <f t="shared" si="61"/>
        <v/>
      </c>
      <c r="N290" t="str">
        <f t="shared" si="61"/>
        <v/>
      </c>
      <c r="O290" t="str">
        <f t="shared" si="61"/>
        <v/>
      </c>
      <c r="P290" t="str">
        <f t="shared" si="61"/>
        <v/>
      </c>
      <c r="Q290" t="str">
        <f t="shared" si="61"/>
        <v/>
      </c>
      <c r="R290" t="str">
        <f t="shared" si="61"/>
        <v/>
      </c>
      <c r="S290" t="str">
        <f t="shared" si="61"/>
        <v/>
      </c>
      <c r="T290" t="str">
        <f t="shared" si="61"/>
        <v/>
      </c>
      <c r="U290" t="str">
        <f t="shared" si="62"/>
        <v/>
      </c>
      <c r="V290" t="str">
        <f t="shared" si="62"/>
        <v/>
      </c>
      <c r="W290" t="str">
        <f t="shared" si="62"/>
        <v/>
      </c>
      <c r="X290" t="str">
        <f t="shared" si="62"/>
        <v/>
      </c>
      <c r="Y290" t="str">
        <f t="shared" si="62"/>
        <v/>
      </c>
      <c r="Z290" t="str">
        <f t="shared" si="62"/>
        <v/>
      </c>
      <c r="AA290" t="str">
        <f t="shared" si="62"/>
        <v/>
      </c>
      <c r="AB290" t="str">
        <f t="shared" si="62"/>
        <v/>
      </c>
      <c r="AC290">
        <f t="shared" si="56"/>
        <v>0</v>
      </c>
    </row>
    <row r="291" spans="1:29" x14ac:dyDescent="0.35">
      <c r="A291">
        <v>286</v>
      </c>
      <c r="B291" t="s">
        <v>11</v>
      </c>
      <c r="C291" t="s">
        <v>844</v>
      </c>
      <c r="D291" t="s">
        <v>845</v>
      </c>
      <c r="E291" t="s">
        <v>713</v>
      </c>
      <c r="F291" t="s">
        <v>516</v>
      </c>
      <c r="G291" t="s">
        <v>0</v>
      </c>
      <c r="H291">
        <v>1.42</v>
      </c>
      <c r="I291">
        <v>2.7149999999999999</v>
      </c>
      <c r="J291" t="s">
        <v>6</v>
      </c>
      <c r="K291" t="str">
        <f t="shared" si="61"/>
        <v/>
      </c>
      <c r="L291" t="str">
        <f t="shared" si="61"/>
        <v/>
      </c>
      <c r="M291" t="str">
        <f t="shared" si="61"/>
        <v/>
      </c>
      <c r="N291" t="str">
        <f t="shared" si="61"/>
        <v/>
      </c>
      <c r="O291" t="str">
        <f t="shared" si="61"/>
        <v/>
      </c>
      <c r="P291" t="str">
        <f t="shared" si="61"/>
        <v/>
      </c>
      <c r="Q291" t="str">
        <f t="shared" si="61"/>
        <v/>
      </c>
      <c r="R291" t="str">
        <f t="shared" si="61"/>
        <v/>
      </c>
      <c r="S291" t="str">
        <f t="shared" si="61"/>
        <v/>
      </c>
      <c r="T291" t="str">
        <f t="shared" si="61"/>
        <v/>
      </c>
      <c r="U291" t="str">
        <f t="shared" si="62"/>
        <v/>
      </c>
      <c r="V291" t="str">
        <f t="shared" si="62"/>
        <v/>
      </c>
      <c r="W291" t="str">
        <f t="shared" si="62"/>
        <v/>
      </c>
      <c r="X291" t="str">
        <f t="shared" si="62"/>
        <v/>
      </c>
      <c r="Y291" t="str">
        <f t="shared" si="62"/>
        <v/>
      </c>
      <c r="Z291" t="str">
        <f t="shared" si="62"/>
        <v/>
      </c>
      <c r="AA291" t="str">
        <f t="shared" si="62"/>
        <v/>
      </c>
      <c r="AB291" t="str">
        <f t="shared" si="62"/>
        <v/>
      </c>
      <c r="AC291">
        <f t="shared" si="56"/>
        <v>0</v>
      </c>
    </row>
    <row r="292" spans="1:29" x14ac:dyDescent="0.35">
      <c r="A292">
        <v>287</v>
      </c>
      <c r="B292" t="s">
        <v>11</v>
      </c>
      <c r="C292" t="s">
        <v>855</v>
      </c>
      <c r="D292" t="s">
        <v>856</v>
      </c>
      <c r="E292" t="s">
        <v>689</v>
      </c>
      <c r="F292" t="s">
        <v>516</v>
      </c>
      <c r="G292" t="s">
        <v>0</v>
      </c>
      <c r="H292">
        <v>1.48</v>
      </c>
      <c r="I292">
        <v>2.7149999999999999</v>
      </c>
      <c r="J292" t="s">
        <v>6</v>
      </c>
      <c r="K292" t="str">
        <f t="shared" si="61"/>
        <v/>
      </c>
      <c r="L292" t="str">
        <f t="shared" si="61"/>
        <v/>
      </c>
      <c r="M292" t="str">
        <f t="shared" si="61"/>
        <v/>
      </c>
      <c r="N292" t="str">
        <f t="shared" si="61"/>
        <v/>
      </c>
      <c r="O292" t="str">
        <f t="shared" si="61"/>
        <v/>
      </c>
      <c r="P292" t="str">
        <f t="shared" si="61"/>
        <v/>
      </c>
      <c r="Q292" t="str">
        <f t="shared" si="61"/>
        <v/>
      </c>
      <c r="R292" t="str">
        <f t="shared" si="61"/>
        <v/>
      </c>
      <c r="S292" t="str">
        <f t="shared" si="61"/>
        <v/>
      </c>
      <c r="T292" t="str">
        <f t="shared" si="61"/>
        <v/>
      </c>
      <c r="U292" t="str">
        <f t="shared" si="62"/>
        <v/>
      </c>
      <c r="V292" t="str">
        <f t="shared" si="62"/>
        <v/>
      </c>
      <c r="W292" t="str">
        <f t="shared" si="62"/>
        <v/>
      </c>
      <c r="X292" t="str">
        <f t="shared" si="62"/>
        <v/>
      </c>
      <c r="Y292" t="str">
        <f t="shared" si="62"/>
        <v/>
      </c>
      <c r="Z292" t="str">
        <f t="shared" si="62"/>
        <v/>
      </c>
      <c r="AA292" t="str">
        <f t="shared" si="62"/>
        <v/>
      </c>
      <c r="AB292" t="str">
        <f t="shared" si="62"/>
        <v/>
      </c>
      <c r="AC292">
        <f t="shared" si="56"/>
        <v>0</v>
      </c>
    </row>
    <row r="293" spans="1:29" x14ac:dyDescent="0.35">
      <c r="A293">
        <v>288</v>
      </c>
      <c r="B293" t="s">
        <v>11</v>
      </c>
      <c r="C293" t="s">
        <v>857</v>
      </c>
      <c r="D293" t="s">
        <v>858</v>
      </c>
      <c r="E293" t="s">
        <v>713</v>
      </c>
      <c r="F293" t="s">
        <v>516</v>
      </c>
      <c r="G293" t="s">
        <v>0</v>
      </c>
      <c r="H293">
        <v>1.48</v>
      </c>
      <c r="I293">
        <v>2.7149999999999999</v>
      </c>
      <c r="J293" t="s">
        <v>6</v>
      </c>
      <c r="K293" t="str">
        <f t="shared" si="61"/>
        <v/>
      </c>
      <c r="L293" t="str">
        <f t="shared" si="61"/>
        <v/>
      </c>
      <c r="M293" t="str">
        <f t="shared" si="61"/>
        <v/>
      </c>
      <c r="N293" t="str">
        <f t="shared" si="61"/>
        <v/>
      </c>
      <c r="O293" t="str">
        <f t="shared" si="61"/>
        <v/>
      </c>
      <c r="P293" t="str">
        <f t="shared" si="61"/>
        <v/>
      </c>
      <c r="Q293" t="str">
        <f t="shared" si="61"/>
        <v/>
      </c>
      <c r="R293" t="str">
        <f t="shared" si="61"/>
        <v/>
      </c>
      <c r="S293" t="str">
        <f t="shared" si="61"/>
        <v/>
      </c>
      <c r="T293" t="str">
        <f t="shared" si="61"/>
        <v/>
      </c>
      <c r="U293" t="str">
        <f t="shared" si="62"/>
        <v/>
      </c>
      <c r="V293" t="str">
        <f t="shared" si="62"/>
        <v/>
      </c>
      <c r="W293" t="str">
        <f t="shared" si="62"/>
        <v/>
      </c>
      <c r="X293" t="str">
        <f t="shared" si="62"/>
        <v/>
      </c>
      <c r="Y293" t="str">
        <f t="shared" si="62"/>
        <v/>
      </c>
      <c r="Z293" t="str">
        <f t="shared" si="62"/>
        <v/>
      </c>
      <c r="AA293" t="str">
        <f t="shared" si="62"/>
        <v/>
      </c>
      <c r="AB293" t="str">
        <f t="shared" si="62"/>
        <v/>
      </c>
      <c r="AC293">
        <f t="shared" si="56"/>
        <v>0</v>
      </c>
    </row>
    <row r="294" spans="1:29" x14ac:dyDescent="0.35">
      <c r="A294">
        <v>289</v>
      </c>
      <c r="B294" t="s">
        <v>11</v>
      </c>
      <c r="C294" t="s">
        <v>871</v>
      </c>
      <c r="D294" t="s">
        <v>872</v>
      </c>
      <c r="E294" t="s">
        <v>689</v>
      </c>
      <c r="F294" t="s">
        <v>516</v>
      </c>
      <c r="G294" t="s">
        <v>0</v>
      </c>
      <c r="H294">
        <v>2.09</v>
      </c>
      <c r="I294">
        <v>2.7149999999999999</v>
      </c>
      <c r="J294" t="s">
        <v>6</v>
      </c>
      <c r="K294" t="str">
        <f t="shared" si="61"/>
        <v/>
      </c>
      <c r="L294" t="str">
        <f t="shared" si="61"/>
        <v/>
      </c>
      <c r="M294" t="str">
        <f t="shared" si="61"/>
        <v/>
      </c>
      <c r="N294" t="str">
        <f t="shared" si="61"/>
        <v/>
      </c>
      <c r="O294" t="str">
        <f t="shared" si="61"/>
        <v/>
      </c>
      <c r="P294" t="str">
        <f t="shared" si="61"/>
        <v/>
      </c>
      <c r="Q294" t="str">
        <f t="shared" si="61"/>
        <v/>
      </c>
      <c r="R294" t="str">
        <f t="shared" si="61"/>
        <v/>
      </c>
      <c r="S294" t="str">
        <f t="shared" si="61"/>
        <v/>
      </c>
      <c r="T294" t="str">
        <f t="shared" si="61"/>
        <v/>
      </c>
      <c r="U294" t="str">
        <f t="shared" si="62"/>
        <v/>
      </c>
      <c r="V294" t="str">
        <f t="shared" si="62"/>
        <v/>
      </c>
      <c r="W294" t="str">
        <f t="shared" si="62"/>
        <v/>
      </c>
      <c r="X294" t="str">
        <f t="shared" si="62"/>
        <v/>
      </c>
      <c r="Y294" t="str">
        <f t="shared" si="62"/>
        <v/>
      </c>
      <c r="Z294" t="str">
        <f t="shared" si="62"/>
        <v/>
      </c>
      <c r="AA294" t="str">
        <f t="shared" si="62"/>
        <v/>
      </c>
      <c r="AB294" t="str">
        <f t="shared" si="62"/>
        <v/>
      </c>
      <c r="AC294">
        <f t="shared" si="56"/>
        <v>0</v>
      </c>
    </row>
    <row r="295" spans="1:29" x14ac:dyDescent="0.35">
      <c r="A295">
        <v>290</v>
      </c>
      <c r="B295" t="s">
        <v>11</v>
      </c>
      <c r="C295" t="s">
        <v>912</v>
      </c>
      <c r="D295" t="s">
        <v>913</v>
      </c>
      <c r="E295" t="s">
        <v>914</v>
      </c>
      <c r="F295" t="s">
        <v>516</v>
      </c>
      <c r="G295" t="s">
        <v>0</v>
      </c>
      <c r="H295">
        <v>1.0900000000000001</v>
      </c>
      <c r="I295">
        <v>2.7149999999999999</v>
      </c>
      <c r="J295" t="s">
        <v>6</v>
      </c>
      <c r="K295" t="str">
        <f t="shared" si="61"/>
        <v/>
      </c>
      <c r="L295" t="str">
        <f t="shared" si="61"/>
        <v/>
      </c>
      <c r="M295" t="str">
        <f t="shared" si="61"/>
        <v/>
      </c>
      <c r="N295" t="str">
        <f t="shared" si="61"/>
        <v/>
      </c>
      <c r="O295" t="str">
        <f t="shared" si="61"/>
        <v/>
      </c>
      <c r="P295" t="str">
        <f t="shared" si="61"/>
        <v/>
      </c>
      <c r="Q295" t="str">
        <f t="shared" si="61"/>
        <v/>
      </c>
      <c r="R295" t="str">
        <f t="shared" si="61"/>
        <v/>
      </c>
      <c r="S295" t="str">
        <f t="shared" si="61"/>
        <v/>
      </c>
      <c r="T295" t="str">
        <f t="shared" si="61"/>
        <v/>
      </c>
      <c r="U295" t="str">
        <f t="shared" si="62"/>
        <v/>
      </c>
      <c r="V295" t="str">
        <f t="shared" si="62"/>
        <v/>
      </c>
      <c r="W295" t="str">
        <f t="shared" si="62"/>
        <v/>
      </c>
      <c r="X295" t="str">
        <f t="shared" si="62"/>
        <v/>
      </c>
      <c r="Y295" t="str">
        <f t="shared" si="62"/>
        <v/>
      </c>
      <c r="Z295" t="str">
        <f t="shared" si="62"/>
        <v/>
      </c>
      <c r="AA295" t="str">
        <f t="shared" si="62"/>
        <v/>
      </c>
      <c r="AB295" t="str">
        <f t="shared" si="62"/>
        <v/>
      </c>
      <c r="AC295">
        <f t="shared" si="56"/>
        <v>0</v>
      </c>
    </row>
    <row r="296" spans="1:29" x14ac:dyDescent="0.35">
      <c r="A296">
        <v>291</v>
      </c>
      <c r="B296" t="s">
        <v>11</v>
      </c>
      <c r="C296" t="s">
        <v>924</v>
      </c>
      <c r="D296" t="s">
        <v>915</v>
      </c>
      <c r="E296" t="s">
        <v>790</v>
      </c>
      <c r="F296" t="s">
        <v>516</v>
      </c>
      <c r="G296" t="s">
        <v>2</v>
      </c>
      <c r="H296">
        <v>1.99</v>
      </c>
      <c r="I296">
        <v>2.7149999999999999</v>
      </c>
      <c r="J296" t="s">
        <v>6</v>
      </c>
      <c r="K296" t="str">
        <f t="shared" ref="K296:T305" si="63">IFERROR(IFERROR(IF(K$5=$K$1,VLOOKUP($A296,dormitorios,2,0),IF(K$5=$L$1,VLOOKUP($A296,comedor,2,0),IF(K$5=$M$1,VLOOKUP($A296,alojamiento,2,0),IF(K$5=$N$1,VLOOKUP($A296,sanidad,2,0),IF(K$5=$O$1,VLOOKUP($A296,servicios,2,0),IF(K$5=$P$1,VLOOKUP($A296,comyaloj,2,0),IF(K$5=$Q$1,VLOOKUP($A296,comandancia,2,0),IF(K$5=$R$1,VLOOKUP($A296,mantenimiento,2,0),IF(K$5=$S$1,VLOOKUP($A296,serestatal,2,0),IF(K$5=$T$1,VLOOKUP($A296,conferencias,2,0),"")))))))))),"")*K$3,"")</f>
        <v/>
      </c>
      <c r="L296" t="str">
        <f t="shared" si="63"/>
        <v/>
      </c>
      <c r="M296" t="str">
        <f t="shared" si="63"/>
        <v/>
      </c>
      <c r="N296" t="str">
        <f t="shared" si="63"/>
        <v/>
      </c>
      <c r="O296" t="str">
        <f t="shared" si="63"/>
        <v/>
      </c>
      <c r="P296" t="str">
        <f t="shared" si="63"/>
        <v/>
      </c>
      <c r="Q296" t="str">
        <f t="shared" si="63"/>
        <v/>
      </c>
      <c r="R296" t="str">
        <f t="shared" si="63"/>
        <v/>
      </c>
      <c r="S296" t="str">
        <f t="shared" si="63"/>
        <v/>
      </c>
      <c r="T296" t="str">
        <f t="shared" si="63"/>
        <v/>
      </c>
      <c r="U296" t="str">
        <f t="shared" ref="U296:AB305" si="64">IFERROR(IFERROR(IF(U$5=$K$1,VLOOKUP($A296,dormitorios,2,0),IF(U$5=$L$1,VLOOKUP($A296,comedor,2,0),IF(U$5=$M$1,VLOOKUP($A296,alojamiento,2,0),IF(U$5=$N$1,VLOOKUP($A296,sanidad,2,0),IF(U$5=$O$1,VLOOKUP($A296,servicios,2,0),IF(U$5=$P$1,VLOOKUP($A296,comyaloj,2,0),IF(U$5=$Q$1,VLOOKUP($A296,comandancia,2,0),IF(U$5=$R$1,VLOOKUP($A296,mantenimiento,2,0),IF(U$5=$S$1,VLOOKUP($A296,serestatal,2,0),IF(U$5=$T$1,VLOOKUP($A296,conferencias,2,0),"")))))))))),"")*U$3,"")</f>
        <v/>
      </c>
      <c r="V296" t="str">
        <f t="shared" si="64"/>
        <v/>
      </c>
      <c r="W296" t="str">
        <f t="shared" si="64"/>
        <v/>
      </c>
      <c r="X296" t="str">
        <f t="shared" si="64"/>
        <v/>
      </c>
      <c r="Y296" t="str">
        <f t="shared" si="64"/>
        <v/>
      </c>
      <c r="Z296" t="str">
        <f t="shared" si="64"/>
        <v/>
      </c>
      <c r="AA296" t="str">
        <f t="shared" si="64"/>
        <v/>
      </c>
      <c r="AB296" t="str">
        <f t="shared" si="64"/>
        <v/>
      </c>
      <c r="AC296">
        <f t="shared" si="56"/>
        <v>0</v>
      </c>
    </row>
    <row r="297" spans="1:29" x14ac:dyDescent="0.35">
      <c r="A297">
        <v>292</v>
      </c>
      <c r="B297" t="s">
        <v>11</v>
      </c>
      <c r="C297" t="s">
        <v>927</v>
      </c>
      <c r="D297" t="s">
        <v>925</v>
      </c>
      <c r="E297" t="s">
        <v>790</v>
      </c>
      <c r="F297" t="s">
        <v>516</v>
      </c>
      <c r="G297" t="s">
        <v>2</v>
      </c>
      <c r="H297">
        <v>1.31</v>
      </c>
      <c r="I297">
        <v>2.7149999999999999</v>
      </c>
      <c r="J297" t="s">
        <v>6</v>
      </c>
      <c r="K297" t="str">
        <f t="shared" si="63"/>
        <v/>
      </c>
      <c r="L297" t="str">
        <f t="shared" si="63"/>
        <v/>
      </c>
      <c r="M297" t="str">
        <f t="shared" si="63"/>
        <v/>
      </c>
      <c r="N297" t="str">
        <f t="shared" si="63"/>
        <v/>
      </c>
      <c r="O297" t="str">
        <f t="shared" si="63"/>
        <v/>
      </c>
      <c r="P297" t="str">
        <f t="shared" si="63"/>
        <v/>
      </c>
      <c r="Q297" t="str">
        <f t="shared" si="63"/>
        <v/>
      </c>
      <c r="R297" t="str">
        <f t="shared" si="63"/>
        <v/>
      </c>
      <c r="S297" t="str">
        <f t="shared" si="63"/>
        <v/>
      </c>
      <c r="T297" t="str">
        <f t="shared" si="63"/>
        <v/>
      </c>
      <c r="U297" t="str">
        <f t="shared" si="64"/>
        <v/>
      </c>
      <c r="V297" t="str">
        <f t="shared" si="64"/>
        <v/>
      </c>
      <c r="W297" t="str">
        <f t="shared" si="64"/>
        <v/>
      </c>
      <c r="X297" t="str">
        <f t="shared" si="64"/>
        <v/>
      </c>
      <c r="Y297" t="str">
        <f t="shared" si="64"/>
        <v/>
      </c>
      <c r="Z297" t="str">
        <f t="shared" si="64"/>
        <v/>
      </c>
      <c r="AA297" t="str">
        <f t="shared" si="64"/>
        <v/>
      </c>
      <c r="AB297" t="str">
        <f t="shared" si="64"/>
        <v/>
      </c>
      <c r="AC297">
        <f t="shared" si="56"/>
        <v>0</v>
      </c>
    </row>
    <row r="298" spans="1:29" x14ac:dyDescent="0.35">
      <c r="A298">
        <v>293</v>
      </c>
      <c r="B298" t="s">
        <v>11</v>
      </c>
      <c r="C298" t="s">
        <v>928</v>
      </c>
      <c r="D298" t="s">
        <v>926</v>
      </c>
      <c r="E298" t="s">
        <v>762</v>
      </c>
      <c r="F298" t="s">
        <v>516</v>
      </c>
      <c r="G298" t="s">
        <v>2</v>
      </c>
      <c r="H298">
        <v>1.31</v>
      </c>
      <c r="I298">
        <v>2.7149999999999999</v>
      </c>
      <c r="J298" t="s">
        <v>6</v>
      </c>
      <c r="K298" t="str">
        <f t="shared" si="63"/>
        <v/>
      </c>
      <c r="L298" t="str">
        <f t="shared" si="63"/>
        <v/>
      </c>
      <c r="M298" t="str">
        <f t="shared" si="63"/>
        <v/>
      </c>
      <c r="N298" t="str">
        <f t="shared" si="63"/>
        <v/>
      </c>
      <c r="O298" t="str">
        <f t="shared" si="63"/>
        <v/>
      </c>
      <c r="P298" t="str">
        <f t="shared" si="63"/>
        <v/>
      </c>
      <c r="Q298" t="str">
        <f t="shared" si="63"/>
        <v/>
      </c>
      <c r="R298" t="str">
        <f t="shared" si="63"/>
        <v/>
      </c>
      <c r="S298" t="str">
        <f t="shared" si="63"/>
        <v/>
      </c>
      <c r="T298" t="str">
        <f t="shared" si="63"/>
        <v/>
      </c>
      <c r="U298" t="str">
        <f t="shared" si="64"/>
        <v/>
      </c>
      <c r="V298" t="str">
        <f t="shared" si="64"/>
        <v/>
      </c>
      <c r="W298" t="str">
        <f t="shared" si="64"/>
        <v/>
      </c>
      <c r="X298" t="str">
        <f t="shared" si="64"/>
        <v/>
      </c>
      <c r="Y298" t="str">
        <f t="shared" si="64"/>
        <v/>
      </c>
      <c r="Z298" t="str">
        <f t="shared" si="64"/>
        <v/>
      </c>
      <c r="AA298" t="str">
        <f t="shared" si="64"/>
        <v/>
      </c>
      <c r="AB298" t="str">
        <f t="shared" si="64"/>
        <v/>
      </c>
      <c r="AC298">
        <f t="shared" si="56"/>
        <v>0</v>
      </c>
    </row>
    <row r="299" spans="1:29" x14ac:dyDescent="0.35">
      <c r="A299">
        <v>294</v>
      </c>
      <c r="B299" t="s">
        <v>11</v>
      </c>
      <c r="C299" t="s">
        <v>943</v>
      </c>
      <c r="D299" t="s">
        <v>944</v>
      </c>
      <c r="E299" t="s">
        <v>1070</v>
      </c>
      <c r="F299" t="s">
        <v>889</v>
      </c>
      <c r="G299" t="s">
        <v>0</v>
      </c>
      <c r="H299">
        <v>1.968</v>
      </c>
      <c r="I299">
        <v>2.7149999999999999</v>
      </c>
      <c r="J299" t="s">
        <v>6</v>
      </c>
      <c r="K299">
        <f t="shared" si="63"/>
        <v>9</v>
      </c>
      <c r="L299" t="str">
        <f t="shared" si="63"/>
        <v/>
      </c>
      <c r="M299" t="str">
        <f t="shared" si="63"/>
        <v/>
      </c>
      <c r="N299" t="str">
        <f t="shared" si="63"/>
        <v/>
      </c>
      <c r="O299" t="str">
        <f t="shared" si="63"/>
        <v/>
      </c>
      <c r="P299" t="str">
        <f t="shared" si="63"/>
        <v/>
      </c>
      <c r="Q299" t="str">
        <f t="shared" si="63"/>
        <v/>
      </c>
      <c r="R299" t="str">
        <f t="shared" si="63"/>
        <v/>
      </c>
      <c r="S299" t="str">
        <f t="shared" si="63"/>
        <v/>
      </c>
      <c r="T299" t="str">
        <f t="shared" si="63"/>
        <v/>
      </c>
      <c r="U299" t="str">
        <f t="shared" si="64"/>
        <v/>
      </c>
      <c r="V299" t="str">
        <f t="shared" si="64"/>
        <v/>
      </c>
      <c r="W299" t="str">
        <f t="shared" si="64"/>
        <v/>
      </c>
      <c r="X299" t="str">
        <f t="shared" si="64"/>
        <v/>
      </c>
      <c r="Y299" t="str">
        <f t="shared" si="64"/>
        <v/>
      </c>
      <c r="Z299" t="str">
        <f t="shared" si="64"/>
        <v/>
      </c>
      <c r="AA299" t="str">
        <f t="shared" si="64"/>
        <v/>
      </c>
      <c r="AB299" t="str">
        <f t="shared" si="64"/>
        <v/>
      </c>
      <c r="AC299">
        <f t="shared" si="56"/>
        <v>9</v>
      </c>
    </row>
    <row r="300" spans="1:29" x14ac:dyDescent="0.35">
      <c r="A300">
        <v>295</v>
      </c>
      <c r="B300" t="s">
        <v>11</v>
      </c>
      <c r="C300" t="s">
        <v>947</v>
      </c>
      <c r="D300" t="s">
        <v>948</v>
      </c>
      <c r="E300" t="s">
        <v>1071</v>
      </c>
      <c r="F300" t="s">
        <v>889</v>
      </c>
      <c r="G300" t="s">
        <v>0</v>
      </c>
      <c r="H300">
        <v>1.9159999999999999</v>
      </c>
      <c r="I300">
        <v>2.7149999999999999</v>
      </c>
      <c r="J300" t="s">
        <v>6</v>
      </c>
      <c r="K300">
        <f t="shared" si="63"/>
        <v>3</v>
      </c>
      <c r="L300" t="str">
        <f t="shared" si="63"/>
        <v/>
      </c>
      <c r="M300" t="str">
        <f t="shared" si="63"/>
        <v/>
      </c>
      <c r="N300" t="str">
        <f t="shared" si="63"/>
        <v/>
      </c>
      <c r="O300" t="str">
        <f t="shared" si="63"/>
        <v/>
      </c>
      <c r="P300" t="str">
        <f t="shared" si="63"/>
        <v/>
      </c>
      <c r="Q300" t="str">
        <f t="shared" si="63"/>
        <v/>
      </c>
      <c r="R300" t="str">
        <f t="shared" si="63"/>
        <v/>
      </c>
      <c r="S300" t="str">
        <f t="shared" si="63"/>
        <v/>
      </c>
      <c r="T300" t="str">
        <f t="shared" si="63"/>
        <v/>
      </c>
      <c r="U300" t="str">
        <f t="shared" si="64"/>
        <v/>
      </c>
      <c r="V300" t="str">
        <f t="shared" si="64"/>
        <v/>
      </c>
      <c r="W300" t="str">
        <f t="shared" si="64"/>
        <v/>
      </c>
      <c r="X300" t="str">
        <f t="shared" si="64"/>
        <v/>
      </c>
      <c r="Y300" t="str">
        <f t="shared" si="64"/>
        <v/>
      </c>
      <c r="Z300" t="str">
        <f t="shared" si="64"/>
        <v/>
      </c>
      <c r="AA300" t="str">
        <f t="shared" si="64"/>
        <v/>
      </c>
      <c r="AB300" t="str">
        <f t="shared" si="64"/>
        <v/>
      </c>
      <c r="AC300">
        <f t="shared" si="56"/>
        <v>3</v>
      </c>
    </row>
    <row r="301" spans="1:29" x14ac:dyDescent="0.35">
      <c r="A301">
        <v>296</v>
      </c>
      <c r="B301" t="s">
        <v>11</v>
      </c>
      <c r="C301" t="s">
        <v>955</v>
      </c>
      <c r="D301" t="s">
        <v>954</v>
      </c>
      <c r="E301" t="s">
        <v>1060</v>
      </c>
      <c r="F301" t="s">
        <v>516</v>
      </c>
      <c r="G301" t="s">
        <v>0</v>
      </c>
      <c r="H301">
        <v>1.9490000000000001</v>
      </c>
      <c r="I301">
        <v>2.7149999999999999</v>
      </c>
      <c r="J301" t="s">
        <v>6</v>
      </c>
      <c r="K301">
        <f t="shared" si="63"/>
        <v>3</v>
      </c>
      <c r="L301" t="str">
        <f t="shared" si="63"/>
        <v/>
      </c>
      <c r="M301" t="str">
        <f t="shared" si="63"/>
        <v/>
      </c>
      <c r="N301" t="str">
        <f t="shared" si="63"/>
        <v/>
      </c>
      <c r="O301" t="str">
        <f t="shared" si="63"/>
        <v/>
      </c>
      <c r="P301" t="str">
        <f t="shared" si="63"/>
        <v/>
      </c>
      <c r="Q301" t="str">
        <f t="shared" si="63"/>
        <v/>
      </c>
      <c r="R301" t="str">
        <f t="shared" si="63"/>
        <v/>
      </c>
      <c r="S301" t="str">
        <f t="shared" si="63"/>
        <v/>
      </c>
      <c r="T301" t="str">
        <f t="shared" si="63"/>
        <v/>
      </c>
      <c r="U301" t="str">
        <f t="shared" si="64"/>
        <v/>
      </c>
      <c r="V301" t="str">
        <f t="shared" si="64"/>
        <v/>
      </c>
      <c r="W301" t="str">
        <f t="shared" si="64"/>
        <v/>
      </c>
      <c r="X301" t="str">
        <f t="shared" si="64"/>
        <v/>
      </c>
      <c r="Y301" t="str">
        <f t="shared" si="64"/>
        <v/>
      </c>
      <c r="Z301" t="str">
        <f t="shared" si="64"/>
        <v/>
      </c>
      <c r="AA301" t="str">
        <f t="shared" si="64"/>
        <v/>
      </c>
      <c r="AB301" t="str">
        <f t="shared" si="64"/>
        <v/>
      </c>
      <c r="AC301">
        <f t="shared" si="56"/>
        <v>3</v>
      </c>
    </row>
    <row r="302" spans="1:29" x14ac:dyDescent="0.35">
      <c r="A302">
        <v>297</v>
      </c>
      <c r="B302" t="s">
        <v>11</v>
      </c>
      <c r="C302" t="s">
        <v>956</v>
      </c>
      <c r="D302" t="s">
        <v>957</v>
      </c>
      <c r="E302" t="s">
        <v>1110</v>
      </c>
      <c r="F302" t="s">
        <v>889</v>
      </c>
      <c r="G302" t="s">
        <v>2</v>
      </c>
      <c r="H302">
        <v>1.9990000000000001</v>
      </c>
      <c r="I302">
        <v>2.7149999999999999</v>
      </c>
      <c r="J302" t="s">
        <v>6</v>
      </c>
      <c r="K302">
        <f t="shared" si="63"/>
        <v>3</v>
      </c>
      <c r="L302" t="str">
        <f t="shared" si="63"/>
        <v/>
      </c>
      <c r="M302" t="str">
        <f t="shared" si="63"/>
        <v/>
      </c>
      <c r="N302" t="str">
        <f t="shared" si="63"/>
        <v/>
      </c>
      <c r="O302" t="str">
        <f t="shared" si="63"/>
        <v/>
      </c>
      <c r="P302" t="str">
        <f t="shared" si="63"/>
        <v/>
      </c>
      <c r="Q302" t="str">
        <f t="shared" si="63"/>
        <v/>
      </c>
      <c r="R302" t="str">
        <f t="shared" si="63"/>
        <v/>
      </c>
      <c r="S302" t="str">
        <f t="shared" si="63"/>
        <v/>
      </c>
      <c r="T302" t="str">
        <f t="shared" si="63"/>
        <v/>
      </c>
      <c r="U302" t="str">
        <f t="shared" si="64"/>
        <v/>
      </c>
      <c r="V302" t="str">
        <f t="shared" si="64"/>
        <v/>
      </c>
      <c r="W302" t="str">
        <f t="shared" si="64"/>
        <v/>
      </c>
      <c r="X302" t="str">
        <f t="shared" si="64"/>
        <v/>
      </c>
      <c r="Y302" t="str">
        <f t="shared" si="64"/>
        <v/>
      </c>
      <c r="Z302" t="str">
        <f t="shared" si="64"/>
        <v/>
      </c>
      <c r="AA302" t="str">
        <f t="shared" si="64"/>
        <v/>
      </c>
      <c r="AB302" t="str">
        <f t="shared" si="64"/>
        <v/>
      </c>
      <c r="AC302">
        <f t="shared" si="56"/>
        <v>3</v>
      </c>
    </row>
    <row r="303" spans="1:29" x14ac:dyDescent="0.35">
      <c r="A303">
        <v>298</v>
      </c>
      <c r="B303" t="s">
        <v>11</v>
      </c>
      <c r="C303" t="s">
        <v>959</v>
      </c>
      <c r="D303" t="s">
        <v>958</v>
      </c>
      <c r="E303" t="s">
        <v>1061</v>
      </c>
      <c r="F303" t="s">
        <v>516</v>
      </c>
      <c r="G303" t="s">
        <v>0</v>
      </c>
      <c r="H303">
        <v>1.069</v>
      </c>
      <c r="I303">
        <v>2.7149999999999999</v>
      </c>
      <c r="J303" t="s">
        <v>6</v>
      </c>
      <c r="K303">
        <f t="shared" si="63"/>
        <v>3</v>
      </c>
      <c r="L303" t="str">
        <f t="shared" si="63"/>
        <v/>
      </c>
      <c r="M303" t="str">
        <f t="shared" si="63"/>
        <v/>
      </c>
      <c r="N303" t="str">
        <f t="shared" si="63"/>
        <v/>
      </c>
      <c r="O303" t="str">
        <f t="shared" si="63"/>
        <v/>
      </c>
      <c r="P303" t="str">
        <f t="shared" si="63"/>
        <v/>
      </c>
      <c r="Q303" t="str">
        <f t="shared" si="63"/>
        <v/>
      </c>
      <c r="R303" t="str">
        <f t="shared" si="63"/>
        <v/>
      </c>
      <c r="S303" t="str">
        <f t="shared" si="63"/>
        <v/>
      </c>
      <c r="T303" t="str">
        <f t="shared" si="63"/>
        <v/>
      </c>
      <c r="U303" t="str">
        <f t="shared" si="64"/>
        <v/>
      </c>
      <c r="V303" t="str">
        <f t="shared" si="64"/>
        <v/>
      </c>
      <c r="W303" t="str">
        <f t="shared" si="64"/>
        <v/>
      </c>
      <c r="X303" t="str">
        <f t="shared" si="64"/>
        <v/>
      </c>
      <c r="Y303" t="str">
        <f t="shared" si="64"/>
        <v/>
      </c>
      <c r="Z303" t="str">
        <f t="shared" si="64"/>
        <v/>
      </c>
      <c r="AA303" t="str">
        <f t="shared" si="64"/>
        <v/>
      </c>
      <c r="AB303" t="str">
        <f t="shared" si="64"/>
        <v/>
      </c>
      <c r="AC303">
        <f t="shared" si="56"/>
        <v>3</v>
      </c>
    </row>
    <row r="304" spans="1:29" x14ac:dyDescent="0.35">
      <c r="A304">
        <v>299</v>
      </c>
      <c r="B304" t="s">
        <v>11</v>
      </c>
      <c r="C304" t="s">
        <v>968</v>
      </c>
      <c r="D304" t="s">
        <v>967</v>
      </c>
      <c r="E304" t="s">
        <v>1071</v>
      </c>
      <c r="F304" t="s">
        <v>889</v>
      </c>
      <c r="G304" t="s">
        <v>2</v>
      </c>
      <c r="H304">
        <v>2.0059999999999998</v>
      </c>
      <c r="I304">
        <v>2.7149999999999999</v>
      </c>
      <c r="J304" t="s">
        <v>6</v>
      </c>
      <c r="K304">
        <f t="shared" si="63"/>
        <v>3</v>
      </c>
      <c r="L304" t="str">
        <f t="shared" si="63"/>
        <v/>
      </c>
      <c r="M304" t="str">
        <f t="shared" si="63"/>
        <v/>
      </c>
      <c r="N304" t="str">
        <f t="shared" si="63"/>
        <v/>
      </c>
      <c r="O304" t="str">
        <f t="shared" si="63"/>
        <v/>
      </c>
      <c r="P304" t="str">
        <f t="shared" si="63"/>
        <v/>
      </c>
      <c r="Q304" t="str">
        <f t="shared" si="63"/>
        <v/>
      </c>
      <c r="R304" t="str">
        <f t="shared" si="63"/>
        <v/>
      </c>
      <c r="S304" t="str">
        <f t="shared" si="63"/>
        <v/>
      </c>
      <c r="T304" t="str">
        <f t="shared" si="63"/>
        <v/>
      </c>
      <c r="U304" t="str">
        <f t="shared" si="64"/>
        <v/>
      </c>
      <c r="V304" t="str">
        <f t="shared" si="64"/>
        <v/>
      </c>
      <c r="W304" t="str">
        <f t="shared" si="64"/>
        <v/>
      </c>
      <c r="X304" t="str">
        <f t="shared" si="64"/>
        <v/>
      </c>
      <c r="Y304" t="str">
        <f t="shared" si="64"/>
        <v/>
      </c>
      <c r="Z304" t="str">
        <f t="shared" si="64"/>
        <v/>
      </c>
      <c r="AA304" t="str">
        <f t="shared" si="64"/>
        <v/>
      </c>
      <c r="AB304" t="str">
        <f t="shared" si="64"/>
        <v/>
      </c>
      <c r="AC304">
        <f t="shared" si="56"/>
        <v>3</v>
      </c>
    </row>
    <row r="305" spans="1:29" x14ac:dyDescent="0.35">
      <c r="A305">
        <v>300</v>
      </c>
      <c r="B305" t="s">
        <v>11</v>
      </c>
      <c r="C305" t="s">
        <v>996</v>
      </c>
      <c r="D305" t="s">
        <v>997</v>
      </c>
      <c r="E305" t="s">
        <v>1071</v>
      </c>
      <c r="F305" t="s">
        <v>889</v>
      </c>
      <c r="G305" t="s">
        <v>0</v>
      </c>
      <c r="H305">
        <v>1.903</v>
      </c>
      <c r="I305">
        <v>2.7149999999999999</v>
      </c>
      <c r="J305" t="s">
        <v>6</v>
      </c>
      <c r="K305">
        <f t="shared" si="63"/>
        <v>3</v>
      </c>
      <c r="L305" t="str">
        <f t="shared" si="63"/>
        <v/>
      </c>
      <c r="M305" t="str">
        <f t="shared" si="63"/>
        <v/>
      </c>
      <c r="N305" t="str">
        <f t="shared" si="63"/>
        <v/>
      </c>
      <c r="O305" t="str">
        <f t="shared" si="63"/>
        <v/>
      </c>
      <c r="P305" t="str">
        <f t="shared" si="63"/>
        <v/>
      </c>
      <c r="Q305" t="str">
        <f t="shared" si="63"/>
        <v/>
      </c>
      <c r="R305" t="str">
        <f t="shared" si="63"/>
        <v/>
      </c>
      <c r="S305" t="str">
        <f t="shared" si="63"/>
        <v/>
      </c>
      <c r="T305" t="str">
        <f t="shared" si="63"/>
        <v/>
      </c>
      <c r="U305" t="str">
        <f t="shared" si="64"/>
        <v/>
      </c>
      <c r="V305" t="str">
        <f t="shared" si="64"/>
        <v/>
      </c>
      <c r="W305" t="str">
        <f t="shared" si="64"/>
        <v/>
      </c>
      <c r="X305" t="str">
        <f t="shared" si="64"/>
        <v/>
      </c>
      <c r="Y305" t="str">
        <f t="shared" si="64"/>
        <v/>
      </c>
      <c r="Z305" t="str">
        <f t="shared" si="64"/>
        <v/>
      </c>
      <c r="AA305" t="str">
        <f t="shared" si="64"/>
        <v/>
      </c>
      <c r="AB305" t="str">
        <f t="shared" si="64"/>
        <v/>
      </c>
      <c r="AC305">
        <f t="shared" si="56"/>
        <v>3</v>
      </c>
    </row>
    <row r="306" spans="1:29" x14ac:dyDescent="0.35">
      <c r="A306">
        <v>301</v>
      </c>
      <c r="B306" t="s">
        <v>11</v>
      </c>
      <c r="C306" t="s">
        <v>1025</v>
      </c>
      <c r="D306" t="s">
        <v>1011</v>
      </c>
      <c r="E306" t="s">
        <v>1010</v>
      </c>
      <c r="F306" t="s">
        <v>516</v>
      </c>
      <c r="G306" t="s">
        <v>2</v>
      </c>
      <c r="H306">
        <v>1.9530000000000001</v>
      </c>
      <c r="I306">
        <v>2.7149999999999999</v>
      </c>
      <c r="J306" t="s">
        <v>6</v>
      </c>
      <c r="K306" t="str">
        <f t="shared" ref="K306:T315" si="65">IFERROR(IFERROR(IF(K$5=$K$1,VLOOKUP($A306,dormitorios,2,0),IF(K$5=$L$1,VLOOKUP($A306,comedor,2,0),IF(K$5=$M$1,VLOOKUP($A306,alojamiento,2,0),IF(K$5=$N$1,VLOOKUP($A306,sanidad,2,0),IF(K$5=$O$1,VLOOKUP($A306,servicios,2,0),IF(K$5=$P$1,VLOOKUP($A306,comyaloj,2,0),IF(K$5=$Q$1,VLOOKUP($A306,comandancia,2,0),IF(K$5=$R$1,VLOOKUP($A306,mantenimiento,2,0),IF(K$5=$S$1,VLOOKUP($A306,serestatal,2,0),IF(K$5=$T$1,VLOOKUP($A306,conferencias,2,0),"")))))))))),"")*K$3,"")</f>
        <v/>
      </c>
      <c r="L306" t="str">
        <f t="shared" si="65"/>
        <v/>
      </c>
      <c r="M306">
        <f t="shared" si="65"/>
        <v>4</v>
      </c>
      <c r="N306" t="str">
        <f t="shared" si="65"/>
        <v/>
      </c>
      <c r="O306" t="str">
        <f t="shared" si="65"/>
        <v/>
      </c>
      <c r="P306" t="str">
        <f t="shared" si="65"/>
        <v/>
      </c>
      <c r="Q306" t="str">
        <f t="shared" si="65"/>
        <v/>
      </c>
      <c r="R306" t="str">
        <f t="shared" si="65"/>
        <v/>
      </c>
      <c r="S306" t="str">
        <f t="shared" si="65"/>
        <v/>
      </c>
      <c r="T306" t="str">
        <f t="shared" si="65"/>
        <v/>
      </c>
      <c r="U306" t="str">
        <f t="shared" ref="U306:AB315" si="66">IFERROR(IFERROR(IF(U$5=$K$1,VLOOKUP($A306,dormitorios,2,0),IF(U$5=$L$1,VLOOKUP($A306,comedor,2,0),IF(U$5=$M$1,VLOOKUP($A306,alojamiento,2,0),IF(U$5=$N$1,VLOOKUP($A306,sanidad,2,0),IF(U$5=$O$1,VLOOKUP($A306,servicios,2,0),IF(U$5=$P$1,VLOOKUP($A306,comyaloj,2,0),IF(U$5=$Q$1,VLOOKUP($A306,comandancia,2,0),IF(U$5=$R$1,VLOOKUP($A306,mantenimiento,2,0),IF(U$5=$S$1,VLOOKUP($A306,serestatal,2,0),IF(U$5=$T$1,VLOOKUP($A306,conferencias,2,0),"")))))))))),"")*U$3,"")</f>
        <v/>
      </c>
      <c r="V306" t="str">
        <f t="shared" si="66"/>
        <v/>
      </c>
      <c r="W306" t="str">
        <f t="shared" si="66"/>
        <v/>
      </c>
      <c r="X306" t="str">
        <f t="shared" si="66"/>
        <v/>
      </c>
      <c r="Y306" t="str">
        <f t="shared" si="66"/>
        <v/>
      </c>
      <c r="Z306" t="str">
        <f t="shared" si="66"/>
        <v/>
      </c>
      <c r="AA306" t="str">
        <f t="shared" si="66"/>
        <v/>
      </c>
      <c r="AB306" t="str">
        <f t="shared" si="66"/>
        <v/>
      </c>
      <c r="AC306">
        <f t="shared" si="56"/>
        <v>4</v>
      </c>
    </row>
    <row r="307" spans="1:29" x14ac:dyDescent="0.35">
      <c r="A307">
        <v>302</v>
      </c>
      <c r="B307" t="s">
        <v>11</v>
      </c>
      <c r="C307" t="s">
        <v>1026</v>
      </c>
      <c r="D307" t="s">
        <v>1013</v>
      </c>
      <c r="E307" t="s">
        <v>1012</v>
      </c>
      <c r="F307" t="s">
        <v>516</v>
      </c>
      <c r="G307" t="s">
        <v>2</v>
      </c>
      <c r="H307">
        <v>1.9530000000000001</v>
      </c>
      <c r="I307">
        <v>2.7149999999999999</v>
      </c>
      <c r="J307" t="s">
        <v>6</v>
      </c>
      <c r="K307" t="str">
        <f t="shared" si="65"/>
        <v/>
      </c>
      <c r="L307" t="str">
        <f t="shared" si="65"/>
        <v/>
      </c>
      <c r="M307">
        <f t="shared" si="65"/>
        <v>4</v>
      </c>
      <c r="N307" t="str">
        <f t="shared" si="65"/>
        <v/>
      </c>
      <c r="O307" t="str">
        <f t="shared" si="65"/>
        <v/>
      </c>
      <c r="P307" t="str">
        <f t="shared" si="65"/>
        <v/>
      </c>
      <c r="Q307" t="str">
        <f t="shared" si="65"/>
        <v/>
      </c>
      <c r="R307" t="str">
        <f t="shared" si="65"/>
        <v/>
      </c>
      <c r="S307" t="str">
        <f t="shared" si="65"/>
        <v/>
      </c>
      <c r="T307" t="str">
        <f t="shared" si="65"/>
        <v/>
      </c>
      <c r="U307" t="str">
        <f t="shared" si="66"/>
        <v/>
      </c>
      <c r="V307" t="str">
        <f t="shared" si="66"/>
        <v/>
      </c>
      <c r="W307" t="str">
        <f t="shared" si="66"/>
        <v/>
      </c>
      <c r="X307" t="str">
        <f t="shared" si="66"/>
        <v/>
      </c>
      <c r="Y307" t="str">
        <f t="shared" si="66"/>
        <v/>
      </c>
      <c r="Z307" t="str">
        <f t="shared" si="66"/>
        <v/>
      </c>
      <c r="AA307" t="str">
        <f t="shared" si="66"/>
        <v/>
      </c>
      <c r="AB307" t="str">
        <f t="shared" si="66"/>
        <v/>
      </c>
      <c r="AC307">
        <f t="shared" si="56"/>
        <v>4</v>
      </c>
    </row>
    <row r="308" spans="1:29" x14ac:dyDescent="0.35">
      <c r="A308">
        <v>303</v>
      </c>
      <c r="B308" t="s">
        <v>11</v>
      </c>
      <c r="C308" t="s">
        <v>1027</v>
      </c>
      <c r="D308" t="s">
        <v>1015</v>
      </c>
      <c r="E308" t="s">
        <v>1014</v>
      </c>
      <c r="F308" t="s">
        <v>673</v>
      </c>
      <c r="G308" t="s">
        <v>0</v>
      </c>
      <c r="H308">
        <v>2</v>
      </c>
      <c r="I308">
        <v>2.7149999999999999</v>
      </c>
      <c r="J308" t="s">
        <v>6</v>
      </c>
      <c r="K308" t="str">
        <f t="shared" si="65"/>
        <v/>
      </c>
      <c r="L308" t="str">
        <f t="shared" si="65"/>
        <v/>
      </c>
      <c r="M308">
        <f t="shared" si="65"/>
        <v>4</v>
      </c>
      <c r="N308" t="str">
        <f t="shared" si="65"/>
        <v/>
      </c>
      <c r="O308" t="str">
        <f t="shared" si="65"/>
        <v/>
      </c>
      <c r="P308" t="str">
        <f t="shared" si="65"/>
        <v/>
      </c>
      <c r="Q308" t="str">
        <f t="shared" si="65"/>
        <v/>
      </c>
      <c r="R308" t="str">
        <f t="shared" si="65"/>
        <v/>
      </c>
      <c r="S308" t="str">
        <f t="shared" si="65"/>
        <v/>
      </c>
      <c r="T308" t="str">
        <f t="shared" si="65"/>
        <v/>
      </c>
      <c r="U308" t="str">
        <f t="shared" si="66"/>
        <v/>
      </c>
      <c r="V308" t="str">
        <f t="shared" si="66"/>
        <v/>
      </c>
      <c r="W308" t="str">
        <f t="shared" si="66"/>
        <v/>
      </c>
      <c r="X308" t="str">
        <f t="shared" si="66"/>
        <v/>
      </c>
      <c r="Y308" t="str">
        <f t="shared" si="66"/>
        <v/>
      </c>
      <c r="Z308" t="str">
        <f t="shared" si="66"/>
        <v/>
      </c>
      <c r="AA308" t="str">
        <f t="shared" si="66"/>
        <v/>
      </c>
      <c r="AB308" t="str">
        <f t="shared" si="66"/>
        <v/>
      </c>
      <c r="AC308">
        <f t="shared" si="56"/>
        <v>4</v>
      </c>
    </row>
    <row r="309" spans="1:29" x14ac:dyDescent="0.35">
      <c r="A309">
        <v>304</v>
      </c>
      <c r="B309" t="s">
        <v>11</v>
      </c>
      <c r="C309" t="s">
        <v>1028</v>
      </c>
      <c r="D309" t="s">
        <v>1016</v>
      </c>
      <c r="E309" t="s">
        <v>1019</v>
      </c>
      <c r="F309" t="s">
        <v>1017</v>
      </c>
      <c r="G309" t="s">
        <v>1018</v>
      </c>
      <c r="H309">
        <v>1.974</v>
      </c>
      <c r="I309">
        <v>2.7149999999999999</v>
      </c>
      <c r="J309" t="s">
        <v>6</v>
      </c>
      <c r="K309" t="str">
        <f t="shared" si="65"/>
        <v/>
      </c>
      <c r="L309" t="str">
        <f t="shared" si="65"/>
        <v/>
      </c>
      <c r="M309">
        <f t="shared" si="65"/>
        <v>4</v>
      </c>
      <c r="N309" t="str">
        <f t="shared" si="65"/>
        <v/>
      </c>
      <c r="O309" t="str">
        <f t="shared" si="65"/>
        <v/>
      </c>
      <c r="P309" t="str">
        <f t="shared" si="65"/>
        <v/>
      </c>
      <c r="Q309" t="str">
        <f t="shared" si="65"/>
        <v/>
      </c>
      <c r="R309" t="str">
        <f t="shared" si="65"/>
        <v/>
      </c>
      <c r="S309" t="str">
        <f t="shared" si="65"/>
        <v/>
      </c>
      <c r="T309" t="str">
        <f t="shared" si="65"/>
        <v/>
      </c>
      <c r="U309" t="str">
        <f t="shared" si="66"/>
        <v/>
      </c>
      <c r="V309" t="str">
        <f t="shared" si="66"/>
        <v/>
      </c>
      <c r="W309" t="str">
        <f t="shared" si="66"/>
        <v/>
      </c>
      <c r="X309" t="str">
        <f t="shared" si="66"/>
        <v/>
      </c>
      <c r="Y309" t="str">
        <f t="shared" si="66"/>
        <v/>
      </c>
      <c r="Z309" t="str">
        <f t="shared" si="66"/>
        <v/>
      </c>
      <c r="AA309" t="str">
        <f t="shared" si="66"/>
        <v/>
      </c>
      <c r="AB309" t="str">
        <f t="shared" si="66"/>
        <v/>
      </c>
      <c r="AC309">
        <f t="shared" si="56"/>
        <v>4</v>
      </c>
    </row>
    <row r="310" spans="1:29" x14ac:dyDescent="0.35">
      <c r="A310">
        <v>305</v>
      </c>
      <c r="B310" t="s">
        <v>11</v>
      </c>
      <c r="C310" t="s">
        <v>1029</v>
      </c>
      <c r="D310" t="s">
        <v>1020</v>
      </c>
      <c r="E310" t="s">
        <v>1010</v>
      </c>
      <c r="F310" t="s">
        <v>1017</v>
      </c>
      <c r="G310" t="s">
        <v>0</v>
      </c>
      <c r="H310">
        <v>2.0449999999999999</v>
      </c>
      <c r="I310">
        <v>2.7149999999999999</v>
      </c>
      <c r="J310" t="s">
        <v>6</v>
      </c>
      <c r="K310" t="str">
        <f t="shared" si="65"/>
        <v/>
      </c>
      <c r="L310" t="str">
        <f t="shared" si="65"/>
        <v/>
      </c>
      <c r="M310">
        <f t="shared" si="65"/>
        <v>4</v>
      </c>
      <c r="N310" t="str">
        <f t="shared" si="65"/>
        <v/>
      </c>
      <c r="O310" t="str">
        <f t="shared" si="65"/>
        <v/>
      </c>
      <c r="P310" t="str">
        <f t="shared" si="65"/>
        <v/>
      </c>
      <c r="Q310" t="str">
        <f t="shared" si="65"/>
        <v/>
      </c>
      <c r="R310" t="str">
        <f t="shared" si="65"/>
        <v/>
      </c>
      <c r="S310" t="str">
        <f t="shared" si="65"/>
        <v/>
      </c>
      <c r="T310" t="str">
        <f t="shared" si="65"/>
        <v/>
      </c>
      <c r="U310" t="str">
        <f t="shared" si="66"/>
        <v/>
      </c>
      <c r="V310" t="str">
        <f t="shared" si="66"/>
        <v/>
      </c>
      <c r="W310" t="str">
        <f t="shared" si="66"/>
        <v/>
      </c>
      <c r="X310" t="str">
        <f t="shared" si="66"/>
        <v/>
      </c>
      <c r="Y310" t="str">
        <f t="shared" si="66"/>
        <v/>
      </c>
      <c r="Z310" t="str">
        <f t="shared" si="66"/>
        <v/>
      </c>
      <c r="AA310" t="str">
        <f t="shared" si="66"/>
        <v/>
      </c>
      <c r="AB310" t="str">
        <f t="shared" si="66"/>
        <v/>
      </c>
      <c r="AC310">
        <f t="shared" si="56"/>
        <v>4</v>
      </c>
    </row>
    <row r="311" spans="1:29" x14ac:dyDescent="0.35">
      <c r="A311">
        <v>306</v>
      </c>
      <c r="B311" t="s">
        <v>11</v>
      </c>
      <c r="C311" t="s">
        <v>1030</v>
      </c>
      <c r="D311" t="s">
        <v>1022</v>
      </c>
      <c r="E311" t="s">
        <v>1021</v>
      </c>
      <c r="F311" t="s">
        <v>516</v>
      </c>
      <c r="G311" t="s">
        <v>0</v>
      </c>
      <c r="H311">
        <v>2.0449999999999999</v>
      </c>
      <c r="I311">
        <v>2.7149999999999999</v>
      </c>
      <c r="J311" t="s">
        <v>6</v>
      </c>
      <c r="K311" t="str">
        <f t="shared" si="65"/>
        <v/>
      </c>
      <c r="L311" t="str">
        <f t="shared" si="65"/>
        <v/>
      </c>
      <c r="M311">
        <f t="shared" si="65"/>
        <v>4</v>
      </c>
      <c r="N311" t="str">
        <f t="shared" si="65"/>
        <v/>
      </c>
      <c r="O311" t="str">
        <f t="shared" si="65"/>
        <v/>
      </c>
      <c r="P311" t="str">
        <f t="shared" si="65"/>
        <v/>
      </c>
      <c r="Q311" t="str">
        <f t="shared" si="65"/>
        <v/>
      </c>
      <c r="R311" t="str">
        <f t="shared" si="65"/>
        <v/>
      </c>
      <c r="S311" t="str">
        <f t="shared" si="65"/>
        <v/>
      </c>
      <c r="T311" t="str">
        <f t="shared" si="65"/>
        <v/>
      </c>
      <c r="U311" t="str">
        <f t="shared" si="66"/>
        <v/>
      </c>
      <c r="V311" t="str">
        <f t="shared" si="66"/>
        <v/>
      </c>
      <c r="W311" t="str">
        <f t="shared" si="66"/>
        <v/>
      </c>
      <c r="X311" t="str">
        <f t="shared" si="66"/>
        <v/>
      </c>
      <c r="Y311" t="str">
        <f t="shared" si="66"/>
        <v/>
      </c>
      <c r="Z311" t="str">
        <f t="shared" si="66"/>
        <v/>
      </c>
      <c r="AA311" t="str">
        <f t="shared" si="66"/>
        <v/>
      </c>
      <c r="AB311" t="str">
        <f t="shared" si="66"/>
        <v/>
      </c>
      <c r="AC311">
        <f t="shared" si="56"/>
        <v>4</v>
      </c>
    </row>
    <row r="312" spans="1:29" x14ac:dyDescent="0.35">
      <c r="A312">
        <v>307</v>
      </c>
      <c r="B312" t="s">
        <v>11</v>
      </c>
      <c r="C312" t="s">
        <v>1031</v>
      </c>
      <c r="D312" t="s">
        <v>1024</v>
      </c>
      <c r="E312" t="s">
        <v>1023</v>
      </c>
      <c r="F312" t="s">
        <v>516</v>
      </c>
      <c r="G312" t="s">
        <v>0</v>
      </c>
      <c r="H312">
        <v>1.972</v>
      </c>
      <c r="I312">
        <v>2.7149999999999999</v>
      </c>
      <c r="J312" t="s">
        <v>6</v>
      </c>
      <c r="K312" t="str">
        <f t="shared" si="65"/>
        <v/>
      </c>
      <c r="L312" t="str">
        <f t="shared" si="65"/>
        <v/>
      </c>
      <c r="M312">
        <f t="shared" si="65"/>
        <v>8</v>
      </c>
      <c r="N312" t="str">
        <f t="shared" si="65"/>
        <v/>
      </c>
      <c r="O312" t="str">
        <f t="shared" si="65"/>
        <v/>
      </c>
      <c r="P312" t="str">
        <f t="shared" si="65"/>
        <v/>
      </c>
      <c r="Q312" t="str">
        <f t="shared" si="65"/>
        <v/>
      </c>
      <c r="R312" t="str">
        <f t="shared" si="65"/>
        <v/>
      </c>
      <c r="S312" t="str">
        <f t="shared" si="65"/>
        <v/>
      </c>
      <c r="T312" t="str">
        <f t="shared" si="65"/>
        <v/>
      </c>
      <c r="U312" t="str">
        <f t="shared" si="66"/>
        <v/>
      </c>
      <c r="V312" t="str">
        <f t="shared" si="66"/>
        <v/>
      </c>
      <c r="W312" t="str">
        <f t="shared" si="66"/>
        <v/>
      </c>
      <c r="X312" t="str">
        <f t="shared" si="66"/>
        <v/>
      </c>
      <c r="Y312" t="str">
        <f t="shared" si="66"/>
        <v/>
      </c>
      <c r="Z312" t="str">
        <f t="shared" si="66"/>
        <v/>
      </c>
      <c r="AA312" t="str">
        <f t="shared" si="66"/>
        <v/>
      </c>
      <c r="AB312" t="str">
        <f t="shared" si="66"/>
        <v/>
      </c>
      <c r="AC312">
        <f t="shared" si="56"/>
        <v>8</v>
      </c>
    </row>
    <row r="313" spans="1:29" x14ac:dyDescent="0.35">
      <c r="A313">
        <v>308</v>
      </c>
      <c r="B313" t="s">
        <v>11</v>
      </c>
      <c r="C313" t="s">
        <v>1039</v>
      </c>
      <c r="D313" t="s">
        <v>1040</v>
      </c>
      <c r="E313" t="s">
        <v>1041</v>
      </c>
      <c r="F313" t="s">
        <v>889</v>
      </c>
      <c r="G313" t="s">
        <v>0</v>
      </c>
      <c r="H313">
        <v>1.974</v>
      </c>
      <c r="I313">
        <v>2.7149999999999999</v>
      </c>
      <c r="J313" t="s">
        <v>6</v>
      </c>
      <c r="K313" t="str">
        <f t="shared" si="65"/>
        <v/>
      </c>
      <c r="L313" t="str">
        <f t="shared" si="65"/>
        <v/>
      </c>
      <c r="M313">
        <f t="shared" si="65"/>
        <v>4</v>
      </c>
      <c r="N313" t="str">
        <f t="shared" si="65"/>
        <v/>
      </c>
      <c r="O313" t="str">
        <f t="shared" si="65"/>
        <v/>
      </c>
      <c r="P313" t="str">
        <f t="shared" si="65"/>
        <v/>
      </c>
      <c r="Q313" t="str">
        <f t="shared" si="65"/>
        <v/>
      </c>
      <c r="R313" t="str">
        <f t="shared" si="65"/>
        <v/>
      </c>
      <c r="S313" t="str">
        <f t="shared" si="65"/>
        <v/>
      </c>
      <c r="T313" t="str">
        <f t="shared" si="65"/>
        <v/>
      </c>
      <c r="U313" t="str">
        <f t="shared" si="66"/>
        <v/>
      </c>
      <c r="V313" t="str">
        <f t="shared" si="66"/>
        <v/>
      </c>
      <c r="W313" t="str">
        <f t="shared" si="66"/>
        <v/>
      </c>
      <c r="X313" t="str">
        <f t="shared" si="66"/>
        <v/>
      </c>
      <c r="Y313" t="str">
        <f t="shared" si="66"/>
        <v/>
      </c>
      <c r="Z313" t="str">
        <f t="shared" si="66"/>
        <v/>
      </c>
      <c r="AA313" t="str">
        <f t="shared" si="66"/>
        <v/>
      </c>
      <c r="AB313" t="str">
        <f t="shared" si="66"/>
        <v/>
      </c>
      <c r="AC313">
        <f t="shared" si="56"/>
        <v>4</v>
      </c>
    </row>
    <row r="314" spans="1:29" x14ac:dyDescent="0.35">
      <c r="A314">
        <v>309</v>
      </c>
      <c r="B314" t="s">
        <v>11</v>
      </c>
      <c r="C314" t="s">
        <v>1046</v>
      </c>
      <c r="D314" t="s">
        <v>1044</v>
      </c>
      <c r="E314" t="s">
        <v>1045</v>
      </c>
      <c r="F314" t="s">
        <v>516</v>
      </c>
      <c r="G314" t="s">
        <v>0</v>
      </c>
      <c r="H314">
        <v>1.9219999999999999</v>
      </c>
      <c r="I314">
        <v>2.7149999999999999</v>
      </c>
      <c r="J314" t="s">
        <v>6</v>
      </c>
      <c r="K314" t="str">
        <f t="shared" si="65"/>
        <v/>
      </c>
      <c r="L314" t="str">
        <f t="shared" si="65"/>
        <v/>
      </c>
      <c r="M314">
        <f t="shared" si="65"/>
        <v>4</v>
      </c>
      <c r="N314" t="str">
        <f t="shared" si="65"/>
        <v/>
      </c>
      <c r="O314" t="str">
        <f t="shared" si="65"/>
        <v/>
      </c>
      <c r="P314" t="str">
        <f t="shared" si="65"/>
        <v/>
      </c>
      <c r="Q314" t="str">
        <f t="shared" si="65"/>
        <v/>
      </c>
      <c r="R314" t="str">
        <f t="shared" si="65"/>
        <v/>
      </c>
      <c r="S314" t="str">
        <f t="shared" si="65"/>
        <v/>
      </c>
      <c r="T314" t="str">
        <f t="shared" si="65"/>
        <v/>
      </c>
      <c r="U314" t="str">
        <f t="shared" si="66"/>
        <v/>
      </c>
      <c r="V314" t="str">
        <f t="shared" si="66"/>
        <v/>
      </c>
      <c r="W314" t="str">
        <f t="shared" si="66"/>
        <v/>
      </c>
      <c r="X314" t="str">
        <f t="shared" si="66"/>
        <v/>
      </c>
      <c r="Y314" t="str">
        <f t="shared" si="66"/>
        <v/>
      </c>
      <c r="Z314" t="str">
        <f t="shared" si="66"/>
        <v/>
      </c>
      <c r="AA314" t="str">
        <f t="shared" si="66"/>
        <v/>
      </c>
      <c r="AB314" t="str">
        <f t="shared" si="66"/>
        <v/>
      </c>
      <c r="AC314">
        <f t="shared" si="56"/>
        <v>4</v>
      </c>
    </row>
    <row r="315" spans="1:29" x14ac:dyDescent="0.35">
      <c r="A315">
        <v>310</v>
      </c>
      <c r="B315" t="s">
        <v>11</v>
      </c>
      <c r="C315" t="s">
        <v>1046</v>
      </c>
      <c r="D315" t="s">
        <v>1059</v>
      </c>
      <c r="E315" t="s">
        <v>1058</v>
      </c>
      <c r="F315" t="s">
        <v>673</v>
      </c>
      <c r="G315" t="s">
        <v>0</v>
      </c>
      <c r="H315">
        <v>2.0459999999999998</v>
      </c>
      <c r="I315">
        <v>2.7149999999999999</v>
      </c>
      <c r="J315" t="s">
        <v>6</v>
      </c>
      <c r="K315" t="str">
        <f t="shared" si="65"/>
        <v/>
      </c>
      <c r="L315" t="str">
        <f t="shared" si="65"/>
        <v/>
      </c>
      <c r="M315">
        <f t="shared" si="65"/>
        <v>4</v>
      </c>
      <c r="N315" t="str">
        <f t="shared" si="65"/>
        <v/>
      </c>
      <c r="O315" t="str">
        <f t="shared" si="65"/>
        <v/>
      </c>
      <c r="P315" t="str">
        <f t="shared" si="65"/>
        <v/>
      </c>
      <c r="Q315" t="str">
        <f t="shared" si="65"/>
        <v/>
      </c>
      <c r="R315" t="str">
        <f t="shared" si="65"/>
        <v/>
      </c>
      <c r="S315" t="str">
        <f t="shared" si="65"/>
        <v/>
      </c>
      <c r="T315" t="str">
        <f t="shared" si="65"/>
        <v/>
      </c>
      <c r="U315" t="str">
        <f t="shared" si="66"/>
        <v/>
      </c>
      <c r="V315" t="str">
        <f t="shared" si="66"/>
        <v/>
      </c>
      <c r="W315" t="str">
        <f t="shared" si="66"/>
        <v/>
      </c>
      <c r="X315" t="str">
        <f t="shared" si="66"/>
        <v/>
      </c>
      <c r="Y315" t="str">
        <f t="shared" si="66"/>
        <v/>
      </c>
      <c r="Z315" t="str">
        <f t="shared" si="66"/>
        <v/>
      </c>
      <c r="AA315" t="str">
        <f t="shared" si="66"/>
        <v/>
      </c>
      <c r="AB315" t="str">
        <f t="shared" si="66"/>
        <v/>
      </c>
      <c r="AC315">
        <f t="shared" si="56"/>
        <v>4</v>
      </c>
    </row>
    <row r="316" spans="1:29" x14ac:dyDescent="0.35">
      <c r="A316">
        <v>311</v>
      </c>
      <c r="B316" t="s">
        <v>11</v>
      </c>
      <c r="C316" t="s">
        <v>1077</v>
      </c>
      <c r="D316" t="s">
        <v>1076</v>
      </c>
      <c r="E316" t="s">
        <v>1075</v>
      </c>
      <c r="F316" t="s">
        <v>1017</v>
      </c>
      <c r="G316" t="s">
        <v>0</v>
      </c>
      <c r="H316">
        <v>1.9490000000000001</v>
      </c>
      <c r="I316">
        <v>2.7149999999999999</v>
      </c>
      <c r="J316" t="s">
        <v>6</v>
      </c>
      <c r="K316" t="str">
        <f t="shared" ref="K316:T325" si="67">IFERROR(IFERROR(IF(K$5=$K$1,VLOOKUP($A316,dormitorios,2,0),IF(K$5=$L$1,VLOOKUP($A316,comedor,2,0),IF(K$5=$M$1,VLOOKUP($A316,alojamiento,2,0),IF(K$5=$N$1,VLOOKUP($A316,sanidad,2,0),IF(K$5=$O$1,VLOOKUP($A316,servicios,2,0),IF(K$5=$P$1,VLOOKUP($A316,comyaloj,2,0),IF(K$5=$Q$1,VLOOKUP($A316,comandancia,2,0),IF(K$5=$R$1,VLOOKUP($A316,mantenimiento,2,0),IF(K$5=$S$1,VLOOKUP($A316,serestatal,2,0),IF(K$5=$T$1,VLOOKUP($A316,conferencias,2,0),"")))))))))),"")*K$3,"")</f>
        <v/>
      </c>
      <c r="L316" t="str">
        <f t="shared" si="67"/>
        <v/>
      </c>
      <c r="M316" t="str">
        <f t="shared" si="67"/>
        <v/>
      </c>
      <c r="N316" t="str">
        <f t="shared" si="67"/>
        <v/>
      </c>
      <c r="O316" t="str">
        <f t="shared" si="67"/>
        <v/>
      </c>
      <c r="P316" t="str">
        <f t="shared" si="67"/>
        <v/>
      </c>
      <c r="Q316" t="str">
        <f t="shared" si="67"/>
        <v/>
      </c>
      <c r="R316" t="str">
        <f t="shared" si="67"/>
        <v/>
      </c>
      <c r="S316" t="str">
        <f t="shared" si="67"/>
        <v/>
      </c>
      <c r="T316" t="str">
        <f t="shared" si="67"/>
        <v/>
      </c>
      <c r="U316" t="str">
        <f t="shared" ref="U316:AB325" si="68">IFERROR(IFERROR(IF(U$5=$K$1,VLOOKUP($A316,dormitorios,2,0),IF(U$5=$L$1,VLOOKUP($A316,comedor,2,0),IF(U$5=$M$1,VLOOKUP($A316,alojamiento,2,0),IF(U$5=$N$1,VLOOKUP($A316,sanidad,2,0),IF(U$5=$O$1,VLOOKUP($A316,servicios,2,0),IF(U$5=$P$1,VLOOKUP($A316,comyaloj,2,0),IF(U$5=$Q$1,VLOOKUP($A316,comandancia,2,0),IF(U$5=$R$1,VLOOKUP($A316,mantenimiento,2,0),IF(U$5=$S$1,VLOOKUP($A316,serestatal,2,0),IF(U$5=$T$1,VLOOKUP($A316,conferencias,2,0),"")))))))))),"")*U$3,"")</f>
        <v/>
      </c>
      <c r="V316" t="str">
        <f t="shared" si="68"/>
        <v/>
      </c>
      <c r="W316" t="str">
        <f t="shared" si="68"/>
        <v/>
      </c>
      <c r="X316" t="str">
        <f t="shared" si="68"/>
        <v/>
      </c>
      <c r="Y316" t="str">
        <f t="shared" si="68"/>
        <v/>
      </c>
      <c r="Z316" t="str">
        <f t="shared" si="68"/>
        <v/>
      </c>
      <c r="AA316" t="str">
        <f t="shared" si="68"/>
        <v/>
      </c>
      <c r="AB316" t="str">
        <f t="shared" si="68"/>
        <v/>
      </c>
      <c r="AC316">
        <f t="shared" si="56"/>
        <v>0</v>
      </c>
    </row>
    <row r="317" spans="1:29" x14ac:dyDescent="0.35">
      <c r="A317">
        <v>312</v>
      </c>
      <c r="B317" t="s">
        <v>11</v>
      </c>
      <c r="C317" t="s">
        <v>1080</v>
      </c>
      <c r="D317" t="s">
        <v>1078</v>
      </c>
      <c r="E317" t="s">
        <v>1079</v>
      </c>
      <c r="F317" t="s">
        <v>889</v>
      </c>
      <c r="G317" t="s">
        <v>0</v>
      </c>
      <c r="H317">
        <v>2.02</v>
      </c>
      <c r="I317">
        <v>2.7149999999999999</v>
      </c>
      <c r="J317" t="s">
        <v>6</v>
      </c>
      <c r="K317" t="str">
        <f t="shared" si="67"/>
        <v/>
      </c>
      <c r="L317" t="str">
        <f t="shared" si="67"/>
        <v/>
      </c>
      <c r="M317" t="str">
        <f t="shared" si="67"/>
        <v/>
      </c>
      <c r="N317" t="str">
        <f t="shared" si="67"/>
        <v/>
      </c>
      <c r="O317" t="str">
        <f t="shared" si="67"/>
        <v/>
      </c>
      <c r="P317" t="str">
        <f t="shared" si="67"/>
        <v/>
      </c>
      <c r="Q317" t="str">
        <f t="shared" si="67"/>
        <v/>
      </c>
      <c r="R317" t="str">
        <f t="shared" si="67"/>
        <v/>
      </c>
      <c r="S317" t="str">
        <f t="shared" si="67"/>
        <v/>
      </c>
      <c r="T317" t="str">
        <f t="shared" si="67"/>
        <v/>
      </c>
      <c r="U317" t="str">
        <f t="shared" si="68"/>
        <v/>
      </c>
      <c r="V317" t="str">
        <f t="shared" si="68"/>
        <v/>
      </c>
      <c r="W317" t="str">
        <f t="shared" si="68"/>
        <v/>
      </c>
      <c r="X317" t="str">
        <f t="shared" si="68"/>
        <v/>
      </c>
      <c r="Y317" t="str">
        <f t="shared" si="68"/>
        <v/>
      </c>
      <c r="Z317" t="str">
        <f t="shared" si="68"/>
        <v/>
      </c>
      <c r="AA317" t="str">
        <f t="shared" si="68"/>
        <v/>
      </c>
      <c r="AB317" t="str">
        <f t="shared" si="68"/>
        <v/>
      </c>
      <c r="AC317">
        <f t="shared" si="56"/>
        <v>0</v>
      </c>
    </row>
    <row r="318" spans="1:29" x14ac:dyDescent="0.35">
      <c r="A318">
        <v>313</v>
      </c>
      <c r="B318" t="s">
        <v>11</v>
      </c>
      <c r="C318" t="s">
        <v>1082</v>
      </c>
      <c r="D318" t="s">
        <v>1081</v>
      </c>
      <c r="E318" t="s">
        <v>998</v>
      </c>
      <c r="F318" t="s">
        <v>889</v>
      </c>
      <c r="G318" t="s">
        <v>0</v>
      </c>
      <c r="H318">
        <v>2.02</v>
      </c>
      <c r="I318">
        <v>2.7149999999999999</v>
      </c>
      <c r="J318" t="s">
        <v>6</v>
      </c>
      <c r="K318" t="str">
        <f t="shared" si="67"/>
        <v/>
      </c>
      <c r="L318" t="str">
        <f t="shared" si="67"/>
        <v/>
      </c>
      <c r="M318" t="str">
        <f t="shared" si="67"/>
        <v/>
      </c>
      <c r="N318" t="str">
        <f t="shared" si="67"/>
        <v/>
      </c>
      <c r="O318" t="str">
        <f t="shared" si="67"/>
        <v/>
      </c>
      <c r="P318" t="str">
        <f t="shared" si="67"/>
        <v/>
      </c>
      <c r="Q318" t="str">
        <f t="shared" si="67"/>
        <v/>
      </c>
      <c r="R318" t="str">
        <f t="shared" si="67"/>
        <v/>
      </c>
      <c r="S318" t="str">
        <f t="shared" si="67"/>
        <v/>
      </c>
      <c r="T318" t="str">
        <f t="shared" si="67"/>
        <v/>
      </c>
      <c r="U318" t="str">
        <f t="shared" si="68"/>
        <v/>
      </c>
      <c r="V318" t="str">
        <f t="shared" si="68"/>
        <v/>
      </c>
      <c r="W318" t="str">
        <f t="shared" si="68"/>
        <v/>
      </c>
      <c r="X318" t="str">
        <f t="shared" si="68"/>
        <v/>
      </c>
      <c r="Y318" t="str">
        <f t="shared" si="68"/>
        <v/>
      </c>
      <c r="Z318" t="str">
        <f t="shared" si="68"/>
        <v/>
      </c>
      <c r="AA318" t="str">
        <f t="shared" si="68"/>
        <v/>
      </c>
      <c r="AB318" t="str">
        <f t="shared" si="68"/>
        <v/>
      </c>
      <c r="AC318">
        <f t="shared" si="56"/>
        <v>0</v>
      </c>
    </row>
    <row r="319" spans="1:29" x14ac:dyDescent="0.35">
      <c r="A319">
        <v>314</v>
      </c>
      <c r="B319" t="s">
        <v>11</v>
      </c>
      <c r="C319" t="s">
        <v>1085</v>
      </c>
      <c r="D319" t="s">
        <v>1083</v>
      </c>
      <c r="E319" t="s">
        <v>1084</v>
      </c>
      <c r="F319" t="s">
        <v>889</v>
      </c>
      <c r="G319" t="s">
        <v>0</v>
      </c>
      <c r="H319">
        <v>2.02</v>
      </c>
      <c r="I319">
        <v>2.7149999999999999</v>
      </c>
      <c r="J319" t="s">
        <v>6</v>
      </c>
      <c r="K319">
        <f t="shared" si="67"/>
        <v>3</v>
      </c>
      <c r="L319" t="str">
        <f t="shared" si="67"/>
        <v/>
      </c>
      <c r="M319" t="str">
        <f t="shared" si="67"/>
        <v/>
      </c>
      <c r="N319" t="str">
        <f t="shared" si="67"/>
        <v/>
      </c>
      <c r="O319" t="str">
        <f t="shared" si="67"/>
        <v/>
      </c>
      <c r="P319" t="str">
        <f t="shared" si="67"/>
        <v/>
      </c>
      <c r="Q319" t="str">
        <f t="shared" si="67"/>
        <v/>
      </c>
      <c r="R319" t="str">
        <f t="shared" si="67"/>
        <v/>
      </c>
      <c r="S319" t="str">
        <f t="shared" si="67"/>
        <v/>
      </c>
      <c r="T319" t="str">
        <f t="shared" si="67"/>
        <v/>
      </c>
      <c r="U319" t="str">
        <f t="shared" si="68"/>
        <v/>
      </c>
      <c r="V319" t="str">
        <f t="shared" si="68"/>
        <v/>
      </c>
      <c r="W319" t="str">
        <f t="shared" si="68"/>
        <v/>
      </c>
      <c r="X319" t="str">
        <f t="shared" si="68"/>
        <v/>
      </c>
      <c r="Y319" t="str">
        <f t="shared" si="68"/>
        <v/>
      </c>
      <c r="Z319" t="str">
        <f t="shared" si="68"/>
        <v/>
      </c>
      <c r="AA319" t="str">
        <f t="shared" si="68"/>
        <v/>
      </c>
      <c r="AB319" t="str">
        <f t="shared" si="68"/>
        <v/>
      </c>
      <c r="AC319">
        <f t="shared" si="56"/>
        <v>3</v>
      </c>
    </row>
    <row r="320" spans="1:29" x14ac:dyDescent="0.35">
      <c r="A320">
        <v>315</v>
      </c>
      <c r="B320" t="s">
        <v>11</v>
      </c>
      <c r="C320" t="s">
        <v>1087</v>
      </c>
      <c r="D320" t="s">
        <v>1086</v>
      </c>
      <c r="E320" t="s">
        <v>1071</v>
      </c>
      <c r="F320" t="s">
        <v>889</v>
      </c>
      <c r="G320" t="s">
        <v>0</v>
      </c>
      <c r="H320">
        <v>1.968</v>
      </c>
      <c r="I320">
        <v>2.7149999999999999</v>
      </c>
      <c r="J320" t="s">
        <v>6</v>
      </c>
      <c r="K320" t="str">
        <f t="shared" si="67"/>
        <v/>
      </c>
      <c r="L320" t="str">
        <f t="shared" si="67"/>
        <v/>
      </c>
      <c r="M320" t="str">
        <f t="shared" si="67"/>
        <v/>
      </c>
      <c r="N320" t="str">
        <f t="shared" si="67"/>
        <v/>
      </c>
      <c r="O320" t="str">
        <f t="shared" si="67"/>
        <v/>
      </c>
      <c r="P320" t="str">
        <f t="shared" si="67"/>
        <v/>
      </c>
      <c r="Q320" t="str">
        <f t="shared" si="67"/>
        <v/>
      </c>
      <c r="R320" t="str">
        <f t="shared" si="67"/>
        <v/>
      </c>
      <c r="S320" t="str">
        <f t="shared" si="67"/>
        <v/>
      </c>
      <c r="T320" t="str">
        <f t="shared" si="67"/>
        <v/>
      </c>
      <c r="U320" t="str">
        <f t="shared" si="68"/>
        <v/>
      </c>
      <c r="V320" t="str">
        <f t="shared" si="68"/>
        <v/>
      </c>
      <c r="W320" t="str">
        <f t="shared" si="68"/>
        <v/>
      </c>
      <c r="X320" t="str">
        <f t="shared" si="68"/>
        <v/>
      </c>
      <c r="Y320" t="str">
        <f t="shared" si="68"/>
        <v/>
      </c>
      <c r="Z320" t="str">
        <f t="shared" si="68"/>
        <v/>
      </c>
      <c r="AA320" t="str">
        <f t="shared" si="68"/>
        <v/>
      </c>
      <c r="AB320" t="str">
        <f t="shared" si="68"/>
        <v/>
      </c>
      <c r="AC320">
        <f t="shared" si="56"/>
        <v>0</v>
      </c>
    </row>
    <row r="321" spans="1:29" x14ac:dyDescent="0.35">
      <c r="A321">
        <v>316</v>
      </c>
      <c r="B321" t="s">
        <v>11</v>
      </c>
      <c r="C321" t="s">
        <v>1088</v>
      </c>
      <c r="D321" t="s">
        <v>1089</v>
      </c>
      <c r="E321" t="s">
        <v>1070</v>
      </c>
      <c r="F321" t="s">
        <v>889</v>
      </c>
      <c r="G321" t="s">
        <v>0</v>
      </c>
      <c r="H321">
        <v>1.9159999999999999</v>
      </c>
      <c r="I321">
        <v>2.7149999999999999</v>
      </c>
      <c r="J321" t="s">
        <v>6</v>
      </c>
      <c r="K321" t="str">
        <f t="shared" si="67"/>
        <v/>
      </c>
      <c r="L321" t="str">
        <f t="shared" si="67"/>
        <v/>
      </c>
      <c r="M321" t="str">
        <f t="shared" si="67"/>
        <v/>
      </c>
      <c r="N321" t="str">
        <f t="shared" si="67"/>
        <v/>
      </c>
      <c r="O321" t="str">
        <f t="shared" si="67"/>
        <v/>
      </c>
      <c r="P321" t="str">
        <f t="shared" si="67"/>
        <v/>
      </c>
      <c r="Q321" t="str">
        <f t="shared" si="67"/>
        <v/>
      </c>
      <c r="R321" t="str">
        <f t="shared" si="67"/>
        <v/>
      </c>
      <c r="S321" t="str">
        <f t="shared" si="67"/>
        <v/>
      </c>
      <c r="T321" t="str">
        <f t="shared" si="67"/>
        <v/>
      </c>
      <c r="U321" t="str">
        <f t="shared" si="68"/>
        <v/>
      </c>
      <c r="V321" t="str">
        <f t="shared" si="68"/>
        <v/>
      </c>
      <c r="W321" t="str">
        <f t="shared" si="68"/>
        <v/>
      </c>
      <c r="X321" t="str">
        <f t="shared" si="68"/>
        <v/>
      </c>
      <c r="Y321" t="str">
        <f t="shared" si="68"/>
        <v/>
      </c>
      <c r="Z321" t="str">
        <f t="shared" si="68"/>
        <v/>
      </c>
      <c r="AA321" t="str">
        <f t="shared" si="68"/>
        <v/>
      </c>
      <c r="AB321" t="str">
        <f t="shared" si="68"/>
        <v/>
      </c>
      <c r="AC321">
        <f t="shared" si="56"/>
        <v>0</v>
      </c>
    </row>
    <row r="322" spans="1:29" x14ac:dyDescent="0.35">
      <c r="A322">
        <v>317</v>
      </c>
      <c r="B322" t="s">
        <v>11</v>
      </c>
      <c r="C322" t="s">
        <v>1090</v>
      </c>
      <c r="D322" t="s">
        <v>1091</v>
      </c>
      <c r="E322" t="s">
        <v>1071</v>
      </c>
      <c r="F322" t="s">
        <v>889</v>
      </c>
      <c r="G322" t="s">
        <v>0</v>
      </c>
      <c r="H322">
        <v>1.07</v>
      </c>
      <c r="I322">
        <v>2.7149999999999999</v>
      </c>
      <c r="J322" t="s">
        <v>6</v>
      </c>
      <c r="K322" t="str">
        <f t="shared" si="67"/>
        <v/>
      </c>
      <c r="L322" t="str">
        <f t="shared" si="67"/>
        <v/>
      </c>
      <c r="M322" t="str">
        <f t="shared" si="67"/>
        <v/>
      </c>
      <c r="N322" t="str">
        <f t="shared" si="67"/>
        <v/>
      </c>
      <c r="O322" t="str">
        <f t="shared" si="67"/>
        <v/>
      </c>
      <c r="P322" t="str">
        <f t="shared" si="67"/>
        <v/>
      </c>
      <c r="Q322" t="str">
        <f t="shared" si="67"/>
        <v/>
      </c>
      <c r="R322" t="str">
        <f t="shared" si="67"/>
        <v/>
      </c>
      <c r="S322" t="str">
        <f t="shared" si="67"/>
        <v/>
      </c>
      <c r="T322" t="str">
        <f t="shared" si="67"/>
        <v/>
      </c>
      <c r="U322" t="str">
        <f t="shared" si="68"/>
        <v/>
      </c>
      <c r="V322" t="str">
        <f t="shared" si="68"/>
        <v/>
      </c>
      <c r="W322" t="str">
        <f t="shared" si="68"/>
        <v/>
      </c>
      <c r="X322" t="str">
        <f t="shared" si="68"/>
        <v/>
      </c>
      <c r="Y322" t="str">
        <f t="shared" si="68"/>
        <v/>
      </c>
      <c r="Z322" t="str">
        <f t="shared" si="68"/>
        <v/>
      </c>
      <c r="AA322" t="str">
        <f t="shared" si="68"/>
        <v/>
      </c>
      <c r="AB322" t="str">
        <f t="shared" si="68"/>
        <v/>
      </c>
      <c r="AC322">
        <f t="shared" si="56"/>
        <v>0</v>
      </c>
    </row>
    <row r="323" spans="1:29" x14ac:dyDescent="0.35">
      <c r="A323">
        <v>318</v>
      </c>
      <c r="B323" t="s">
        <v>11</v>
      </c>
      <c r="C323" t="s">
        <v>1092</v>
      </c>
      <c r="D323" t="s">
        <v>1093</v>
      </c>
      <c r="E323" t="s">
        <v>1070</v>
      </c>
      <c r="F323" t="s">
        <v>889</v>
      </c>
      <c r="G323" t="s">
        <v>0</v>
      </c>
      <c r="H323">
        <v>2.09</v>
      </c>
      <c r="I323">
        <v>2.7149999999999999</v>
      </c>
      <c r="J323" t="s">
        <v>6</v>
      </c>
      <c r="K323" t="str">
        <f t="shared" si="67"/>
        <v/>
      </c>
      <c r="L323" t="str">
        <f t="shared" si="67"/>
        <v/>
      </c>
      <c r="M323" t="str">
        <f t="shared" si="67"/>
        <v/>
      </c>
      <c r="N323" t="str">
        <f t="shared" si="67"/>
        <v/>
      </c>
      <c r="O323" t="str">
        <f t="shared" si="67"/>
        <v/>
      </c>
      <c r="P323" t="str">
        <f t="shared" si="67"/>
        <v/>
      </c>
      <c r="Q323" t="str">
        <f t="shared" si="67"/>
        <v/>
      </c>
      <c r="R323" t="str">
        <f t="shared" si="67"/>
        <v/>
      </c>
      <c r="S323" t="str">
        <f t="shared" si="67"/>
        <v/>
      </c>
      <c r="T323" t="str">
        <f t="shared" si="67"/>
        <v/>
      </c>
      <c r="U323" t="str">
        <f t="shared" si="68"/>
        <v/>
      </c>
      <c r="V323" t="str">
        <f t="shared" si="68"/>
        <v/>
      </c>
      <c r="W323" t="str">
        <f t="shared" si="68"/>
        <v/>
      </c>
      <c r="X323" t="str">
        <f t="shared" si="68"/>
        <v/>
      </c>
      <c r="Y323" t="str">
        <f t="shared" si="68"/>
        <v/>
      </c>
      <c r="Z323" t="str">
        <f t="shared" si="68"/>
        <v/>
      </c>
      <c r="AA323" t="str">
        <f t="shared" si="68"/>
        <v/>
      </c>
      <c r="AB323" t="str">
        <f t="shared" si="68"/>
        <v/>
      </c>
      <c r="AC323">
        <f t="shared" si="56"/>
        <v>0</v>
      </c>
    </row>
    <row r="324" spans="1:29" x14ac:dyDescent="0.35">
      <c r="A324">
        <v>319</v>
      </c>
      <c r="B324" t="s">
        <v>11</v>
      </c>
      <c r="C324" t="s">
        <v>1094</v>
      </c>
      <c r="D324" t="s">
        <v>1095</v>
      </c>
      <c r="E324" t="s">
        <v>1071</v>
      </c>
      <c r="F324" t="s">
        <v>889</v>
      </c>
      <c r="G324" t="s">
        <v>0</v>
      </c>
      <c r="H324">
        <v>2.0419999999999998</v>
      </c>
      <c r="I324">
        <v>2.7149999999999999</v>
      </c>
      <c r="J324" t="s">
        <v>6</v>
      </c>
      <c r="K324" t="str">
        <f t="shared" si="67"/>
        <v/>
      </c>
      <c r="L324" t="str">
        <f t="shared" si="67"/>
        <v/>
      </c>
      <c r="M324" t="str">
        <f t="shared" si="67"/>
        <v/>
      </c>
      <c r="N324" t="str">
        <f t="shared" si="67"/>
        <v/>
      </c>
      <c r="O324" t="str">
        <f t="shared" si="67"/>
        <v/>
      </c>
      <c r="P324" t="str">
        <f t="shared" si="67"/>
        <v/>
      </c>
      <c r="Q324" t="str">
        <f t="shared" si="67"/>
        <v/>
      </c>
      <c r="R324" t="str">
        <f t="shared" si="67"/>
        <v/>
      </c>
      <c r="S324" t="str">
        <f t="shared" si="67"/>
        <v/>
      </c>
      <c r="T324" t="str">
        <f t="shared" si="67"/>
        <v/>
      </c>
      <c r="U324" t="str">
        <f t="shared" si="68"/>
        <v/>
      </c>
      <c r="V324" t="str">
        <f t="shared" si="68"/>
        <v/>
      </c>
      <c r="W324" t="str">
        <f t="shared" si="68"/>
        <v/>
      </c>
      <c r="X324" t="str">
        <f t="shared" si="68"/>
        <v/>
      </c>
      <c r="Y324" t="str">
        <f t="shared" si="68"/>
        <v/>
      </c>
      <c r="Z324" t="str">
        <f t="shared" si="68"/>
        <v/>
      </c>
      <c r="AA324" t="str">
        <f t="shared" si="68"/>
        <v/>
      </c>
      <c r="AB324" t="str">
        <f t="shared" si="68"/>
        <v/>
      </c>
      <c r="AC324">
        <f t="shared" si="56"/>
        <v>0</v>
      </c>
    </row>
    <row r="325" spans="1:29" x14ac:dyDescent="0.35">
      <c r="A325">
        <v>320</v>
      </c>
      <c r="B325" t="s">
        <v>11</v>
      </c>
      <c r="C325" t="s">
        <v>1096</v>
      </c>
      <c r="D325" t="s">
        <v>1097</v>
      </c>
      <c r="E325" t="s">
        <v>1061</v>
      </c>
      <c r="F325" t="s">
        <v>1017</v>
      </c>
      <c r="G325" t="s">
        <v>0</v>
      </c>
      <c r="H325">
        <v>2.0369999999999999</v>
      </c>
      <c r="I325">
        <v>2.7149999999999999</v>
      </c>
      <c r="J325" t="s">
        <v>6</v>
      </c>
      <c r="K325" t="str">
        <f t="shared" si="67"/>
        <v/>
      </c>
      <c r="L325" t="str">
        <f t="shared" si="67"/>
        <v/>
      </c>
      <c r="M325" t="str">
        <f t="shared" si="67"/>
        <v/>
      </c>
      <c r="N325" t="str">
        <f t="shared" si="67"/>
        <v/>
      </c>
      <c r="O325" t="str">
        <f t="shared" si="67"/>
        <v/>
      </c>
      <c r="P325" t="str">
        <f t="shared" si="67"/>
        <v/>
      </c>
      <c r="Q325" t="str">
        <f t="shared" si="67"/>
        <v/>
      </c>
      <c r="R325" t="str">
        <f t="shared" si="67"/>
        <v/>
      </c>
      <c r="S325" t="str">
        <f t="shared" si="67"/>
        <v/>
      </c>
      <c r="T325" t="str">
        <f t="shared" si="67"/>
        <v/>
      </c>
      <c r="U325" t="str">
        <f t="shared" si="68"/>
        <v/>
      </c>
      <c r="V325" t="str">
        <f t="shared" si="68"/>
        <v/>
      </c>
      <c r="W325" t="str">
        <f t="shared" si="68"/>
        <v/>
      </c>
      <c r="X325" t="str">
        <f t="shared" si="68"/>
        <v/>
      </c>
      <c r="Y325" t="str">
        <f t="shared" si="68"/>
        <v/>
      </c>
      <c r="Z325" t="str">
        <f t="shared" si="68"/>
        <v/>
      </c>
      <c r="AA325" t="str">
        <f t="shared" si="68"/>
        <v/>
      </c>
      <c r="AB325" t="str">
        <f t="shared" si="68"/>
        <v/>
      </c>
      <c r="AC325">
        <f t="shared" si="56"/>
        <v>0</v>
      </c>
    </row>
    <row r="326" spans="1:29" x14ac:dyDescent="0.35">
      <c r="A326">
        <v>321</v>
      </c>
      <c r="B326" t="s">
        <v>11</v>
      </c>
      <c r="C326" t="s">
        <v>1105</v>
      </c>
      <c r="D326" t="s">
        <v>1104</v>
      </c>
      <c r="E326" t="s">
        <v>1103</v>
      </c>
      <c r="F326" t="s">
        <v>1017</v>
      </c>
      <c r="G326" t="s">
        <v>2</v>
      </c>
      <c r="H326">
        <v>1.974</v>
      </c>
      <c r="I326">
        <v>2.7149999999999999</v>
      </c>
      <c r="J326" t="s">
        <v>6</v>
      </c>
      <c r="K326" t="str">
        <f t="shared" ref="K326:T335" si="69">IFERROR(IFERROR(IF(K$5=$K$1,VLOOKUP($A326,dormitorios,2,0),IF(K$5=$L$1,VLOOKUP($A326,comedor,2,0),IF(K$5=$M$1,VLOOKUP($A326,alojamiento,2,0),IF(K$5=$N$1,VLOOKUP($A326,sanidad,2,0),IF(K$5=$O$1,VLOOKUP($A326,servicios,2,0),IF(K$5=$P$1,VLOOKUP($A326,comyaloj,2,0),IF(K$5=$Q$1,VLOOKUP($A326,comandancia,2,0),IF(K$5=$R$1,VLOOKUP($A326,mantenimiento,2,0),IF(K$5=$S$1,VLOOKUP($A326,serestatal,2,0),IF(K$5=$T$1,VLOOKUP($A326,conferencias,2,0),"")))))))))),"")*K$3,"")</f>
        <v/>
      </c>
      <c r="L326">
        <f t="shared" si="69"/>
        <v>6</v>
      </c>
      <c r="M326" t="str">
        <f t="shared" si="69"/>
        <v/>
      </c>
      <c r="N326" t="str">
        <f t="shared" si="69"/>
        <v/>
      </c>
      <c r="O326" t="str">
        <f t="shared" si="69"/>
        <v/>
      </c>
      <c r="P326" t="str">
        <f t="shared" si="69"/>
        <v/>
      </c>
      <c r="Q326" t="str">
        <f t="shared" si="69"/>
        <v/>
      </c>
      <c r="R326" t="str">
        <f t="shared" si="69"/>
        <v/>
      </c>
      <c r="S326" t="str">
        <f t="shared" si="69"/>
        <v/>
      </c>
      <c r="T326" t="str">
        <f t="shared" si="69"/>
        <v/>
      </c>
      <c r="U326" t="str">
        <f t="shared" ref="U326:AB335" si="70">IFERROR(IFERROR(IF(U$5=$K$1,VLOOKUP($A326,dormitorios,2,0),IF(U$5=$L$1,VLOOKUP($A326,comedor,2,0),IF(U$5=$M$1,VLOOKUP($A326,alojamiento,2,0),IF(U$5=$N$1,VLOOKUP($A326,sanidad,2,0),IF(U$5=$O$1,VLOOKUP($A326,servicios,2,0),IF(U$5=$P$1,VLOOKUP($A326,comyaloj,2,0),IF(U$5=$Q$1,VLOOKUP($A326,comandancia,2,0),IF(U$5=$R$1,VLOOKUP($A326,mantenimiento,2,0),IF(U$5=$S$1,VLOOKUP($A326,serestatal,2,0),IF(U$5=$T$1,VLOOKUP($A326,conferencias,2,0),"")))))))))),"")*U$3,"")</f>
        <v/>
      </c>
      <c r="V326" t="str">
        <f t="shared" si="70"/>
        <v/>
      </c>
      <c r="W326" t="str">
        <f t="shared" si="70"/>
        <v/>
      </c>
      <c r="X326" t="str">
        <f t="shared" si="70"/>
        <v/>
      </c>
      <c r="Y326" t="str">
        <f t="shared" si="70"/>
        <v/>
      </c>
      <c r="Z326" t="str">
        <f t="shared" si="70"/>
        <v/>
      </c>
      <c r="AA326" t="str">
        <f t="shared" si="70"/>
        <v/>
      </c>
      <c r="AB326" t="str">
        <f t="shared" si="70"/>
        <v/>
      </c>
      <c r="AC326">
        <f t="shared" ref="AC326:AC389" si="71">SUM(K326:AB326)</f>
        <v>6</v>
      </c>
    </row>
    <row r="327" spans="1:29" x14ac:dyDescent="0.35">
      <c r="A327">
        <v>322</v>
      </c>
      <c r="B327" t="s">
        <v>11</v>
      </c>
      <c r="C327" t="s">
        <v>1111</v>
      </c>
      <c r="D327" t="s">
        <v>1112</v>
      </c>
      <c r="E327" t="s">
        <v>1113</v>
      </c>
      <c r="F327" t="s">
        <v>673</v>
      </c>
      <c r="G327" t="s">
        <v>2</v>
      </c>
      <c r="H327">
        <v>1.597</v>
      </c>
      <c r="I327">
        <v>2.7149999999999999</v>
      </c>
      <c r="J327" t="s">
        <v>6</v>
      </c>
      <c r="K327" t="str">
        <f t="shared" si="69"/>
        <v/>
      </c>
      <c r="L327">
        <f t="shared" si="69"/>
        <v>6</v>
      </c>
      <c r="M327" t="str">
        <f t="shared" si="69"/>
        <v/>
      </c>
      <c r="N327" t="str">
        <f t="shared" si="69"/>
        <v/>
      </c>
      <c r="O327" t="str">
        <f t="shared" si="69"/>
        <v/>
      </c>
      <c r="P327" t="str">
        <f t="shared" si="69"/>
        <v/>
      </c>
      <c r="Q327" t="str">
        <f t="shared" si="69"/>
        <v/>
      </c>
      <c r="R327" t="str">
        <f t="shared" si="69"/>
        <v/>
      </c>
      <c r="S327" t="str">
        <f t="shared" si="69"/>
        <v/>
      </c>
      <c r="T327" t="str">
        <f t="shared" si="69"/>
        <v/>
      </c>
      <c r="U327" t="str">
        <f t="shared" si="70"/>
        <v/>
      </c>
      <c r="V327" t="str">
        <f t="shared" si="70"/>
        <v/>
      </c>
      <c r="W327" t="str">
        <f t="shared" si="70"/>
        <v/>
      </c>
      <c r="X327" t="str">
        <f t="shared" si="70"/>
        <v/>
      </c>
      <c r="Y327" t="str">
        <f t="shared" si="70"/>
        <v/>
      </c>
      <c r="Z327" t="str">
        <f t="shared" si="70"/>
        <v/>
      </c>
      <c r="AA327" t="str">
        <f t="shared" si="70"/>
        <v/>
      </c>
      <c r="AB327" t="str">
        <f t="shared" si="70"/>
        <v/>
      </c>
      <c r="AC327">
        <f t="shared" si="71"/>
        <v>6</v>
      </c>
    </row>
    <row r="328" spans="1:29" x14ac:dyDescent="0.35">
      <c r="A328">
        <v>323</v>
      </c>
      <c r="B328" t="s">
        <v>11</v>
      </c>
      <c r="C328" t="s">
        <v>1151</v>
      </c>
      <c r="D328" t="s">
        <v>1152</v>
      </c>
      <c r="E328" t="s">
        <v>1071</v>
      </c>
      <c r="F328" t="s">
        <v>889</v>
      </c>
      <c r="G328" t="s">
        <v>0</v>
      </c>
      <c r="H328">
        <v>2.1</v>
      </c>
      <c r="I328">
        <v>2.7149999999999999</v>
      </c>
      <c r="J328" t="s">
        <v>6</v>
      </c>
      <c r="K328" t="str">
        <f t="shared" si="69"/>
        <v/>
      </c>
      <c r="L328" t="str">
        <f t="shared" si="69"/>
        <v/>
      </c>
      <c r="M328" t="str">
        <f t="shared" si="69"/>
        <v/>
      </c>
      <c r="N328" t="str">
        <f t="shared" si="69"/>
        <v/>
      </c>
      <c r="O328" t="str">
        <f t="shared" si="69"/>
        <v/>
      </c>
      <c r="P328" t="str">
        <f t="shared" si="69"/>
        <v/>
      </c>
      <c r="Q328" t="str">
        <f t="shared" si="69"/>
        <v/>
      </c>
      <c r="R328" t="str">
        <f t="shared" si="69"/>
        <v/>
      </c>
      <c r="S328" t="str">
        <f t="shared" si="69"/>
        <v/>
      </c>
      <c r="T328" t="str">
        <f t="shared" si="69"/>
        <v/>
      </c>
      <c r="U328" t="str">
        <f t="shared" si="70"/>
        <v/>
      </c>
      <c r="V328" t="str">
        <f t="shared" si="70"/>
        <v/>
      </c>
      <c r="W328" t="str">
        <f t="shared" si="70"/>
        <v/>
      </c>
      <c r="X328" t="str">
        <f t="shared" si="70"/>
        <v/>
      </c>
      <c r="Y328" t="str">
        <f t="shared" si="70"/>
        <v/>
      </c>
      <c r="Z328" t="str">
        <f t="shared" si="70"/>
        <v/>
      </c>
      <c r="AA328" t="str">
        <f t="shared" si="70"/>
        <v/>
      </c>
      <c r="AB328" t="str">
        <f t="shared" si="70"/>
        <v/>
      </c>
      <c r="AC328">
        <f t="shared" si="71"/>
        <v>0</v>
      </c>
    </row>
    <row r="329" spans="1:29" x14ac:dyDescent="0.35">
      <c r="A329">
        <v>324</v>
      </c>
      <c r="B329" t="s">
        <v>11</v>
      </c>
      <c r="C329" t="s">
        <v>1155</v>
      </c>
      <c r="D329" t="s">
        <v>1154</v>
      </c>
      <c r="E329" t="s">
        <v>1192</v>
      </c>
      <c r="F329" t="s">
        <v>1017</v>
      </c>
      <c r="G329" t="s">
        <v>0</v>
      </c>
      <c r="H329">
        <v>1.46</v>
      </c>
      <c r="I329">
        <v>2.7149999999999999</v>
      </c>
      <c r="J329" t="s">
        <v>6</v>
      </c>
      <c r="K329" t="str">
        <f t="shared" si="69"/>
        <v/>
      </c>
      <c r="L329" t="str">
        <f t="shared" si="69"/>
        <v/>
      </c>
      <c r="M329" t="str">
        <f t="shared" si="69"/>
        <v/>
      </c>
      <c r="N329" t="str">
        <f t="shared" si="69"/>
        <v/>
      </c>
      <c r="O329" t="str">
        <f t="shared" si="69"/>
        <v/>
      </c>
      <c r="P329" t="str">
        <f t="shared" si="69"/>
        <v/>
      </c>
      <c r="Q329" t="str">
        <f t="shared" si="69"/>
        <v/>
      </c>
      <c r="R329" t="str">
        <f t="shared" si="69"/>
        <v/>
      </c>
      <c r="S329" t="str">
        <f t="shared" si="69"/>
        <v/>
      </c>
      <c r="T329" t="str">
        <f t="shared" si="69"/>
        <v/>
      </c>
      <c r="U329" t="str">
        <f t="shared" si="70"/>
        <v/>
      </c>
      <c r="V329" t="str">
        <f t="shared" si="70"/>
        <v/>
      </c>
      <c r="W329" t="str">
        <f t="shared" si="70"/>
        <v/>
      </c>
      <c r="X329" t="str">
        <f t="shared" si="70"/>
        <v/>
      </c>
      <c r="Y329" t="str">
        <f t="shared" si="70"/>
        <v/>
      </c>
      <c r="Z329" t="str">
        <f t="shared" si="70"/>
        <v/>
      </c>
      <c r="AA329" t="str">
        <f t="shared" si="70"/>
        <v/>
      </c>
      <c r="AB329" t="str">
        <f t="shared" si="70"/>
        <v/>
      </c>
      <c r="AC329">
        <f t="shared" si="71"/>
        <v>0</v>
      </c>
    </row>
    <row r="330" spans="1:29" x14ac:dyDescent="0.35">
      <c r="A330">
        <v>325</v>
      </c>
      <c r="B330" t="s">
        <v>11</v>
      </c>
      <c r="C330" t="s">
        <v>1159</v>
      </c>
      <c r="D330" t="s">
        <v>1160</v>
      </c>
      <c r="E330" t="s">
        <v>1193</v>
      </c>
      <c r="F330" t="s">
        <v>1017</v>
      </c>
      <c r="G330" t="s">
        <v>0</v>
      </c>
      <c r="H330">
        <v>1.46</v>
      </c>
      <c r="I330">
        <v>2.7149999999999999</v>
      </c>
      <c r="J330" t="s">
        <v>6</v>
      </c>
      <c r="K330" t="str">
        <f t="shared" si="69"/>
        <v/>
      </c>
      <c r="L330" t="str">
        <f t="shared" si="69"/>
        <v/>
      </c>
      <c r="M330" t="str">
        <f t="shared" si="69"/>
        <v/>
      </c>
      <c r="N330" t="str">
        <f t="shared" si="69"/>
        <v/>
      </c>
      <c r="O330" t="str">
        <f t="shared" si="69"/>
        <v/>
      </c>
      <c r="P330" t="str">
        <f t="shared" si="69"/>
        <v/>
      </c>
      <c r="Q330" t="str">
        <f t="shared" si="69"/>
        <v/>
      </c>
      <c r="R330" t="str">
        <f t="shared" si="69"/>
        <v/>
      </c>
      <c r="S330" t="str">
        <f t="shared" si="69"/>
        <v/>
      </c>
      <c r="T330" t="str">
        <f t="shared" si="69"/>
        <v/>
      </c>
      <c r="U330" t="str">
        <f t="shared" si="70"/>
        <v/>
      </c>
      <c r="V330" t="str">
        <f t="shared" si="70"/>
        <v/>
      </c>
      <c r="W330" t="str">
        <f t="shared" si="70"/>
        <v/>
      </c>
      <c r="X330" t="str">
        <f t="shared" si="70"/>
        <v/>
      </c>
      <c r="Y330" t="str">
        <f t="shared" si="70"/>
        <v/>
      </c>
      <c r="Z330" t="str">
        <f t="shared" si="70"/>
        <v/>
      </c>
      <c r="AA330" t="str">
        <f t="shared" si="70"/>
        <v/>
      </c>
      <c r="AB330" t="str">
        <f t="shared" si="70"/>
        <v/>
      </c>
      <c r="AC330">
        <f t="shared" si="71"/>
        <v>0</v>
      </c>
    </row>
    <row r="331" spans="1:29" x14ac:dyDescent="0.35">
      <c r="A331">
        <v>326</v>
      </c>
      <c r="B331" t="s">
        <v>11</v>
      </c>
      <c r="C331" t="s">
        <v>1165</v>
      </c>
      <c r="D331" t="s">
        <v>1166</v>
      </c>
      <c r="E331" t="s">
        <v>1194</v>
      </c>
      <c r="F331" t="s">
        <v>1017</v>
      </c>
      <c r="G331" t="s">
        <v>2</v>
      </c>
      <c r="H331">
        <v>1.99</v>
      </c>
      <c r="I331">
        <v>2.7149999999999999</v>
      </c>
      <c r="J331" t="s">
        <v>6</v>
      </c>
      <c r="K331" t="str">
        <f t="shared" si="69"/>
        <v/>
      </c>
      <c r="L331" t="str">
        <f t="shared" si="69"/>
        <v/>
      </c>
      <c r="M331" t="str">
        <f t="shared" si="69"/>
        <v/>
      </c>
      <c r="N331" t="str">
        <f t="shared" si="69"/>
        <v/>
      </c>
      <c r="O331" t="str">
        <f t="shared" si="69"/>
        <v/>
      </c>
      <c r="P331" t="str">
        <f t="shared" si="69"/>
        <v/>
      </c>
      <c r="Q331" t="str">
        <f t="shared" si="69"/>
        <v/>
      </c>
      <c r="R331" t="str">
        <f t="shared" si="69"/>
        <v/>
      </c>
      <c r="S331" t="str">
        <f t="shared" si="69"/>
        <v/>
      </c>
      <c r="T331" t="str">
        <f t="shared" si="69"/>
        <v/>
      </c>
      <c r="U331" t="str">
        <f t="shared" si="70"/>
        <v/>
      </c>
      <c r="V331" t="str">
        <f t="shared" si="70"/>
        <v/>
      </c>
      <c r="W331" t="str">
        <f t="shared" si="70"/>
        <v/>
      </c>
      <c r="X331" t="str">
        <f t="shared" si="70"/>
        <v/>
      </c>
      <c r="Y331" t="str">
        <f t="shared" si="70"/>
        <v/>
      </c>
      <c r="Z331" t="str">
        <f t="shared" si="70"/>
        <v/>
      </c>
      <c r="AA331" t="str">
        <f t="shared" si="70"/>
        <v/>
      </c>
      <c r="AB331" t="str">
        <f t="shared" si="70"/>
        <v/>
      </c>
      <c r="AC331">
        <f t="shared" si="71"/>
        <v>0</v>
      </c>
    </row>
    <row r="332" spans="1:29" x14ac:dyDescent="0.35">
      <c r="A332">
        <v>327</v>
      </c>
      <c r="B332" t="s">
        <v>11</v>
      </c>
      <c r="C332" t="s">
        <v>1171</v>
      </c>
      <c r="D332" t="s">
        <v>1172</v>
      </c>
      <c r="E332" t="s">
        <v>1193</v>
      </c>
      <c r="F332" t="s">
        <v>1017</v>
      </c>
      <c r="G332" t="s">
        <v>0</v>
      </c>
      <c r="H332">
        <v>1.5089999999999999</v>
      </c>
      <c r="I332">
        <v>2.7149999999999999</v>
      </c>
      <c r="J332" t="s">
        <v>6</v>
      </c>
      <c r="K332" t="str">
        <f t="shared" si="69"/>
        <v/>
      </c>
      <c r="L332" t="str">
        <f t="shared" si="69"/>
        <v/>
      </c>
      <c r="M332" t="str">
        <f t="shared" si="69"/>
        <v/>
      </c>
      <c r="N332" t="str">
        <f t="shared" si="69"/>
        <v/>
      </c>
      <c r="O332" t="str">
        <f t="shared" si="69"/>
        <v/>
      </c>
      <c r="P332" t="str">
        <f t="shared" si="69"/>
        <v/>
      </c>
      <c r="Q332" t="str">
        <f t="shared" si="69"/>
        <v/>
      </c>
      <c r="R332" t="str">
        <f t="shared" si="69"/>
        <v/>
      </c>
      <c r="S332" t="str">
        <f t="shared" si="69"/>
        <v/>
      </c>
      <c r="T332" t="str">
        <f t="shared" si="69"/>
        <v/>
      </c>
      <c r="U332" t="str">
        <f t="shared" si="70"/>
        <v/>
      </c>
      <c r="V332" t="str">
        <f t="shared" si="70"/>
        <v/>
      </c>
      <c r="W332" t="str">
        <f t="shared" si="70"/>
        <v/>
      </c>
      <c r="X332" t="str">
        <f t="shared" si="70"/>
        <v/>
      </c>
      <c r="Y332" t="str">
        <f t="shared" si="70"/>
        <v/>
      </c>
      <c r="Z332" t="str">
        <f t="shared" si="70"/>
        <v/>
      </c>
      <c r="AA332" t="str">
        <f t="shared" si="70"/>
        <v/>
      </c>
      <c r="AB332" t="str">
        <f t="shared" si="70"/>
        <v/>
      </c>
      <c r="AC332">
        <f t="shared" si="71"/>
        <v>0</v>
      </c>
    </row>
    <row r="333" spans="1:29" x14ac:dyDescent="0.35">
      <c r="A333">
        <v>328</v>
      </c>
      <c r="B333" t="s">
        <v>11</v>
      </c>
      <c r="C333" t="s">
        <v>1181</v>
      </c>
      <c r="D333" t="s">
        <v>1182</v>
      </c>
      <c r="E333" t="s">
        <v>1071</v>
      </c>
      <c r="F333" t="s">
        <v>889</v>
      </c>
      <c r="G333" t="s">
        <v>0</v>
      </c>
      <c r="H333">
        <v>1.9159999999999999</v>
      </c>
      <c r="I333">
        <v>2.7149999999999999</v>
      </c>
      <c r="J333" t="s">
        <v>6</v>
      </c>
      <c r="K333" t="str">
        <f t="shared" si="69"/>
        <v/>
      </c>
      <c r="L333" t="str">
        <f t="shared" si="69"/>
        <v/>
      </c>
      <c r="M333" t="str">
        <f t="shared" si="69"/>
        <v/>
      </c>
      <c r="N333" t="str">
        <f t="shared" si="69"/>
        <v/>
      </c>
      <c r="O333" t="str">
        <f t="shared" si="69"/>
        <v/>
      </c>
      <c r="P333" t="str">
        <f t="shared" si="69"/>
        <v/>
      </c>
      <c r="Q333" t="str">
        <f t="shared" si="69"/>
        <v/>
      </c>
      <c r="R333" t="str">
        <f t="shared" si="69"/>
        <v/>
      </c>
      <c r="S333" t="str">
        <f t="shared" si="69"/>
        <v/>
      </c>
      <c r="T333" t="str">
        <f t="shared" si="69"/>
        <v/>
      </c>
      <c r="U333" t="str">
        <f t="shared" si="70"/>
        <v/>
      </c>
      <c r="V333" t="str">
        <f t="shared" si="70"/>
        <v/>
      </c>
      <c r="W333" t="str">
        <f t="shared" si="70"/>
        <v/>
      </c>
      <c r="X333" t="str">
        <f t="shared" si="70"/>
        <v/>
      </c>
      <c r="Y333" t="str">
        <f t="shared" si="70"/>
        <v/>
      </c>
      <c r="Z333" t="str">
        <f t="shared" si="70"/>
        <v/>
      </c>
      <c r="AA333" t="str">
        <f t="shared" si="70"/>
        <v/>
      </c>
      <c r="AB333" t="str">
        <f t="shared" si="70"/>
        <v/>
      </c>
      <c r="AC333">
        <f t="shared" si="71"/>
        <v>0</v>
      </c>
    </row>
    <row r="334" spans="1:29" x14ac:dyDescent="0.35">
      <c r="A334">
        <v>329</v>
      </c>
      <c r="B334" t="s">
        <v>11</v>
      </c>
      <c r="C334" t="s">
        <v>1183</v>
      </c>
      <c r="D334" t="s">
        <v>1184</v>
      </c>
      <c r="E334" t="s">
        <v>1071</v>
      </c>
      <c r="F334" t="s">
        <v>1135</v>
      </c>
      <c r="G334" t="s">
        <v>0</v>
      </c>
      <c r="H334">
        <v>1.968</v>
      </c>
      <c r="I334">
        <v>2.7149999999999999</v>
      </c>
      <c r="J334" t="s">
        <v>6</v>
      </c>
      <c r="K334" t="str">
        <f t="shared" si="69"/>
        <v/>
      </c>
      <c r="L334" t="str">
        <f t="shared" si="69"/>
        <v/>
      </c>
      <c r="M334" t="str">
        <f t="shared" si="69"/>
        <v/>
      </c>
      <c r="N334" t="str">
        <f t="shared" si="69"/>
        <v/>
      </c>
      <c r="O334" t="str">
        <f t="shared" si="69"/>
        <v/>
      </c>
      <c r="P334" t="str">
        <f t="shared" si="69"/>
        <v/>
      </c>
      <c r="Q334" t="str">
        <f t="shared" si="69"/>
        <v/>
      </c>
      <c r="R334" t="str">
        <f t="shared" si="69"/>
        <v/>
      </c>
      <c r="S334" t="str">
        <f t="shared" si="69"/>
        <v/>
      </c>
      <c r="T334" t="str">
        <f t="shared" si="69"/>
        <v/>
      </c>
      <c r="U334" t="str">
        <f t="shared" si="70"/>
        <v/>
      </c>
      <c r="V334" t="str">
        <f t="shared" si="70"/>
        <v/>
      </c>
      <c r="W334" t="str">
        <f t="shared" si="70"/>
        <v/>
      </c>
      <c r="X334" t="str">
        <f t="shared" si="70"/>
        <v/>
      </c>
      <c r="Y334" t="str">
        <f t="shared" si="70"/>
        <v/>
      </c>
      <c r="Z334" t="str">
        <f t="shared" si="70"/>
        <v/>
      </c>
      <c r="AA334" t="str">
        <f t="shared" si="70"/>
        <v/>
      </c>
      <c r="AB334" t="str">
        <f t="shared" si="70"/>
        <v/>
      </c>
      <c r="AC334">
        <f t="shared" si="71"/>
        <v>0</v>
      </c>
    </row>
    <row r="335" spans="1:29" x14ac:dyDescent="0.35">
      <c r="A335">
        <v>330</v>
      </c>
      <c r="B335" t="s">
        <v>11</v>
      </c>
      <c r="C335" t="s">
        <v>1190</v>
      </c>
      <c r="D335" t="s">
        <v>1230</v>
      </c>
      <c r="E335" t="s">
        <v>1070</v>
      </c>
      <c r="F335" t="s">
        <v>1135</v>
      </c>
      <c r="G335" t="s">
        <v>0</v>
      </c>
      <c r="H335">
        <v>2.02</v>
      </c>
      <c r="I335">
        <v>2.7149999999999999</v>
      </c>
      <c r="J335" t="s">
        <v>6</v>
      </c>
      <c r="K335" t="str">
        <f t="shared" si="69"/>
        <v/>
      </c>
      <c r="L335" t="str">
        <f t="shared" si="69"/>
        <v/>
      </c>
      <c r="M335" t="str">
        <f t="shared" si="69"/>
        <v/>
      </c>
      <c r="N335" t="str">
        <f t="shared" si="69"/>
        <v/>
      </c>
      <c r="O335" t="str">
        <f t="shared" si="69"/>
        <v/>
      </c>
      <c r="P335" t="str">
        <f t="shared" si="69"/>
        <v/>
      </c>
      <c r="Q335" t="str">
        <f t="shared" si="69"/>
        <v/>
      </c>
      <c r="R335" t="str">
        <f t="shared" si="69"/>
        <v/>
      </c>
      <c r="S335" t="str">
        <f t="shared" si="69"/>
        <v/>
      </c>
      <c r="T335" t="str">
        <f t="shared" si="69"/>
        <v/>
      </c>
      <c r="U335" t="str">
        <f t="shared" si="70"/>
        <v/>
      </c>
      <c r="V335" t="str">
        <f t="shared" si="70"/>
        <v/>
      </c>
      <c r="W335" t="str">
        <f t="shared" si="70"/>
        <v/>
      </c>
      <c r="X335" t="str">
        <f t="shared" si="70"/>
        <v/>
      </c>
      <c r="Y335" t="str">
        <f t="shared" si="70"/>
        <v/>
      </c>
      <c r="Z335" t="str">
        <f t="shared" si="70"/>
        <v/>
      </c>
      <c r="AA335" t="str">
        <f t="shared" si="70"/>
        <v/>
      </c>
      <c r="AB335" t="str">
        <f t="shared" si="70"/>
        <v/>
      </c>
      <c r="AC335">
        <f t="shared" si="71"/>
        <v>0</v>
      </c>
    </row>
    <row r="336" spans="1:29" x14ac:dyDescent="0.35">
      <c r="A336">
        <v>331</v>
      </c>
      <c r="B336" t="s">
        <v>11</v>
      </c>
      <c r="C336" t="s">
        <v>1191</v>
      </c>
      <c r="D336" t="s">
        <v>1231</v>
      </c>
      <c r="E336" t="s">
        <v>1195</v>
      </c>
      <c r="F336" t="s">
        <v>1135</v>
      </c>
      <c r="G336" t="s">
        <v>0</v>
      </c>
      <c r="H336">
        <v>2.09</v>
      </c>
      <c r="I336">
        <v>2.7149999999999999</v>
      </c>
      <c r="J336" t="s">
        <v>6</v>
      </c>
      <c r="K336" t="str">
        <f t="shared" ref="K336:T345" si="72">IFERROR(IFERROR(IF(K$5=$K$1,VLOOKUP($A336,dormitorios,2,0),IF(K$5=$L$1,VLOOKUP($A336,comedor,2,0),IF(K$5=$M$1,VLOOKUP($A336,alojamiento,2,0),IF(K$5=$N$1,VLOOKUP($A336,sanidad,2,0),IF(K$5=$O$1,VLOOKUP($A336,servicios,2,0),IF(K$5=$P$1,VLOOKUP($A336,comyaloj,2,0),IF(K$5=$Q$1,VLOOKUP($A336,comandancia,2,0),IF(K$5=$R$1,VLOOKUP($A336,mantenimiento,2,0),IF(K$5=$S$1,VLOOKUP($A336,serestatal,2,0),IF(K$5=$T$1,VLOOKUP($A336,conferencias,2,0),"")))))))))),"")*K$3,"")</f>
        <v/>
      </c>
      <c r="L336" t="str">
        <f t="shared" si="72"/>
        <v/>
      </c>
      <c r="M336" t="str">
        <f t="shared" si="72"/>
        <v/>
      </c>
      <c r="N336" t="str">
        <f t="shared" si="72"/>
        <v/>
      </c>
      <c r="O336" t="str">
        <f t="shared" si="72"/>
        <v/>
      </c>
      <c r="P336" t="str">
        <f t="shared" si="72"/>
        <v/>
      </c>
      <c r="Q336" t="str">
        <f t="shared" si="72"/>
        <v/>
      </c>
      <c r="R336" t="str">
        <f t="shared" si="72"/>
        <v/>
      </c>
      <c r="S336" t="str">
        <f t="shared" si="72"/>
        <v/>
      </c>
      <c r="T336" t="str">
        <f t="shared" si="72"/>
        <v/>
      </c>
      <c r="U336" t="str">
        <f t="shared" ref="U336:AB345" si="73">IFERROR(IFERROR(IF(U$5=$K$1,VLOOKUP($A336,dormitorios,2,0),IF(U$5=$L$1,VLOOKUP($A336,comedor,2,0),IF(U$5=$M$1,VLOOKUP($A336,alojamiento,2,0),IF(U$5=$N$1,VLOOKUP($A336,sanidad,2,0),IF(U$5=$O$1,VLOOKUP($A336,servicios,2,0),IF(U$5=$P$1,VLOOKUP($A336,comyaloj,2,0),IF(U$5=$Q$1,VLOOKUP($A336,comandancia,2,0),IF(U$5=$R$1,VLOOKUP($A336,mantenimiento,2,0),IF(U$5=$S$1,VLOOKUP($A336,serestatal,2,0),IF(U$5=$T$1,VLOOKUP($A336,conferencias,2,0),"")))))))))),"")*U$3,"")</f>
        <v/>
      </c>
      <c r="V336" t="str">
        <f t="shared" si="73"/>
        <v/>
      </c>
      <c r="W336" t="str">
        <f t="shared" si="73"/>
        <v/>
      </c>
      <c r="X336" t="str">
        <f t="shared" si="73"/>
        <v/>
      </c>
      <c r="Y336" t="str">
        <f t="shared" si="73"/>
        <v/>
      </c>
      <c r="Z336" t="str">
        <f t="shared" si="73"/>
        <v/>
      </c>
      <c r="AA336" t="str">
        <f t="shared" si="73"/>
        <v/>
      </c>
      <c r="AB336" t="str">
        <f t="shared" si="73"/>
        <v/>
      </c>
      <c r="AC336">
        <f t="shared" si="71"/>
        <v>0</v>
      </c>
    </row>
    <row r="337" spans="1:29" x14ac:dyDescent="0.35">
      <c r="A337">
        <v>332</v>
      </c>
      <c r="B337" t="s">
        <v>11</v>
      </c>
      <c r="C337" t="s">
        <v>1229</v>
      </c>
      <c r="D337" t="s">
        <v>1232</v>
      </c>
      <c r="E337" t="s">
        <v>1071</v>
      </c>
      <c r="F337" t="s">
        <v>1135</v>
      </c>
      <c r="G337" t="s">
        <v>2</v>
      </c>
      <c r="H337">
        <v>1.986</v>
      </c>
      <c r="I337">
        <v>3</v>
      </c>
      <c r="J337" t="s">
        <v>6</v>
      </c>
      <c r="K337" t="str">
        <f t="shared" si="72"/>
        <v/>
      </c>
      <c r="L337" t="str">
        <f t="shared" si="72"/>
        <v/>
      </c>
      <c r="M337" t="str">
        <f t="shared" si="72"/>
        <v/>
      </c>
      <c r="N337" t="str">
        <f t="shared" si="72"/>
        <v/>
      </c>
      <c r="O337" t="str">
        <f t="shared" si="72"/>
        <v/>
      </c>
      <c r="P337" t="str">
        <f t="shared" si="72"/>
        <v/>
      </c>
      <c r="Q337" t="str">
        <f t="shared" si="72"/>
        <v/>
      </c>
      <c r="R337" t="str">
        <f t="shared" si="72"/>
        <v/>
      </c>
      <c r="S337" t="str">
        <f t="shared" si="72"/>
        <v/>
      </c>
      <c r="T337" t="str">
        <f t="shared" si="72"/>
        <v/>
      </c>
      <c r="U337" t="str">
        <f t="shared" si="73"/>
        <v/>
      </c>
      <c r="V337" t="str">
        <f t="shared" si="73"/>
        <v/>
      </c>
      <c r="W337" t="str">
        <f t="shared" si="73"/>
        <v/>
      </c>
      <c r="X337" t="str">
        <f t="shared" si="73"/>
        <v/>
      </c>
      <c r="Y337" t="str">
        <f t="shared" si="73"/>
        <v/>
      </c>
      <c r="Z337" t="str">
        <f t="shared" si="73"/>
        <v/>
      </c>
      <c r="AA337" t="str">
        <f t="shared" si="73"/>
        <v/>
      </c>
      <c r="AB337" t="str">
        <f t="shared" si="73"/>
        <v/>
      </c>
      <c r="AC337">
        <f t="shared" si="71"/>
        <v>0</v>
      </c>
    </row>
    <row r="338" spans="1:29" x14ac:dyDescent="0.35">
      <c r="A338">
        <v>333</v>
      </c>
      <c r="B338" t="s">
        <v>11</v>
      </c>
      <c r="C338" t="s">
        <v>1233</v>
      </c>
      <c r="D338" t="s">
        <v>1234</v>
      </c>
      <c r="E338" t="s">
        <v>1071</v>
      </c>
      <c r="F338" t="s">
        <v>1135</v>
      </c>
      <c r="G338" t="s">
        <v>0</v>
      </c>
      <c r="H338">
        <v>2.08</v>
      </c>
      <c r="I338">
        <v>3</v>
      </c>
      <c r="J338" t="s">
        <v>6</v>
      </c>
      <c r="K338" t="str">
        <f t="shared" si="72"/>
        <v/>
      </c>
      <c r="L338" t="str">
        <f t="shared" si="72"/>
        <v/>
      </c>
      <c r="M338" t="str">
        <f t="shared" si="72"/>
        <v/>
      </c>
      <c r="N338" t="str">
        <f t="shared" si="72"/>
        <v/>
      </c>
      <c r="O338" t="str">
        <f t="shared" si="72"/>
        <v/>
      </c>
      <c r="P338" t="str">
        <f t="shared" si="72"/>
        <v/>
      </c>
      <c r="Q338" t="str">
        <f t="shared" si="72"/>
        <v/>
      </c>
      <c r="R338" t="str">
        <f t="shared" si="72"/>
        <v/>
      </c>
      <c r="S338" t="str">
        <f t="shared" si="72"/>
        <v/>
      </c>
      <c r="T338" t="str">
        <f t="shared" si="72"/>
        <v/>
      </c>
      <c r="U338" t="str">
        <f t="shared" si="73"/>
        <v/>
      </c>
      <c r="V338" t="str">
        <f t="shared" si="73"/>
        <v/>
      </c>
      <c r="W338" t="str">
        <f t="shared" si="73"/>
        <v/>
      </c>
      <c r="X338" t="str">
        <f t="shared" si="73"/>
        <v/>
      </c>
      <c r="Y338" t="str">
        <f t="shared" si="73"/>
        <v/>
      </c>
      <c r="Z338" t="str">
        <f t="shared" si="73"/>
        <v/>
      </c>
      <c r="AA338" t="str">
        <f t="shared" si="73"/>
        <v/>
      </c>
      <c r="AB338" t="str">
        <f t="shared" si="73"/>
        <v/>
      </c>
      <c r="AC338">
        <f t="shared" si="71"/>
        <v>0</v>
      </c>
    </row>
    <row r="339" spans="1:29" x14ac:dyDescent="0.35">
      <c r="A339">
        <v>334</v>
      </c>
      <c r="B339" t="s">
        <v>11</v>
      </c>
      <c r="C339" t="s">
        <v>1235</v>
      </c>
      <c r="D339" t="s">
        <v>1236</v>
      </c>
      <c r="E339" t="s">
        <v>1193</v>
      </c>
      <c r="F339" t="s">
        <v>1135</v>
      </c>
      <c r="G339" t="s">
        <v>0</v>
      </c>
      <c r="H339">
        <v>1.915</v>
      </c>
      <c r="I339">
        <v>3</v>
      </c>
      <c r="J339" t="s">
        <v>6</v>
      </c>
      <c r="K339" t="str">
        <f t="shared" si="72"/>
        <v/>
      </c>
      <c r="L339" t="str">
        <f t="shared" si="72"/>
        <v/>
      </c>
      <c r="M339" t="str">
        <f t="shared" si="72"/>
        <v/>
      </c>
      <c r="N339" t="str">
        <f t="shared" si="72"/>
        <v/>
      </c>
      <c r="O339" t="str">
        <f t="shared" si="72"/>
        <v/>
      </c>
      <c r="P339" t="str">
        <f t="shared" si="72"/>
        <v/>
      </c>
      <c r="Q339" t="str">
        <f t="shared" si="72"/>
        <v/>
      </c>
      <c r="R339" t="str">
        <f t="shared" si="72"/>
        <v/>
      </c>
      <c r="S339" t="str">
        <f t="shared" si="72"/>
        <v/>
      </c>
      <c r="T339" t="str">
        <f t="shared" si="72"/>
        <v/>
      </c>
      <c r="U339" t="str">
        <f t="shared" si="73"/>
        <v/>
      </c>
      <c r="V339" t="str">
        <f t="shared" si="73"/>
        <v/>
      </c>
      <c r="W339" t="str">
        <f t="shared" si="73"/>
        <v/>
      </c>
      <c r="X339" t="str">
        <f t="shared" si="73"/>
        <v/>
      </c>
      <c r="Y339" t="str">
        <f t="shared" si="73"/>
        <v/>
      </c>
      <c r="Z339" t="str">
        <f t="shared" si="73"/>
        <v/>
      </c>
      <c r="AA339" t="str">
        <f t="shared" si="73"/>
        <v/>
      </c>
      <c r="AB339" t="str">
        <f t="shared" si="73"/>
        <v/>
      </c>
      <c r="AC339">
        <f t="shared" si="71"/>
        <v>0</v>
      </c>
    </row>
    <row r="340" spans="1:29" x14ac:dyDescent="0.35">
      <c r="A340">
        <v>335</v>
      </c>
      <c r="B340" t="s">
        <v>11</v>
      </c>
      <c r="C340" t="s">
        <v>1237</v>
      </c>
      <c r="D340" t="s">
        <v>1238</v>
      </c>
      <c r="E340" t="s">
        <v>1193</v>
      </c>
      <c r="F340" t="s">
        <v>1135</v>
      </c>
      <c r="G340" t="s">
        <v>0</v>
      </c>
      <c r="H340">
        <v>2.02</v>
      </c>
      <c r="I340">
        <v>3</v>
      </c>
      <c r="J340" t="s">
        <v>6</v>
      </c>
      <c r="K340" t="str">
        <f t="shared" si="72"/>
        <v/>
      </c>
      <c r="L340" t="str">
        <f t="shared" si="72"/>
        <v/>
      </c>
      <c r="M340" t="str">
        <f t="shared" si="72"/>
        <v/>
      </c>
      <c r="N340" t="str">
        <f t="shared" si="72"/>
        <v/>
      </c>
      <c r="O340" t="str">
        <f t="shared" si="72"/>
        <v/>
      </c>
      <c r="P340" t="str">
        <f t="shared" si="72"/>
        <v/>
      </c>
      <c r="Q340" t="str">
        <f t="shared" si="72"/>
        <v/>
      </c>
      <c r="R340" t="str">
        <f t="shared" si="72"/>
        <v/>
      </c>
      <c r="S340" t="str">
        <f t="shared" si="72"/>
        <v/>
      </c>
      <c r="T340" t="str">
        <f t="shared" si="72"/>
        <v/>
      </c>
      <c r="U340" t="str">
        <f t="shared" si="73"/>
        <v/>
      </c>
      <c r="V340" t="str">
        <f t="shared" si="73"/>
        <v/>
      </c>
      <c r="W340" t="str">
        <f t="shared" si="73"/>
        <v/>
      </c>
      <c r="X340" t="str">
        <f t="shared" si="73"/>
        <v/>
      </c>
      <c r="Y340" t="str">
        <f t="shared" si="73"/>
        <v/>
      </c>
      <c r="Z340" t="str">
        <f t="shared" si="73"/>
        <v/>
      </c>
      <c r="AA340" t="str">
        <f t="shared" si="73"/>
        <v/>
      </c>
      <c r="AB340" t="str">
        <f t="shared" si="73"/>
        <v/>
      </c>
      <c r="AC340">
        <f t="shared" si="71"/>
        <v>0</v>
      </c>
    </row>
    <row r="341" spans="1:29" x14ac:dyDescent="0.35">
      <c r="A341">
        <v>336</v>
      </c>
      <c r="B341" t="s">
        <v>11</v>
      </c>
      <c r="C341" t="s">
        <v>1239</v>
      </c>
      <c r="D341" t="s">
        <v>1240</v>
      </c>
      <c r="E341" t="s">
        <v>1192</v>
      </c>
      <c r="F341" t="s">
        <v>1135</v>
      </c>
      <c r="G341" t="s">
        <v>0</v>
      </c>
      <c r="H341">
        <v>2.02</v>
      </c>
      <c r="I341">
        <v>3</v>
      </c>
      <c r="J341" t="s">
        <v>6</v>
      </c>
      <c r="K341" t="str">
        <f t="shared" si="72"/>
        <v/>
      </c>
      <c r="L341" t="str">
        <f t="shared" si="72"/>
        <v/>
      </c>
      <c r="M341" t="str">
        <f t="shared" si="72"/>
        <v/>
      </c>
      <c r="N341" t="str">
        <f t="shared" si="72"/>
        <v/>
      </c>
      <c r="O341" t="str">
        <f t="shared" si="72"/>
        <v/>
      </c>
      <c r="P341" t="str">
        <f t="shared" si="72"/>
        <v/>
      </c>
      <c r="Q341" t="str">
        <f t="shared" si="72"/>
        <v/>
      </c>
      <c r="R341" t="str">
        <f t="shared" si="72"/>
        <v/>
      </c>
      <c r="S341" t="str">
        <f t="shared" si="72"/>
        <v/>
      </c>
      <c r="T341" t="str">
        <f t="shared" si="72"/>
        <v/>
      </c>
      <c r="U341" t="str">
        <f t="shared" si="73"/>
        <v/>
      </c>
      <c r="V341" t="str">
        <f t="shared" si="73"/>
        <v/>
      </c>
      <c r="W341" t="str">
        <f t="shared" si="73"/>
        <v/>
      </c>
      <c r="X341" t="str">
        <f t="shared" si="73"/>
        <v/>
      </c>
      <c r="Y341" t="str">
        <f t="shared" si="73"/>
        <v/>
      </c>
      <c r="Z341" t="str">
        <f t="shared" si="73"/>
        <v/>
      </c>
      <c r="AA341" t="str">
        <f t="shared" si="73"/>
        <v/>
      </c>
      <c r="AB341" t="str">
        <f t="shared" si="73"/>
        <v/>
      </c>
      <c r="AC341">
        <f t="shared" si="71"/>
        <v>0</v>
      </c>
    </row>
    <row r="342" spans="1:29" x14ac:dyDescent="0.35">
      <c r="A342">
        <v>337</v>
      </c>
      <c r="B342" t="s">
        <v>11</v>
      </c>
      <c r="C342" t="s">
        <v>1241</v>
      </c>
      <c r="D342" t="s">
        <v>1242</v>
      </c>
      <c r="E342" t="s">
        <v>1071</v>
      </c>
      <c r="F342" t="s">
        <v>1135</v>
      </c>
      <c r="G342" t="s">
        <v>0</v>
      </c>
      <c r="H342">
        <v>1.968</v>
      </c>
      <c r="I342">
        <v>3</v>
      </c>
      <c r="J342" t="s">
        <v>6</v>
      </c>
      <c r="K342" t="str">
        <f t="shared" si="72"/>
        <v/>
      </c>
      <c r="L342" t="str">
        <f t="shared" si="72"/>
        <v/>
      </c>
      <c r="M342" t="str">
        <f t="shared" si="72"/>
        <v/>
      </c>
      <c r="N342" t="str">
        <f t="shared" si="72"/>
        <v/>
      </c>
      <c r="O342" t="str">
        <f t="shared" si="72"/>
        <v/>
      </c>
      <c r="P342" t="str">
        <f t="shared" si="72"/>
        <v/>
      </c>
      <c r="Q342" t="str">
        <f t="shared" si="72"/>
        <v/>
      </c>
      <c r="R342" t="str">
        <f t="shared" si="72"/>
        <v/>
      </c>
      <c r="S342" t="str">
        <f t="shared" si="72"/>
        <v/>
      </c>
      <c r="T342" t="str">
        <f t="shared" si="72"/>
        <v/>
      </c>
      <c r="U342" t="str">
        <f t="shared" si="73"/>
        <v/>
      </c>
      <c r="V342" t="str">
        <f t="shared" si="73"/>
        <v/>
      </c>
      <c r="W342" t="str">
        <f t="shared" si="73"/>
        <v/>
      </c>
      <c r="X342" t="str">
        <f t="shared" si="73"/>
        <v/>
      </c>
      <c r="Y342" t="str">
        <f t="shared" si="73"/>
        <v/>
      </c>
      <c r="Z342" t="str">
        <f t="shared" si="73"/>
        <v/>
      </c>
      <c r="AA342" t="str">
        <f t="shared" si="73"/>
        <v/>
      </c>
      <c r="AB342" t="str">
        <f t="shared" si="73"/>
        <v/>
      </c>
      <c r="AC342">
        <f t="shared" si="71"/>
        <v>0</v>
      </c>
    </row>
    <row r="343" spans="1:29" x14ac:dyDescent="0.35">
      <c r="A343">
        <v>338</v>
      </c>
      <c r="B343" t="s">
        <v>11</v>
      </c>
      <c r="C343" t="s">
        <v>1243</v>
      </c>
      <c r="D343" t="s">
        <v>1244</v>
      </c>
      <c r="E343" t="s">
        <v>1071</v>
      </c>
      <c r="F343" t="s">
        <v>1135</v>
      </c>
      <c r="G343" t="s">
        <v>0</v>
      </c>
      <c r="H343">
        <v>0.89</v>
      </c>
      <c r="I343">
        <v>3</v>
      </c>
      <c r="J343" t="s">
        <v>6</v>
      </c>
      <c r="K343" t="str">
        <f t="shared" si="72"/>
        <v/>
      </c>
      <c r="L343" t="str">
        <f t="shared" si="72"/>
        <v/>
      </c>
      <c r="M343" t="str">
        <f t="shared" si="72"/>
        <v/>
      </c>
      <c r="N343" t="str">
        <f t="shared" si="72"/>
        <v/>
      </c>
      <c r="O343" t="str">
        <f t="shared" si="72"/>
        <v/>
      </c>
      <c r="P343" t="str">
        <f t="shared" si="72"/>
        <v/>
      </c>
      <c r="Q343" t="str">
        <f t="shared" si="72"/>
        <v/>
      </c>
      <c r="R343" t="str">
        <f t="shared" si="72"/>
        <v/>
      </c>
      <c r="S343" t="str">
        <f t="shared" si="72"/>
        <v/>
      </c>
      <c r="T343" t="str">
        <f t="shared" si="72"/>
        <v/>
      </c>
      <c r="U343" t="str">
        <f t="shared" si="73"/>
        <v/>
      </c>
      <c r="V343" t="str">
        <f t="shared" si="73"/>
        <v/>
      </c>
      <c r="W343" t="str">
        <f t="shared" si="73"/>
        <v/>
      </c>
      <c r="X343" t="str">
        <f t="shared" si="73"/>
        <v/>
      </c>
      <c r="Y343" t="str">
        <f t="shared" si="73"/>
        <v/>
      </c>
      <c r="Z343" t="str">
        <f t="shared" si="73"/>
        <v/>
      </c>
      <c r="AA343" t="str">
        <f t="shared" si="73"/>
        <v/>
      </c>
      <c r="AB343" t="str">
        <f t="shared" si="73"/>
        <v/>
      </c>
      <c r="AC343">
        <f t="shared" si="71"/>
        <v>0</v>
      </c>
    </row>
    <row r="344" spans="1:29" x14ac:dyDescent="0.35">
      <c r="A344">
        <v>339</v>
      </c>
      <c r="B344" t="s">
        <v>11</v>
      </c>
      <c r="C344" t="s">
        <v>1151</v>
      </c>
      <c r="D344" t="s">
        <v>1250</v>
      </c>
      <c r="E344" t="s">
        <v>1113</v>
      </c>
      <c r="F344" t="s">
        <v>889</v>
      </c>
      <c r="G344" t="s">
        <v>0</v>
      </c>
      <c r="H344">
        <v>2.0449999999999999</v>
      </c>
      <c r="I344">
        <v>2.7149999999999999</v>
      </c>
      <c r="J344" t="s">
        <v>6</v>
      </c>
      <c r="K344" t="str">
        <f t="shared" si="72"/>
        <v/>
      </c>
      <c r="L344" t="str">
        <f t="shared" si="72"/>
        <v/>
      </c>
      <c r="M344" t="str">
        <f t="shared" si="72"/>
        <v/>
      </c>
      <c r="N344" t="str">
        <f t="shared" si="72"/>
        <v/>
      </c>
      <c r="O344" t="str">
        <f t="shared" si="72"/>
        <v/>
      </c>
      <c r="P344" t="str">
        <f t="shared" si="72"/>
        <v/>
      </c>
      <c r="Q344" t="str">
        <f t="shared" si="72"/>
        <v/>
      </c>
      <c r="R344" t="str">
        <f t="shared" si="72"/>
        <v/>
      </c>
      <c r="S344" t="str">
        <f t="shared" si="72"/>
        <v/>
      </c>
      <c r="T344" t="str">
        <f t="shared" si="72"/>
        <v/>
      </c>
      <c r="U344" t="str">
        <f t="shared" si="73"/>
        <v/>
      </c>
      <c r="V344" t="str">
        <f t="shared" si="73"/>
        <v/>
      </c>
      <c r="W344" t="str">
        <f t="shared" si="73"/>
        <v/>
      </c>
      <c r="X344" t="str">
        <f t="shared" si="73"/>
        <v/>
      </c>
      <c r="Y344" t="str">
        <f t="shared" si="73"/>
        <v/>
      </c>
      <c r="Z344" t="str">
        <f t="shared" si="73"/>
        <v/>
      </c>
      <c r="AA344" t="str">
        <f t="shared" si="73"/>
        <v/>
      </c>
      <c r="AB344" t="str">
        <f t="shared" si="73"/>
        <v/>
      </c>
      <c r="AC344">
        <f t="shared" si="71"/>
        <v>0</v>
      </c>
    </row>
    <row r="345" spans="1:29" x14ac:dyDescent="0.35">
      <c r="A345">
        <v>340</v>
      </c>
      <c r="B345" t="s">
        <v>11</v>
      </c>
      <c r="C345" t="s">
        <v>1155</v>
      </c>
      <c r="D345" t="s">
        <v>1251</v>
      </c>
      <c r="E345" t="s">
        <v>1153</v>
      </c>
      <c r="F345" t="s">
        <v>516</v>
      </c>
      <c r="G345" t="s">
        <v>0</v>
      </c>
      <c r="H345">
        <v>1.6160000000000001</v>
      </c>
      <c r="I345">
        <v>2.7149999999999999</v>
      </c>
      <c r="J345" t="s">
        <v>6</v>
      </c>
      <c r="K345" t="str">
        <f t="shared" si="72"/>
        <v/>
      </c>
      <c r="L345" t="str">
        <f t="shared" si="72"/>
        <v/>
      </c>
      <c r="M345" t="str">
        <f t="shared" si="72"/>
        <v/>
      </c>
      <c r="N345" t="str">
        <f t="shared" si="72"/>
        <v/>
      </c>
      <c r="O345" t="str">
        <f t="shared" si="72"/>
        <v/>
      </c>
      <c r="P345" t="str">
        <f t="shared" si="72"/>
        <v/>
      </c>
      <c r="Q345" t="str">
        <f t="shared" si="72"/>
        <v/>
      </c>
      <c r="R345" t="str">
        <f t="shared" si="72"/>
        <v/>
      </c>
      <c r="S345" t="str">
        <f t="shared" si="72"/>
        <v/>
      </c>
      <c r="T345" t="str">
        <f t="shared" si="72"/>
        <v/>
      </c>
      <c r="U345" t="str">
        <f t="shared" si="73"/>
        <v/>
      </c>
      <c r="V345" t="str">
        <f t="shared" si="73"/>
        <v/>
      </c>
      <c r="W345" t="str">
        <f t="shared" si="73"/>
        <v/>
      </c>
      <c r="X345" t="str">
        <f t="shared" si="73"/>
        <v/>
      </c>
      <c r="Y345" t="str">
        <f t="shared" si="73"/>
        <v/>
      </c>
      <c r="Z345" t="str">
        <f t="shared" si="73"/>
        <v/>
      </c>
      <c r="AA345" t="str">
        <f t="shared" si="73"/>
        <v/>
      </c>
      <c r="AB345" t="str">
        <f t="shared" si="73"/>
        <v/>
      </c>
      <c r="AC345">
        <f t="shared" si="71"/>
        <v>0</v>
      </c>
    </row>
    <row r="346" spans="1:29" x14ac:dyDescent="0.35">
      <c r="A346">
        <v>341</v>
      </c>
      <c r="B346" t="s">
        <v>11</v>
      </c>
      <c r="C346" t="s">
        <v>1159</v>
      </c>
      <c r="D346" t="s">
        <v>1252</v>
      </c>
      <c r="E346" t="s">
        <v>1161</v>
      </c>
      <c r="F346" t="s">
        <v>516</v>
      </c>
      <c r="G346" t="s">
        <v>0</v>
      </c>
      <c r="H346" t="s">
        <v>1162</v>
      </c>
      <c r="I346">
        <v>2.7149999999999999</v>
      </c>
      <c r="J346" t="s">
        <v>6</v>
      </c>
      <c r="K346" t="str">
        <f t="shared" ref="K346:T355" si="74">IFERROR(IFERROR(IF(K$5=$K$1,VLOOKUP($A346,dormitorios,2,0),IF(K$5=$L$1,VLOOKUP($A346,comedor,2,0),IF(K$5=$M$1,VLOOKUP($A346,alojamiento,2,0),IF(K$5=$N$1,VLOOKUP($A346,sanidad,2,0),IF(K$5=$O$1,VLOOKUP($A346,servicios,2,0),IF(K$5=$P$1,VLOOKUP($A346,comyaloj,2,0),IF(K$5=$Q$1,VLOOKUP($A346,comandancia,2,0),IF(K$5=$R$1,VLOOKUP($A346,mantenimiento,2,0),IF(K$5=$S$1,VLOOKUP($A346,serestatal,2,0),IF(K$5=$T$1,VLOOKUP($A346,conferencias,2,0),"")))))))))),"")*K$3,"")</f>
        <v/>
      </c>
      <c r="L346" t="str">
        <f t="shared" si="74"/>
        <v/>
      </c>
      <c r="M346" t="str">
        <f t="shared" si="74"/>
        <v/>
      </c>
      <c r="N346" t="str">
        <f t="shared" si="74"/>
        <v/>
      </c>
      <c r="O346" t="str">
        <f t="shared" si="74"/>
        <v/>
      </c>
      <c r="P346" t="str">
        <f t="shared" si="74"/>
        <v/>
      </c>
      <c r="Q346" t="str">
        <f t="shared" si="74"/>
        <v/>
      </c>
      <c r="R346" t="str">
        <f t="shared" si="74"/>
        <v/>
      </c>
      <c r="S346" t="str">
        <f t="shared" si="74"/>
        <v/>
      </c>
      <c r="T346" t="str">
        <f t="shared" si="74"/>
        <v/>
      </c>
      <c r="U346" t="str">
        <f t="shared" ref="U346:AB355" si="75">IFERROR(IFERROR(IF(U$5=$K$1,VLOOKUP($A346,dormitorios,2,0),IF(U$5=$L$1,VLOOKUP($A346,comedor,2,0),IF(U$5=$M$1,VLOOKUP($A346,alojamiento,2,0),IF(U$5=$N$1,VLOOKUP($A346,sanidad,2,0),IF(U$5=$O$1,VLOOKUP($A346,servicios,2,0),IF(U$5=$P$1,VLOOKUP($A346,comyaloj,2,0),IF(U$5=$Q$1,VLOOKUP($A346,comandancia,2,0),IF(U$5=$R$1,VLOOKUP($A346,mantenimiento,2,0),IF(U$5=$S$1,VLOOKUP($A346,serestatal,2,0),IF(U$5=$T$1,VLOOKUP($A346,conferencias,2,0),"")))))))))),"")*U$3,"")</f>
        <v/>
      </c>
      <c r="V346" t="str">
        <f t="shared" si="75"/>
        <v/>
      </c>
      <c r="W346" t="str">
        <f t="shared" si="75"/>
        <v/>
      </c>
      <c r="X346" t="str">
        <f t="shared" si="75"/>
        <v/>
      </c>
      <c r="Y346" t="str">
        <f t="shared" si="75"/>
        <v/>
      </c>
      <c r="Z346" t="str">
        <f t="shared" si="75"/>
        <v/>
      </c>
      <c r="AA346" t="str">
        <f t="shared" si="75"/>
        <v/>
      </c>
      <c r="AB346" t="str">
        <f t="shared" si="75"/>
        <v/>
      </c>
      <c r="AC346">
        <f t="shared" si="71"/>
        <v>0</v>
      </c>
    </row>
    <row r="347" spans="1:29" x14ac:dyDescent="0.35">
      <c r="A347">
        <v>342</v>
      </c>
      <c r="B347" t="s">
        <v>11</v>
      </c>
      <c r="C347" t="s">
        <v>1165</v>
      </c>
      <c r="D347" t="s">
        <v>1253</v>
      </c>
      <c r="E347" t="s">
        <v>1173</v>
      </c>
      <c r="F347" t="s">
        <v>889</v>
      </c>
      <c r="G347" t="s">
        <v>0</v>
      </c>
      <c r="H347">
        <v>1.974</v>
      </c>
      <c r="I347">
        <v>2.7149999999999999</v>
      </c>
      <c r="J347" t="s">
        <v>6</v>
      </c>
      <c r="K347" t="str">
        <f t="shared" si="74"/>
        <v/>
      </c>
      <c r="L347" t="str">
        <f t="shared" si="74"/>
        <v/>
      </c>
      <c r="M347" t="str">
        <f t="shared" si="74"/>
        <v/>
      </c>
      <c r="N347" t="str">
        <f t="shared" si="74"/>
        <v/>
      </c>
      <c r="O347" t="str">
        <f t="shared" si="74"/>
        <v/>
      </c>
      <c r="P347" t="str">
        <f t="shared" si="74"/>
        <v/>
      </c>
      <c r="Q347" t="str">
        <f t="shared" si="74"/>
        <v/>
      </c>
      <c r="R347" t="str">
        <f t="shared" si="74"/>
        <v/>
      </c>
      <c r="S347" t="str">
        <f t="shared" si="74"/>
        <v/>
      </c>
      <c r="T347" t="str">
        <f t="shared" si="74"/>
        <v/>
      </c>
      <c r="U347" t="str">
        <f t="shared" si="75"/>
        <v/>
      </c>
      <c r="V347" t="str">
        <f t="shared" si="75"/>
        <v/>
      </c>
      <c r="W347" t="str">
        <f t="shared" si="75"/>
        <v/>
      </c>
      <c r="X347" t="str">
        <f t="shared" si="75"/>
        <v/>
      </c>
      <c r="Y347" t="str">
        <f t="shared" si="75"/>
        <v/>
      </c>
      <c r="Z347" t="str">
        <f t="shared" si="75"/>
        <v/>
      </c>
      <c r="AA347" t="str">
        <f t="shared" si="75"/>
        <v/>
      </c>
      <c r="AB347" t="str">
        <f t="shared" si="75"/>
        <v/>
      </c>
      <c r="AC347">
        <f t="shared" si="71"/>
        <v>0</v>
      </c>
    </row>
    <row r="348" spans="1:29" x14ac:dyDescent="0.35">
      <c r="A348">
        <v>343</v>
      </c>
      <c r="B348" t="s">
        <v>11</v>
      </c>
      <c r="C348" t="s">
        <v>1171</v>
      </c>
      <c r="D348" t="s">
        <v>1254</v>
      </c>
      <c r="E348" t="s">
        <v>1174</v>
      </c>
      <c r="F348" t="s">
        <v>889</v>
      </c>
      <c r="G348" t="s">
        <v>0</v>
      </c>
      <c r="H348">
        <v>1.974</v>
      </c>
      <c r="I348">
        <v>2.7149999999999999</v>
      </c>
      <c r="J348" t="s">
        <v>6</v>
      </c>
      <c r="K348" t="str">
        <f t="shared" si="74"/>
        <v/>
      </c>
      <c r="L348" t="str">
        <f t="shared" si="74"/>
        <v/>
      </c>
      <c r="M348" t="str">
        <f t="shared" si="74"/>
        <v/>
      </c>
      <c r="N348" t="str">
        <f t="shared" si="74"/>
        <v/>
      </c>
      <c r="O348" t="str">
        <f t="shared" si="74"/>
        <v/>
      </c>
      <c r="P348" t="str">
        <f t="shared" si="74"/>
        <v/>
      </c>
      <c r="Q348" t="str">
        <f t="shared" si="74"/>
        <v/>
      </c>
      <c r="R348" t="str">
        <f t="shared" si="74"/>
        <v/>
      </c>
      <c r="S348" t="str">
        <f t="shared" si="74"/>
        <v/>
      </c>
      <c r="T348" t="str">
        <f t="shared" si="74"/>
        <v/>
      </c>
      <c r="U348" t="str">
        <f t="shared" si="75"/>
        <v/>
      </c>
      <c r="V348" t="str">
        <f t="shared" si="75"/>
        <v/>
      </c>
      <c r="W348" t="str">
        <f t="shared" si="75"/>
        <v/>
      </c>
      <c r="X348" t="str">
        <f t="shared" si="75"/>
        <v/>
      </c>
      <c r="Y348" t="str">
        <f t="shared" si="75"/>
        <v/>
      </c>
      <c r="Z348" t="str">
        <f t="shared" si="75"/>
        <v/>
      </c>
      <c r="AA348" t="str">
        <f t="shared" si="75"/>
        <v/>
      </c>
      <c r="AB348" t="str">
        <f t="shared" si="75"/>
        <v/>
      </c>
      <c r="AC348">
        <f t="shared" si="71"/>
        <v>0</v>
      </c>
    </row>
    <row r="349" spans="1:29" x14ac:dyDescent="0.35">
      <c r="A349">
        <v>344</v>
      </c>
      <c r="B349" t="s">
        <v>11</v>
      </c>
      <c r="C349" t="s">
        <v>1181</v>
      </c>
      <c r="D349" t="s">
        <v>1255</v>
      </c>
      <c r="E349" t="s">
        <v>1167</v>
      </c>
      <c r="F349" t="s">
        <v>889</v>
      </c>
      <c r="G349" t="s">
        <v>0</v>
      </c>
      <c r="H349">
        <v>1.9750000000000001</v>
      </c>
      <c r="I349">
        <v>2.7149999999999999</v>
      </c>
      <c r="J349" t="s">
        <v>6</v>
      </c>
      <c r="K349" t="str">
        <f t="shared" si="74"/>
        <v/>
      </c>
      <c r="L349" t="str">
        <f t="shared" si="74"/>
        <v/>
      </c>
      <c r="M349" t="str">
        <f t="shared" si="74"/>
        <v/>
      </c>
      <c r="N349" t="str">
        <f t="shared" si="74"/>
        <v/>
      </c>
      <c r="O349" t="str">
        <f t="shared" si="74"/>
        <v/>
      </c>
      <c r="P349" t="str">
        <f t="shared" si="74"/>
        <v/>
      </c>
      <c r="Q349" t="str">
        <f t="shared" si="74"/>
        <v/>
      </c>
      <c r="R349" t="str">
        <f t="shared" si="74"/>
        <v/>
      </c>
      <c r="S349" t="str">
        <f t="shared" si="74"/>
        <v/>
      </c>
      <c r="T349" t="str">
        <f t="shared" si="74"/>
        <v/>
      </c>
      <c r="U349" t="str">
        <f t="shared" si="75"/>
        <v/>
      </c>
      <c r="V349" t="str">
        <f t="shared" si="75"/>
        <v/>
      </c>
      <c r="W349" t="str">
        <f t="shared" si="75"/>
        <v/>
      </c>
      <c r="X349" t="str">
        <f t="shared" si="75"/>
        <v/>
      </c>
      <c r="Y349" t="str">
        <f t="shared" si="75"/>
        <v/>
      </c>
      <c r="Z349" t="str">
        <f t="shared" si="75"/>
        <v/>
      </c>
      <c r="AA349" t="str">
        <f t="shared" si="75"/>
        <v/>
      </c>
      <c r="AB349" t="str">
        <f t="shared" si="75"/>
        <v/>
      </c>
      <c r="AC349">
        <f t="shared" si="71"/>
        <v>0</v>
      </c>
    </row>
    <row r="350" spans="1:29" x14ac:dyDescent="0.35">
      <c r="A350">
        <v>345</v>
      </c>
      <c r="B350" t="s">
        <v>11</v>
      </c>
      <c r="C350" t="s">
        <v>1183</v>
      </c>
      <c r="D350" t="s">
        <v>1256</v>
      </c>
      <c r="E350" t="s">
        <v>1170</v>
      </c>
      <c r="F350" t="s">
        <v>889</v>
      </c>
      <c r="G350" t="s">
        <v>0</v>
      </c>
      <c r="H350">
        <v>1.079</v>
      </c>
      <c r="I350">
        <v>2.7149999999999999</v>
      </c>
      <c r="J350" t="s">
        <v>6</v>
      </c>
      <c r="K350" t="str">
        <f t="shared" si="74"/>
        <v/>
      </c>
      <c r="L350" t="str">
        <f t="shared" si="74"/>
        <v/>
      </c>
      <c r="M350" t="str">
        <f t="shared" si="74"/>
        <v/>
      </c>
      <c r="N350" t="str">
        <f t="shared" si="74"/>
        <v/>
      </c>
      <c r="O350" t="str">
        <f t="shared" si="74"/>
        <v/>
      </c>
      <c r="P350" t="str">
        <f t="shared" si="74"/>
        <v/>
      </c>
      <c r="Q350" t="str">
        <f t="shared" si="74"/>
        <v/>
      </c>
      <c r="R350" t="str">
        <f t="shared" si="74"/>
        <v/>
      </c>
      <c r="S350" t="str">
        <f t="shared" si="74"/>
        <v/>
      </c>
      <c r="T350" t="str">
        <f t="shared" si="74"/>
        <v/>
      </c>
      <c r="U350" t="str">
        <f t="shared" si="75"/>
        <v/>
      </c>
      <c r="V350" t="str">
        <f t="shared" si="75"/>
        <v/>
      </c>
      <c r="W350" t="str">
        <f t="shared" si="75"/>
        <v/>
      </c>
      <c r="X350" t="str">
        <f t="shared" si="75"/>
        <v/>
      </c>
      <c r="Y350" t="str">
        <f t="shared" si="75"/>
        <v/>
      </c>
      <c r="Z350" t="str">
        <f t="shared" si="75"/>
        <v/>
      </c>
      <c r="AA350" t="str">
        <f t="shared" si="75"/>
        <v/>
      </c>
      <c r="AB350" t="str">
        <f t="shared" si="75"/>
        <v/>
      </c>
      <c r="AC350">
        <f t="shared" si="71"/>
        <v>0</v>
      </c>
    </row>
    <row r="351" spans="1:29" x14ac:dyDescent="0.35">
      <c r="A351">
        <v>346</v>
      </c>
      <c r="B351" t="s">
        <v>11</v>
      </c>
      <c r="C351" t="s">
        <v>1190</v>
      </c>
      <c r="D351" t="s">
        <v>1257</v>
      </c>
      <c r="E351" t="s">
        <v>1185</v>
      </c>
      <c r="F351" t="s">
        <v>516</v>
      </c>
      <c r="G351" t="s">
        <v>0</v>
      </c>
      <c r="H351">
        <v>1.42</v>
      </c>
      <c r="I351">
        <v>2.7149999999999999</v>
      </c>
      <c r="J351" t="s">
        <v>6</v>
      </c>
      <c r="K351" t="str">
        <f t="shared" si="74"/>
        <v/>
      </c>
      <c r="L351" t="str">
        <f t="shared" si="74"/>
        <v/>
      </c>
      <c r="M351" t="str">
        <f t="shared" si="74"/>
        <v/>
      </c>
      <c r="N351" t="str">
        <f t="shared" si="74"/>
        <v/>
      </c>
      <c r="O351" t="str">
        <f t="shared" si="74"/>
        <v/>
      </c>
      <c r="P351" t="str">
        <f t="shared" si="74"/>
        <v/>
      </c>
      <c r="Q351" t="str">
        <f t="shared" si="74"/>
        <v/>
      </c>
      <c r="R351" t="str">
        <f t="shared" si="74"/>
        <v/>
      </c>
      <c r="S351" t="str">
        <f t="shared" si="74"/>
        <v/>
      </c>
      <c r="T351" t="str">
        <f t="shared" si="74"/>
        <v/>
      </c>
      <c r="U351" t="str">
        <f t="shared" si="75"/>
        <v/>
      </c>
      <c r="V351" t="str">
        <f t="shared" si="75"/>
        <v/>
      </c>
      <c r="W351" t="str">
        <f t="shared" si="75"/>
        <v/>
      </c>
      <c r="X351" t="str">
        <f t="shared" si="75"/>
        <v/>
      </c>
      <c r="Y351" t="str">
        <f t="shared" si="75"/>
        <v/>
      </c>
      <c r="Z351" t="str">
        <f t="shared" si="75"/>
        <v/>
      </c>
      <c r="AA351" t="str">
        <f t="shared" si="75"/>
        <v/>
      </c>
      <c r="AB351" t="str">
        <f t="shared" si="75"/>
        <v/>
      </c>
      <c r="AC351">
        <f t="shared" si="71"/>
        <v>0</v>
      </c>
    </row>
    <row r="352" spans="1:29" x14ac:dyDescent="0.35">
      <c r="A352">
        <v>347</v>
      </c>
      <c r="B352" t="s">
        <v>11</v>
      </c>
      <c r="C352" t="s">
        <v>1191</v>
      </c>
      <c r="D352" t="s">
        <v>1258</v>
      </c>
      <c r="E352" t="s">
        <v>1071</v>
      </c>
      <c r="F352" t="s">
        <v>889</v>
      </c>
      <c r="G352" t="s">
        <v>0</v>
      </c>
      <c r="H352">
        <v>2.0960000000000001</v>
      </c>
      <c r="I352">
        <v>2.7149999999999999</v>
      </c>
      <c r="J352" t="s">
        <v>6</v>
      </c>
      <c r="K352" t="str">
        <f t="shared" si="74"/>
        <v/>
      </c>
      <c r="L352" t="str">
        <f t="shared" si="74"/>
        <v/>
      </c>
      <c r="M352" t="str">
        <f t="shared" si="74"/>
        <v/>
      </c>
      <c r="N352" t="str">
        <f t="shared" si="74"/>
        <v/>
      </c>
      <c r="O352" t="str">
        <f t="shared" si="74"/>
        <v/>
      </c>
      <c r="P352" t="str">
        <f t="shared" si="74"/>
        <v/>
      </c>
      <c r="Q352" t="str">
        <f t="shared" si="74"/>
        <v/>
      </c>
      <c r="R352" t="str">
        <f t="shared" si="74"/>
        <v/>
      </c>
      <c r="S352" t="str">
        <f t="shared" si="74"/>
        <v/>
      </c>
      <c r="T352" t="str">
        <f t="shared" si="74"/>
        <v/>
      </c>
      <c r="U352" t="str">
        <f t="shared" si="75"/>
        <v/>
      </c>
      <c r="V352" t="str">
        <f t="shared" si="75"/>
        <v/>
      </c>
      <c r="W352" t="str">
        <f t="shared" si="75"/>
        <v/>
      </c>
      <c r="X352" t="str">
        <f t="shared" si="75"/>
        <v/>
      </c>
      <c r="Y352" t="str">
        <f t="shared" si="75"/>
        <v/>
      </c>
      <c r="Z352" t="str">
        <f t="shared" si="75"/>
        <v/>
      </c>
      <c r="AA352" t="str">
        <f t="shared" si="75"/>
        <v/>
      </c>
      <c r="AB352" t="str">
        <f t="shared" si="75"/>
        <v/>
      </c>
      <c r="AC352">
        <f t="shared" si="71"/>
        <v>0</v>
      </c>
    </row>
    <row r="353" spans="1:29" x14ac:dyDescent="0.35">
      <c r="A353">
        <v>348</v>
      </c>
      <c r="B353" t="s">
        <v>11</v>
      </c>
      <c r="C353" t="s">
        <v>1229</v>
      </c>
      <c r="D353" t="s">
        <v>1269</v>
      </c>
      <c r="E353" t="s">
        <v>1153</v>
      </c>
      <c r="F353" t="s">
        <v>516</v>
      </c>
      <c r="G353" t="s">
        <v>0</v>
      </c>
      <c r="H353">
        <v>1.974</v>
      </c>
      <c r="I353">
        <v>2.7149999999999999</v>
      </c>
      <c r="J353" t="s">
        <v>6</v>
      </c>
      <c r="K353" t="str">
        <f t="shared" si="74"/>
        <v/>
      </c>
      <c r="L353" t="str">
        <f t="shared" si="74"/>
        <v/>
      </c>
      <c r="M353" t="str">
        <f t="shared" si="74"/>
        <v/>
      </c>
      <c r="N353" t="str">
        <f t="shared" si="74"/>
        <v/>
      </c>
      <c r="O353" t="str">
        <f t="shared" si="74"/>
        <v/>
      </c>
      <c r="P353" t="str">
        <f t="shared" si="74"/>
        <v/>
      </c>
      <c r="Q353" t="str">
        <f t="shared" si="74"/>
        <v/>
      </c>
      <c r="R353" t="str">
        <f t="shared" si="74"/>
        <v/>
      </c>
      <c r="S353" t="str">
        <f t="shared" si="74"/>
        <v/>
      </c>
      <c r="T353" t="str">
        <f t="shared" si="74"/>
        <v/>
      </c>
      <c r="U353" t="str">
        <f t="shared" si="75"/>
        <v/>
      </c>
      <c r="V353" t="str">
        <f t="shared" si="75"/>
        <v/>
      </c>
      <c r="W353" t="str">
        <f t="shared" si="75"/>
        <v/>
      </c>
      <c r="X353" t="str">
        <f t="shared" si="75"/>
        <v/>
      </c>
      <c r="Y353" t="str">
        <f t="shared" si="75"/>
        <v/>
      </c>
      <c r="Z353" t="str">
        <f t="shared" si="75"/>
        <v/>
      </c>
      <c r="AA353" t="str">
        <f t="shared" si="75"/>
        <v/>
      </c>
      <c r="AB353" t="str">
        <f t="shared" si="75"/>
        <v/>
      </c>
      <c r="AC353">
        <f t="shared" si="71"/>
        <v>0</v>
      </c>
    </row>
    <row r="354" spans="1:29" x14ac:dyDescent="0.35">
      <c r="A354">
        <v>349</v>
      </c>
      <c r="B354" t="s">
        <v>11</v>
      </c>
      <c r="C354" t="s">
        <v>1233</v>
      </c>
      <c r="D354" t="s">
        <v>1270</v>
      </c>
      <c r="E354" t="s">
        <v>1271</v>
      </c>
      <c r="F354" t="s">
        <v>516</v>
      </c>
      <c r="G354" t="s">
        <v>0</v>
      </c>
      <c r="H354">
        <v>1.843</v>
      </c>
      <c r="I354">
        <v>2.7149999999999999</v>
      </c>
      <c r="J354" t="s">
        <v>6</v>
      </c>
      <c r="K354" t="str">
        <f t="shared" si="74"/>
        <v/>
      </c>
      <c r="L354" t="str">
        <f t="shared" si="74"/>
        <v/>
      </c>
      <c r="M354" t="str">
        <f t="shared" si="74"/>
        <v/>
      </c>
      <c r="N354" t="str">
        <f t="shared" si="74"/>
        <v/>
      </c>
      <c r="O354" t="str">
        <f t="shared" si="74"/>
        <v/>
      </c>
      <c r="P354" t="str">
        <f t="shared" si="74"/>
        <v/>
      </c>
      <c r="Q354" t="str">
        <f t="shared" si="74"/>
        <v/>
      </c>
      <c r="R354" t="str">
        <f t="shared" si="74"/>
        <v/>
      </c>
      <c r="S354" t="str">
        <f t="shared" si="74"/>
        <v/>
      </c>
      <c r="T354" t="str">
        <f t="shared" si="74"/>
        <v/>
      </c>
      <c r="U354" t="str">
        <f t="shared" si="75"/>
        <v/>
      </c>
      <c r="V354" t="str">
        <f t="shared" si="75"/>
        <v/>
      </c>
      <c r="W354" t="str">
        <f t="shared" si="75"/>
        <v/>
      </c>
      <c r="X354" t="str">
        <f t="shared" si="75"/>
        <v/>
      </c>
      <c r="Y354" t="str">
        <f t="shared" si="75"/>
        <v/>
      </c>
      <c r="Z354" t="str">
        <f t="shared" si="75"/>
        <v/>
      </c>
      <c r="AA354" t="str">
        <f t="shared" si="75"/>
        <v/>
      </c>
      <c r="AB354" t="str">
        <f t="shared" si="75"/>
        <v/>
      </c>
      <c r="AC354">
        <f t="shared" si="71"/>
        <v>0</v>
      </c>
    </row>
    <row r="355" spans="1:29" x14ac:dyDescent="0.35">
      <c r="A355">
        <v>350</v>
      </c>
      <c r="B355" t="s">
        <v>11</v>
      </c>
      <c r="C355" t="s">
        <v>1235</v>
      </c>
      <c r="D355" t="s">
        <v>1280</v>
      </c>
      <c r="E355" t="s">
        <v>1271</v>
      </c>
      <c r="F355" t="s">
        <v>889</v>
      </c>
      <c r="G355" t="s">
        <v>0</v>
      </c>
      <c r="H355">
        <v>2.0449999999999999</v>
      </c>
      <c r="I355">
        <v>2.7149999999999999</v>
      </c>
      <c r="J355" t="s">
        <v>6</v>
      </c>
      <c r="K355" t="str">
        <f t="shared" si="74"/>
        <v/>
      </c>
      <c r="L355" t="str">
        <f t="shared" si="74"/>
        <v/>
      </c>
      <c r="M355" t="str">
        <f t="shared" si="74"/>
        <v/>
      </c>
      <c r="N355" t="str">
        <f t="shared" si="74"/>
        <v/>
      </c>
      <c r="O355" t="str">
        <f t="shared" si="74"/>
        <v/>
      </c>
      <c r="P355" t="str">
        <f t="shared" si="74"/>
        <v/>
      </c>
      <c r="Q355" t="str">
        <f t="shared" si="74"/>
        <v/>
      </c>
      <c r="R355" t="str">
        <f t="shared" si="74"/>
        <v/>
      </c>
      <c r="S355" t="str">
        <f t="shared" si="74"/>
        <v/>
      </c>
      <c r="T355" t="str">
        <f t="shared" si="74"/>
        <v/>
      </c>
      <c r="U355" t="str">
        <f t="shared" si="75"/>
        <v/>
      </c>
      <c r="V355" t="str">
        <f t="shared" si="75"/>
        <v/>
      </c>
      <c r="W355" t="str">
        <f t="shared" si="75"/>
        <v/>
      </c>
      <c r="X355" t="str">
        <f t="shared" si="75"/>
        <v/>
      </c>
      <c r="Y355" t="str">
        <f t="shared" si="75"/>
        <v/>
      </c>
      <c r="Z355" t="str">
        <f t="shared" si="75"/>
        <v/>
      </c>
      <c r="AA355" t="str">
        <f t="shared" si="75"/>
        <v/>
      </c>
      <c r="AB355" t="str">
        <f t="shared" si="75"/>
        <v/>
      </c>
      <c r="AC355">
        <f t="shared" si="71"/>
        <v>0</v>
      </c>
    </row>
    <row r="356" spans="1:29" x14ac:dyDescent="0.35">
      <c r="A356">
        <v>351</v>
      </c>
      <c r="B356" t="s">
        <v>11</v>
      </c>
      <c r="C356" t="s">
        <v>929</v>
      </c>
      <c r="D356" t="s">
        <v>931</v>
      </c>
      <c r="E356" t="s">
        <v>930</v>
      </c>
      <c r="F356" t="s">
        <v>889</v>
      </c>
      <c r="G356" t="s">
        <v>2</v>
      </c>
      <c r="H356">
        <v>1.99</v>
      </c>
      <c r="I356">
        <v>2.7149999999999999</v>
      </c>
      <c r="J356" t="s">
        <v>6</v>
      </c>
      <c r="K356" t="str">
        <f t="shared" ref="K356:T365" si="76">IFERROR(IFERROR(IF(K$5=$K$1,VLOOKUP($A356,dormitorios,2,0),IF(K$5=$L$1,VLOOKUP($A356,comedor,2,0),IF(K$5=$M$1,VLOOKUP($A356,alojamiento,2,0),IF(K$5=$N$1,VLOOKUP($A356,sanidad,2,0),IF(K$5=$O$1,VLOOKUP($A356,servicios,2,0),IF(K$5=$P$1,VLOOKUP($A356,comyaloj,2,0),IF(K$5=$Q$1,VLOOKUP($A356,comandancia,2,0),IF(K$5=$R$1,VLOOKUP($A356,mantenimiento,2,0),IF(K$5=$S$1,VLOOKUP($A356,serestatal,2,0),IF(K$5=$T$1,VLOOKUP($A356,conferencias,2,0),"")))))))))),"")*K$3,"")</f>
        <v/>
      </c>
      <c r="L356" t="str">
        <f t="shared" si="76"/>
        <v/>
      </c>
      <c r="M356" t="str">
        <f t="shared" si="76"/>
        <v/>
      </c>
      <c r="N356" t="str">
        <f t="shared" si="76"/>
        <v/>
      </c>
      <c r="O356" t="str">
        <f t="shared" si="76"/>
        <v/>
      </c>
      <c r="P356" t="str">
        <f t="shared" si="76"/>
        <v/>
      </c>
      <c r="Q356" t="str">
        <f t="shared" si="76"/>
        <v/>
      </c>
      <c r="R356" t="str">
        <f t="shared" si="76"/>
        <v/>
      </c>
      <c r="S356" t="str">
        <f t="shared" si="76"/>
        <v/>
      </c>
      <c r="T356" t="str">
        <f t="shared" si="76"/>
        <v/>
      </c>
      <c r="U356" t="str">
        <f t="shared" ref="U356:AB365" si="77">IFERROR(IFERROR(IF(U$5=$K$1,VLOOKUP($A356,dormitorios,2,0),IF(U$5=$L$1,VLOOKUP($A356,comedor,2,0),IF(U$5=$M$1,VLOOKUP($A356,alojamiento,2,0),IF(U$5=$N$1,VLOOKUP($A356,sanidad,2,0),IF(U$5=$O$1,VLOOKUP($A356,servicios,2,0),IF(U$5=$P$1,VLOOKUP($A356,comyaloj,2,0),IF(U$5=$Q$1,VLOOKUP($A356,comandancia,2,0),IF(U$5=$R$1,VLOOKUP($A356,mantenimiento,2,0),IF(U$5=$S$1,VLOOKUP($A356,serestatal,2,0),IF(U$5=$T$1,VLOOKUP($A356,conferencias,2,0),"")))))))))),"")*U$3,"")</f>
        <v/>
      </c>
      <c r="V356" t="str">
        <f t="shared" si="77"/>
        <v/>
      </c>
      <c r="W356" t="str">
        <f t="shared" si="77"/>
        <v/>
      </c>
      <c r="X356" t="str">
        <f t="shared" si="77"/>
        <v/>
      </c>
      <c r="Y356" t="str">
        <f t="shared" si="77"/>
        <v/>
      </c>
      <c r="Z356" t="str">
        <f t="shared" si="77"/>
        <v/>
      </c>
      <c r="AA356" t="str">
        <f t="shared" si="77"/>
        <v/>
      </c>
      <c r="AB356" t="str">
        <f t="shared" si="77"/>
        <v/>
      </c>
      <c r="AC356">
        <f t="shared" si="71"/>
        <v>0</v>
      </c>
    </row>
    <row r="357" spans="1:29" x14ac:dyDescent="0.35">
      <c r="A357">
        <v>352</v>
      </c>
      <c r="B357" t="s">
        <v>11</v>
      </c>
      <c r="C357" t="s">
        <v>1196</v>
      </c>
      <c r="D357" t="s">
        <v>1197</v>
      </c>
      <c r="E357" t="s">
        <v>1198</v>
      </c>
      <c r="F357" t="s">
        <v>889</v>
      </c>
      <c r="G357" t="s">
        <v>0</v>
      </c>
      <c r="H357">
        <v>2.02</v>
      </c>
      <c r="I357">
        <v>2.7149999999999999</v>
      </c>
      <c r="J357" t="s">
        <v>6</v>
      </c>
      <c r="K357" t="str">
        <f t="shared" si="76"/>
        <v/>
      </c>
      <c r="L357" t="str">
        <f t="shared" si="76"/>
        <v/>
      </c>
      <c r="M357" t="str">
        <f t="shared" si="76"/>
        <v/>
      </c>
      <c r="N357" t="str">
        <f t="shared" si="76"/>
        <v/>
      </c>
      <c r="O357" t="str">
        <f t="shared" si="76"/>
        <v/>
      </c>
      <c r="P357" t="str">
        <f t="shared" si="76"/>
        <v/>
      </c>
      <c r="Q357" t="str">
        <f t="shared" si="76"/>
        <v/>
      </c>
      <c r="R357" t="str">
        <f t="shared" si="76"/>
        <v/>
      </c>
      <c r="S357" t="str">
        <f t="shared" si="76"/>
        <v/>
      </c>
      <c r="T357" t="str">
        <f t="shared" si="76"/>
        <v/>
      </c>
      <c r="U357" t="str">
        <f t="shared" si="77"/>
        <v/>
      </c>
      <c r="V357" t="str">
        <f t="shared" si="77"/>
        <v/>
      </c>
      <c r="W357" t="str">
        <f t="shared" si="77"/>
        <v/>
      </c>
      <c r="X357" t="str">
        <f t="shared" si="77"/>
        <v/>
      </c>
      <c r="Y357" t="str">
        <f t="shared" si="77"/>
        <v/>
      </c>
      <c r="Z357" t="str">
        <f t="shared" si="77"/>
        <v/>
      </c>
      <c r="AA357" t="str">
        <f t="shared" si="77"/>
        <v/>
      </c>
      <c r="AB357" t="str">
        <f t="shared" si="77"/>
        <v/>
      </c>
      <c r="AC357">
        <f t="shared" si="71"/>
        <v>0</v>
      </c>
    </row>
    <row r="358" spans="1:29" x14ac:dyDescent="0.35">
      <c r="A358">
        <v>353</v>
      </c>
      <c r="B358" t="s">
        <v>11</v>
      </c>
      <c r="C358" t="s">
        <v>123</v>
      </c>
      <c r="D358" t="s">
        <v>245</v>
      </c>
      <c r="E358" t="s">
        <v>305</v>
      </c>
      <c r="F358" t="s">
        <v>889</v>
      </c>
      <c r="G358" t="s">
        <v>0</v>
      </c>
      <c r="H358">
        <v>1.95</v>
      </c>
      <c r="I358">
        <v>2.7149999999999999</v>
      </c>
      <c r="J358" t="s">
        <v>6</v>
      </c>
      <c r="K358" t="str">
        <f t="shared" si="76"/>
        <v/>
      </c>
      <c r="L358" t="str">
        <f t="shared" si="76"/>
        <v/>
      </c>
      <c r="M358" t="str">
        <f t="shared" si="76"/>
        <v/>
      </c>
      <c r="N358" t="str">
        <f t="shared" si="76"/>
        <v/>
      </c>
      <c r="O358" t="str">
        <f t="shared" si="76"/>
        <v/>
      </c>
      <c r="P358" t="str">
        <f t="shared" si="76"/>
        <v/>
      </c>
      <c r="Q358" t="str">
        <f t="shared" si="76"/>
        <v/>
      </c>
      <c r="R358" t="str">
        <f t="shared" si="76"/>
        <v/>
      </c>
      <c r="S358" t="str">
        <f t="shared" si="76"/>
        <v/>
      </c>
      <c r="T358" t="str">
        <f t="shared" si="76"/>
        <v/>
      </c>
      <c r="U358" t="str">
        <f t="shared" si="77"/>
        <v/>
      </c>
      <c r="V358" t="str">
        <f t="shared" si="77"/>
        <v/>
      </c>
      <c r="W358" t="str">
        <f t="shared" si="77"/>
        <v/>
      </c>
      <c r="X358" t="str">
        <f t="shared" si="77"/>
        <v/>
      </c>
      <c r="Y358" t="str">
        <f t="shared" si="77"/>
        <v/>
      </c>
      <c r="Z358" t="str">
        <f t="shared" si="77"/>
        <v/>
      </c>
      <c r="AA358" t="str">
        <f t="shared" si="77"/>
        <v/>
      </c>
      <c r="AB358" t="str">
        <f t="shared" si="77"/>
        <v/>
      </c>
      <c r="AC358">
        <f t="shared" si="71"/>
        <v>0</v>
      </c>
    </row>
    <row r="359" spans="1:29" x14ac:dyDescent="0.35">
      <c r="A359">
        <v>354</v>
      </c>
      <c r="B359" t="s">
        <v>11</v>
      </c>
      <c r="C359" t="s">
        <v>304</v>
      </c>
      <c r="D359" t="s">
        <v>303</v>
      </c>
      <c r="E359" t="s">
        <v>305</v>
      </c>
      <c r="F359" t="s">
        <v>889</v>
      </c>
      <c r="G359" t="s">
        <v>2</v>
      </c>
      <c r="H359">
        <v>1.99</v>
      </c>
      <c r="I359">
        <v>2.7149999999999999</v>
      </c>
      <c r="J359" t="s">
        <v>6</v>
      </c>
      <c r="K359" t="str">
        <f t="shared" si="76"/>
        <v/>
      </c>
      <c r="L359" t="str">
        <f t="shared" si="76"/>
        <v/>
      </c>
      <c r="M359" t="str">
        <f t="shared" si="76"/>
        <v/>
      </c>
      <c r="N359" t="str">
        <f t="shared" si="76"/>
        <v/>
      </c>
      <c r="O359" t="str">
        <f t="shared" si="76"/>
        <v/>
      </c>
      <c r="P359" t="str">
        <f t="shared" si="76"/>
        <v/>
      </c>
      <c r="Q359" t="str">
        <f t="shared" si="76"/>
        <v/>
      </c>
      <c r="R359" t="str">
        <f t="shared" si="76"/>
        <v/>
      </c>
      <c r="S359" t="str">
        <f t="shared" si="76"/>
        <v/>
      </c>
      <c r="T359" t="str">
        <f t="shared" si="76"/>
        <v/>
      </c>
      <c r="U359" t="str">
        <f t="shared" si="77"/>
        <v/>
      </c>
      <c r="V359" t="str">
        <f t="shared" si="77"/>
        <v/>
      </c>
      <c r="W359" t="str">
        <f t="shared" si="77"/>
        <v/>
      </c>
      <c r="X359" t="str">
        <f t="shared" si="77"/>
        <v/>
      </c>
      <c r="Y359" t="str">
        <f t="shared" si="77"/>
        <v/>
      </c>
      <c r="Z359" t="str">
        <f t="shared" si="77"/>
        <v/>
      </c>
      <c r="AA359" t="str">
        <f t="shared" si="77"/>
        <v/>
      </c>
      <c r="AB359" t="str">
        <f t="shared" si="77"/>
        <v/>
      </c>
      <c r="AC359">
        <f t="shared" si="71"/>
        <v>0</v>
      </c>
    </row>
    <row r="360" spans="1:29" x14ac:dyDescent="0.35">
      <c r="A360">
        <v>355</v>
      </c>
      <c r="B360" t="s">
        <v>11</v>
      </c>
      <c r="C360" t="s">
        <v>387</v>
      </c>
      <c r="D360" t="s">
        <v>388</v>
      </c>
      <c r="E360" t="s">
        <v>423</v>
      </c>
      <c r="F360" t="s">
        <v>889</v>
      </c>
      <c r="G360" t="s">
        <v>0</v>
      </c>
      <c r="H360">
        <v>2.0299999999999998</v>
      </c>
      <c r="I360">
        <v>2.5</v>
      </c>
      <c r="J360" t="s">
        <v>6</v>
      </c>
      <c r="K360" t="str">
        <f t="shared" si="76"/>
        <v/>
      </c>
      <c r="L360" t="str">
        <f t="shared" si="76"/>
        <v/>
      </c>
      <c r="M360" t="str">
        <f t="shared" si="76"/>
        <v/>
      </c>
      <c r="N360" t="str">
        <f t="shared" si="76"/>
        <v/>
      </c>
      <c r="O360" t="str">
        <f t="shared" si="76"/>
        <v/>
      </c>
      <c r="P360" t="str">
        <f t="shared" si="76"/>
        <v/>
      </c>
      <c r="Q360" t="str">
        <f t="shared" si="76"/>
        <v/>
      </c>
      <c r="R360" t="str">
        <f t="shared" si="76"/>
        <v/>
      </c>
      <c r="S360" t="str">
        <f t="shared" si="76"/>
        <v/>
      </c>
      <c r="T360" t="str">
        <f t="shared" si="76"/>
        <v/>
      </c>
      <c r="U360" t="str">
        <f t="shared" si="77"/>
        <v/>
      </c>
      <c r="V360" t="str">
        <f t="shared" si="77"/>
        <v/>
      </c>
      <c r="W360" t="str">
        <f t="shared" si="77"/>
        <v/>
      </c>
      <c r="X360" t="str">
        <f t="shared" si="77"/>
        <v/>
      </c>
      <c r="Y360" t="str">
        <f t="shared" si="77"/>
        <v/>
      </c>
      <c r="Z360" t="str">
        <f t="shared" si="77"/>
        <v/>
      </c>
      <c r="AA360" t="str">
        <f t="shared" si="77"/>
        <v/>
      </c>
      <c r="AB360" t="str">
        <f t="shared" si="77"/>
        <v/>
      </c>
      <c r="AC360">
        <f t="shared" si="71"/>
        <v>0</v>
      </c>
    </row>
    <row r="361" spans="1:29" x14ac:dyDescent="0.35">
      <c r="A361">
        <v>356</v>
      </c>
      <c r="B361" t="s">
        <v>11</v>
      </c>
      <c r="C361" t="s">
        <v>599</v>
      </c>
      <c r="D361" t="s">
        <v>600</v>
      </c>
      <c r="E361" t="s">
        <v>601</v>
      </c>
      <c r="F361" t="s">
        <v>889</v>
      </c>
      <c r="G361" t="s">
        <v>0</v>
      </c>
      <c r="H361">
        <v>1.96</v>
      </c>
      <c r="I361">
        <v>2.7149999999999999</v>
      </c>
      <c r="J361" t="s">
        <v>6</v>
      </c>
      <c r="K361" t="str">
        <f t="shared" si="76"/>
        <v/>
      </c>
      <c r="L361" t="str">
        <f t="shared" si="76"/>
        <v/>
      </c>
      <c r="M361" t="str">
        <f t="shared" si="76"/>
        <v/>
      </c>
      <c r="N361" t="str">
        <f t="shared" si="76"/>
        <v/>
      </c>
      <c r="O361" t="str">
        <f t="shared" si="76"/>
        <v/>
      </c>
      <c r="P361" t="str">
        <f t="shared" si="76"/>
        <v/>
      </c>
      <c r="Q361" t="str">
        <f t="shared" si="76"/>
        <v/>
      </c>
      <c r="R361" t="str">
        <f t="shared" si="76"/>
        <v/>
      </c>
      <c r="S361" t="str">
        <f t="shared" si="76"/>
        <v/>
      </c>
      <c r="T361" t="str">
        <f t="shared" si="76"/>
        <v/>
      </c>
      <c r="U361" t="str">
        <f t="shared" si="77"/>
        <v/>
      </c>
      <c r="V361" t="str">
        <f t="shared" si="77"/>
        <v/>
      </c>
      <c r="W361" t="str">
        <f t="shared" si="77"/>
        <v/>
      </c>
      <c r="X361" t="str">
        <f t="shared" si="77"/>
        <v/>
      </c>
      <c r="Y361" t="str">
        <f t="shared" si="77"/>
        <v/>
      </c>
      <c r="Z361" t="str">
        <f t="shared" si="77"/>
        <v/>
      </c>
      <c r="AA361" t="str">
        <f t="shared" si="77"/>
        <v/>
      </c>
      <c r="AB361" t="str">
        <f t="shared" si="77"/>
        <v/>
      </c>
      <c r="AC361">
        <f t="shared" si="71"/>
        <v>0</v>
      </c>
    </row>
    <row r="362" spans="1:29" x14ac:dyDescent="0.35">
      <c r="A362">
        <v>357</v>
      </c>
      <c r="B362" t="s">
        <v>11</v>
      </c>
      <c r="C362" t="s">
        <v>746</v>
      </c>
      <c r="D362" t="s">
        <v>747</v>
      </c>
      <c r="E362" t="s">
        <v>601</v>
      </c>
      <c r="F362" t="s">
        <v>673</v>
      </c>
      <c r="G362" t="s">
        <v>0</v>
      </c>
      <c r="H362">
        <v>1.96</v>
      </c>
      <c r="I362">
        <v>2.7149999999999999</v>
      </c>
      <c r="J362" t="s">
        <v>6</v>
      </c>
      <c r="K362" t="str">
        <f t="shared" si="76"/>
        <v/>
      </c>
      <c r="L362" t="str">
        <f t="shared" si="76"/>
        <v/>
      </c>
      <c r="M362" t="str">
        <f t="shared" si="76"/>
        <v/>
      </c>
      <c r="N362" t="str">
        <f t="shared" si="76"/>
        <v/>
      </c>
      <c r="O362" t="str">
        <f t="shared" si="76"/>
        <v/>
      </c>
      <c r="P362" t="str">
        <f t="shared" si="76"/>
        <v/>
      </c>
      <c r="Q362" t="str">
        <f t="shared" si="76"/>
        <v/>
      </c>
      <c r="R362" t="str">
        <f t="shared" si="76"/>
        <v/>
      </c>
      <c r="S362" t="str">
        <f t="shared" si="76"/>
        <v/>
      </c>
      <c r="T362" t="str">
        <f t="shared" si="76"/>
        <v/>
      </c>
      <c r="U362" t="str">
        <f t="shared" si="77"/>
        <v/>
      </c>
      <c r="V362" t="str">
        <f t="shared" si="77"/>
        <v/>
      </c>
      <c r="W362" t="str">
        <f t="shared" si="77"/>
        <v/>
      </c>
      <c r="X362" t="str">
        <f t="shared" si="77"/>
        <v/>
      </c>
      <c r="Y362" t="str">
        <f t="shared" si="77"/>
        <v/>
      </c>
      <c r="Z362" t="str">
        <f t="shared" si="77"/>
        <v/>
      </c>
      <c r="AA362" t="str">
        <f t="shared" si="77"/>
        <v/>
      </c>
      <c r="AB362" t="str">
        <f t="shared" si="77"/>
        <v/>
      </c>
      <c r="AC362">
        <f t="shared" si="71"/>
        <v>0</v>
      </c>
    </row>
    <row r="363" spans="1:29" x14ac:dyDescent="0.35">
      <c r="A363">
        <v>358</v>
      </c>
      <c r="B363" t="s">
        <v>11</v>
      </c>
      <c r="C363" t="s">
        <v>877</v>
      </c>
      <c r="D363" t="s">
        <v>878</v>
      </c>
      <c r="E363" t="s">
        <v>601</v>
      </c>
      <c r="F363" t="s">
        <v>673</v>
      </c>
      <c r="G363" t="s">
        <v>0</v>
      </c>
      <c r="H363">
        <v>2.02</v>
      </c>
      <c r="I363">
        <v>2.7149999999999999</v>
      </c>
      <c r="J363" t="s">
        <v>6</v>
      </c>
      <c r="K363" t="str">
        <f t="shared" si="76"/>
        <v/>
      </c>
      <c r="L363" t="str">
        <f t="shared" si="76"/>
        <v/>
      </c>
      <c r="M363" t="str">
        <f t="shared" si="76"/>
        <v/>
      </c>
      <c r="N363" t="str">
        <f t="shared" si="76"/>
        <v/>
      </c>
      <c r="O363" t="str">
        <f t="shared" si="76"/>
        <v/>
      </c>
      <c r="P363" t="str">
        <f t="shared" si="76"/>
        <v/>
      </c>
      <c r="Q363" t="str">
        <f t="shared" si="76"/>
        <v/>
      </c>
      <c r="R363" t="str">
        <f t="shared" si="76"/>
        <v/>
      </c>
      <c r="S363" t="str">
        <f t="shared" si="76"/>
        <v/>
      </c>
      <c r="T363" t="str">
        <f t="shared" si="76"/>
        <v/>
      </c>
      <c r="U363" t="str">
        <f t="shared" si="77"/>
        <v/>
      </c>
      <c r="V363" t="str">
        <f t="shared" si="77"/>
        <v/>
      </c>
      <c r="W363" t="str">
        <f t="shared" si="77"/>
        <v/>
      </c>
      <c r="X363" t="str">
        <f t="shared" si="77"/>
        <v/>
      </c>
      <c r="Y363" t="str">
        <f t="shared" si="77"/>
        <v/>
      </c>
      <c r="Z363" t="str">
        <f t="shared" si="77"/>
        <v/>
      </c>
      <c r="AA363" t="str">
        <f t="shared" si="77"/>
        <v/>
      </c>
      <c r="AB363" t="str">
        <f t="shared" si="77"/>
        <v/>
      </c>
      <c r="AC363">
        <f t="shared" si="71"/>
        <v>0</v>
      </c>
    </row>
    <row r="364" spans="1:29" x14ac:dyDescent="0.35">
      <c r="A364">
        <v>359</v>
      </c>
      <c r="B364" t="s">
        <v>11</v>
      </c>
      <c r="C364" t="s">
        <v>1036</v>
      </c>
      <c r="D364" t="s">
        <v>1034</v>
      </c>
      <c r="E364" t="s">
        <v>1033</v>
      </c>
      <c r="F364" t="s">
        <v>516</v>
      </c>
      <c r="G364" t="s">
        <v>0</v>
      </c>
      <c r="H364">
        <v>1.968</v>
      </c>
      <c r="I364">
        <v>2.7149999999999999</v>
      </c>
      <c r="J364" t="s">
        <v>6</v>
      </c>
      <c r="K364" t="str">
        <f t="shared" si="76"/>
        <v/>
      </c>
      <c r="L364" t="str">
        <f t="shared" si="76"/>
        <v/>
      </c>
      <c r="M364">
        <f t="shared" si="76"/>
        <v>4</v>
      </c>
      <c r="N364" t="str">
        <f t="shared" si="76"/>
        <v/>
      </c>
      <c r="O364" t="str">
        <f t="shared" si="76"/>
        <v/>
      </c>
      <c r="P364" t="str">
        <f t="shared" si="76"/>
        <v/>
      </c>
      <c r="Q364" t="str">
        <f t="shared" si="76"/>
        <v/>
      </c>
      <c r="R364" t="str">
        <f t="shared" si="76"/>
        <v/>
      </c>
      <c r="S364" t="str">
        <f t="shared" si="76"/>
        <v/>
      </c>
      <c r="T364" t="str">
        <f t="shared" si="76"/>
        <v/>
      </c>
      <c r="U364" t="str">
        <f t="shared" si="77"/>
        <v/>
      </c>
      <c r="V364" t="str">
        <f t="shared" si="77"/>
        <v/>
      </c>
      <c r="W364" t="str">
        <f t="shared" si="77"/>
        <v/>
      </c>
      <c r="X364" t="str">
        <f t="shared" si="77"/>
        <v/>
      </c>
      <c r="Y364" t="str">
        <f t="shared" si="77"/>
        <v/>
      </c>
      <c r="Z364" t="str">
        <f t="shared" si="77"/>
        <v/>
      </c>
      <c r="AA364" t="str">
        <f t="shared" si="77"/>
        <v/>
      </c>
      <c r="AB364" t="str">
        <f t="shared" si="77"/>
        <v/>
      </c>
      <c r="AC364">
        <f t="shared" si="71"/>
        <v>4</v>
      </c>
    </row>
    <row r="365" spans="1:29" x14ac:dyDescent="0.35">
      <c r="A365">
        <v>360</v>
      </c>
      <c r="B365" t="s">
        <v>11</v>
      </c>
      <c r="C365" t="s">
        <v>1037</v>
      </c>
      <c r="D365" t="s">
        <v>1035</v>
      </c>
      <c r="E365" t="s">
        <v>1033</v>
      </c>
      <c r="F365" t="s">
        <v>1017</v>
      </c>
      <c r="G365" t="s">
        <v>0</v>
      </c>
      <c r="H365">
        <v>1.968</v>
      </c>
      <c r="I365">
        <v>2.7149999999999999</v>
      </c>
      <c r="J365" t="s">
        <v>6</v>
      </c>
      <c r="K365" t="str">
        <f t="shared" si="76"/>
        <v/>
      </c>
      <c r="L365" t="str">
        <f t="shared" si="76"/>
        <v/>
      </c>
      <c r="M365">
        <f t="shared" si="76"/>
        <v>4</v>
      </c>
      <c r="N365" t="str">
        <f t="shared" si="76"/>
        <v/>
      </c>
      <c r="O365" t="str">
        <f t="shared" si="76"/>
        <v/>
      </c>
      <c r="P365" t="str">
        <f t="shared" si="76"/>
        <v/>
      </c>
      <c r="Q365" t="str">
        <f t="shared" si="76"/>
        <v/>
      </c>
      <c r="R365" t="str">
        <f t="shared" si="76"/>
        <v/>
      </c>
      <c r="S365" t="str">
        <f t="shared" si="76"/>
        <v/>
      </c>
      <c r="T365" t="str">
        <f t="shared" si="76"/>
        <v/>
      </c>
      <c r="U365" t="str">
        <f t="shared" si="77"/>
        <v/>
      </c>
      <c r="V365" t="str">
        <f t="shared" si="77"/>
        <v/>
      </c>
      <c r="W365" t="str">
        <f t="shared" si="77"/>
        <v/>
      </c>
      <c r="X365" t="str">
        <f t="shared" si="77"/>
        <v/>
      </c>
      <c r="Y365" t="str">
        <f t="shared" si="77"/>
        <v/>
      </c>
      <c r="Z365" t="str">
        <f t="shared" si="77"/>
        <v/>
      </c>
      <c r="AA365" t="str">
        <f t="shared" si="77"/>
        <v/>
      </c>
      <c r="AB365" t="str">
        <f t="shared" si="77"/>
        <v/>
      </c>
      <c r="AC365">
        <f t="shared" si="71"/>
        <v>4</v>
      </c>
    </row>
    <row r="366" spans="1:29" x14ac:dyDescent="0.35">
      <c r="A366">
        <v>361</v>
      </c>
      <c r="B366" t="s">
        <v>11</v>
      </c>
      <c r="C366" t="s">
        <v>1106</v>
      </c>
      <c r="D366" t="s">
        <v>1107</v>
      </c>
      <c r="E366" t="s">
        <v>1108</v>
      </c>
      <c r="F366" t="s">
        <v>889</v>
      </c>
      <c r="G366" t="s">
        <v>2</v>
      </c>
      <c r="H366">
        <v>1.9990000000000001</v>
      </c>
      <c r="I366">
        <v>2.7149999999999999</v>
      </c>
      <c r="J366" t="s">
        <v>6</v>
      </c>
      <c r="K366" t="str">
        <f t="shared" ref="K366:T375" si="78">IFERROR(IFERROR(IF(K$5=$K$1,VLOOKUP($A366,dormitorios,2,0),IF(K$5=$L$1,VLOOKUP($A366,comedor,2,0),IF(K$5=$M$1,VLOOKUP($A366,alojamiento,2,0),IF(K$5=$N$1,VLOOKUP($A366,sanidad,2,0),IF(K$5=$O$1,VLOOKUP($A366,servicios,2,0),IF(K$5=$P$1,VLOOKUP($A366,comyaloj,2,0),IF(K$5=$Q$1,VLOOKUP($A366,comandancia,2,0),IF(K$5=$R$1,VLOOKUP($A366,mantenimiento,2,0),IF(K$5=$S$1,VLOOKUP($A366,serestatal,2,0),IF(K$5=$T$1,VLOOKUP($A366,conferencias,2,0),"")))))))))),"")*K$3,"")</f>
        <v/>
      </c>
      <c r="L366">
        <f t="shared" si="78"/>
        <v>6</v>
      </c>
      <c r="M366" t="str">
        <f t="shared" si="78"/>
        <v/>
      </c>
      <c r="N366" t="str">
        <f t="shared" si="78"/>
        <v/>
      </c>
      <c r="O366" t="str">
        <f t="shared" si="78"/>
        <v/>
      </c>
      <c r="P366" t="str">
        <f t="shared" si="78"/>
        <v/>
      </c>
      <c r="Q366" t="str">
        <f t="shared" si="78"/>
        <v/>
      </c>
      <c r="R366" t="str">
        <f t="shared" si="78"/>
        <v/>
      </c>
      <c r="S366" t="str">
        <f t="shared" si="78"/>
        <v/>
      </c>
      <c r="T366" t="str">
        <f t="shared" si="78"/>
        <v/>
      </c>
      <c r="U366" t="str">
        <f t="shared" ref="U366:AB375" si="79">IFERROR(IFERROR(IF(U$5=$K$1,VLOOKUP($A366,dormitorios,2,0),IF(U$5=$L$1,VLOOKUP($A366,comedor,2,0),IF(U$5=$M$1,VLOOKUP($A366,alojamiento,2,0),IF(U$5=$N$1,VLOOKUP($A366,sanidad,2,0),IF(U$5=$O$1,VLOOKUP($A366,servicios,2,0),IF(U$5=$P$1,VLOOKUP($A366,comyaloj,2,0),IF(U$5=$Q$1,VLOOKUP($A366,comandancia,2,0),IF(U$5=$R$1,VLOOKUP($A366,mantenimiento,2,0),IF(U$5=$S$1,VLOOKUP($A366,serestatal,2,0),IF(U$5=$T$1,VLOOKUP($A366,conferencias,2,0),"")))))))))),"")*U$3,"")</f>
        <v/>
      </c>
      <c r="V366" t="str">
        <f t="shared" si="79"/>
        <v/>
      </c>
      <c r="W366" t="str">
        <f t="shared" si="79"/>
        <v/>
      </c>
      <c r="X366" t="str">
        <f t="shared" si="79"/>
        <v/>
      </c>
      <c r="Y366" t="str">
        <f t="shared" si="79"/>
        <v/>
      </c>
      <c r="Z366" t="str">
        <f t="shared" si="79"/>
        <v/>
      </c>
      <c r="AA366" t="str">
        <f t="shared" si="79"/>
        <v/>
      </c>
      <c r="AB366" t="str">
        <f t="shared" si="79"/>
        <v/>
      </c>
      <c r="AC366">
        <f t="shared" si="71"/>
        <v>6</v>
      </c>
    </row>
    <row r="367" spans="1:29" x14ac:dyDescent="0.35">
      <c r="A367">
        <v>362</v>
      </c>
      <c r="B367" t="s">
        <v>11</v>
      </c>
      <c r="C367" t="s">
        <v>1163</v>
      </c>
      <c r="D367" t="s">
        <v>1164</v>
      </c>
      <c r="E367" t="s">
        <v>305</v>
      </c>
      <c r="F367" t="s">
        <v>889</v>
      </c>
      <c r="G367" t="s">
        <v>0</v>
      </c>
      <c r="H367">
        <v>1.968</v>
      </c>
      <c r="I367">
        <v>2.7149999999999999</v>
      </c>
      <c r="J367" t="s">
        <v>6</v>
      </c>
      <c r="K367" t="str">
        <f t="shared" si="78"/>
        <v/>
      </c>
      <c r="L367" t="str">
        <f t="shared" si="78"/>
        <v/>
      </c>
      <c r="M367" t="str">
        <f t="shared" si="78"/>
        <v/>
      </c>
      <c r="N367" t="str">
        <f t="shared" si="78"/>
        <v/>
      </c>
      <c r="O367" t="str">
        <f t="shared" si="78"/>
        <v/>
      </c>
      <c r="P367" t="str">
        <f t="shared" si="78"/>
        <v/>
      </c>
      <c r="Q367" t="str">
        <f t="shared" si="78"/>
        <v/>
      </c>
      <c r="R367" t="str">
        <f t="shared" si="78"/>
        <v/>
      </c>
      <c r="S367" t="str">
        <f t="shared" si="78"/>
        <v/>
      </c>
      <c r="T367" t="str">
        <f t="shared" si="78"/>
        <v/>
      </c>
      <c r="U367" t="str">
        <f t="shared" si="79"/>
        <v/>
      </c>
      <c r="V367" t="str">
        <f t="shared" si="79"/>
        <v/>
      </c>
      <c r="W367" t="str">
        <f t="shared" si="79"/>
        <v/>
      </c>
      <c r="X367" t="str">
        <f t="shared" si="79"/>
        <v/>
      </c>
      <c r="Y367" t="str">
        <f t="shared" si="79"/>
        <v/>
      </c>
      <c r="Z367" t="str">
        <f t="shared" si="79"/>
        <v/>
      </c>
      <c r="AA367" t="str">
        <f t="shared" si="79"/>
        <v/>
      </c>
      <c r="AB367" t="str">
        <f t="shared" si="79"/>
        <v/>
      </c>
      <c r="AC367">
        <f t="shared" si="71"/>
        <v>0</v>
      </c>
    </row>
    <row r="368" spans="1:29" x14ac:dyDescent="0.35">
      <c r="A368">
        <v>363</v>
      </c>
      <c r="B368" t="s">
        <v>11</v>
      </c>
      <c r="C368" t="s">
        <v>1274</v>
      </c>
      <c r="D368" t="s">
        <v>1275</v>
      </c>
      <c r="E368" t="s">
        <v>1278</v>
      </c>
      <c r="F368" t="s">
        <v>889</v>
      </c>
      <c r="G368" t="s">
        <v>2</v>
      </c>
      <c r="H368">
        <v>1.99</v>
      </c>
      <c r="I368">
        <v>2.7149999999999999</v>
      </c>
      <c r="J368" t="s">
        <v>6</v>
      </c>
      <c r="K368" t="str">
        <f t="shared" si="78"/>
        <v/>
      </c>
      <c r="L368" t="str">
        <f t="shared" si="78"/>
        <v/>
      </c>
      <c r="M368" t="str">
        <f t="shared" si="78"/>
        <v/>
      </c>
      <c r="N368" t="str">
        <f t="shared" si="78"/>
        <v/>
      </c>
      <c r="O368" t="str">
        <f t="shared" si="78"/>
        <v/>
      </c>
      <c r="P368" t="str">
        <f t="shared" si="78"/>
        <v/>
      </c>
      <c r="Q368" t="str">
        <f t="shared" si="78"/>
        <v/>
      </c>
      <c r="R368" t="str">
        <f t="shared" si="78"/>
        <v/>
      </c>
      <c r="S368" t="str">
        <f t="shared" si="78"/>
        <v/>
      </c>
      <c r="T368" t="str">
        <f t="shared" si="78"/>
        <v/>
      </c>
      <c r="U368" t="str">
        <f t="shared" si="79"/>
        <v/>
      </c>
      <c r="V368" t="str">
        <f t="shared" si="79"/>
        <v/>
      </c>
      <c r="W368" t="str">
        <f t="shared" si="79"/>
        <v/>
      </c>
      <c r="X368" t="str">
        <f t="shared" si="79"/>
        <v/>
      </c>
      <c r="Y368" t="str">
        <f t="shared" si="79"/>
        <v/>
      </c>
      <c r="Z368" t="str">
        <f t="shared" si="79"/>
        <v/>
      </c>
      <c r="AA368" t="str">
        <f t="shared" si="79"/>
        <v/>
      </c>
      <c r="AB368" t="str">
        <f t="shared" si="79"/>
        <v/>
      </c>
      <c r="AC368">
        <f t="shared" si="71"/>
        <v>0</v>
      </c>
    </row>
    <row r="369" spans="1:29" x14ac:dyDescent="0.35">
      <c r="A369">
        <v>364</v>
      </c>
      <c r="B369" t="s">
        <v>11</v>
      </c>
      <c r="C369" t="s">
        <v>1276</v>
      </c>
      <c r="D369" t="s">
        <v>1277</v>
      </c>
      <c r="E369" t="s">
        <v>1279</v>
      </c>
      <c r="F369" t="s">
        <v>889</v>
      </c>
      <c r="G369" t="s">
        <v>2</v>
      </c>
      <c r="H369">
        <v>1.99</v>
      </c>
      <c r="I369">
        <v>2.7149999999999999</v>
      </c>
      <c r="J369" t="s">
        <v>6</v>
      </c>
      <c r="K369" t="str">
        <f t="shared" si="78"/>
        <v/>
      </c>
      <c r="L369" t="str">
        <f t="shared" si="78"/>
        <v/>
      </c>
      <c r="M369" t="str">
        <f t="shared" si="78"/>
        <v/>
      </c>
      <c r="N369" t="str">
        <f t="shared" si="78"/>
        <v/>
      </c>
      <c r="O369" t="str">
        <f t="shared" si="78"/>
        <v/>
      </c>
      <c r="P369" t="str">
        <f t="shared" si="78"/>
        <v/>
      </c>
      <c r="Q369" t="str">
        <f t="shared" si="78"/>
        <v/>
      </c>
      <c r="R369" t="str">
        <f t="shared" si="78"/>
        <v/>
      </c>
      <c r="S369" t="str">
        <f t="shared" si="78"/>
        <v/>
      </c>
      <c r="T369" t="str">
        <f t="shared" si="78"/>
        <v/>
      </c>
      <c r="U369" t="str">
        <f t="shared" si="79"/>
        <v/>
      </c>
      <c r="V369" t="str">
        <f t="shared" si="79"/>
        <v/>
      </c>
      <c r="W369" t="str">
        <f t="shared" si="79"/>
        <v/>
      </c>
      <c r="X369" t="str">
        <f t="shared" si="79"/>
        <v/>
      </c>
      <c r="Y369" t="str">
        <f t="shared" si="79"/>
        <v/>
      </c>
      <c r="Z369" t="str">
        <f t="shared" si="79"/>
        <v/>
      </c>
      <c r="AA369" t="str">
        <f t="shared" si="79"/>
        <v/>
      </c>
      <c r="AB369" t="str">
        <f t="shared" si="79"/>
        <v/>
      </c>
      <c r="AC369">
        <f t="shared" si="71"/>
        <v>0</v>
      </c>
    </row>
    <row r="370" spans="1:29" x14ac:dyDescent="0.35">
      <c r="A370">
        <v>365</v>
      </c>
      <c r="B370" t="s">
        <v>12</v>
      </c>
      <c r="C370" t="s">
        <v>134</v>
      </c>
      <c r="D370" t="s">
        <v>266</v>
      </c>
      <c r="E370" t="s">
        <v>1</v>
      </c>
      <c r="F370" t="s">
        <v>135</v>
      </c>
      <c r="G370" t="s">
        <v>9</v>
      </c>
      <c r="H370">
        <v>1.9750000000000001</v>
      </c>
      <c r="I370">
        <v>2.7149999999999999</v>
      </c>
      <c r="J370" t="s">
        <v>6</v>
      </c>
      <c r="K370">
        <f t="shared" si="78"/>
        <v>18</v>
      </c>
      <c r="L370" t="str">
        <f t="shared" si="78"/>
        <v/>
      </c>
      <c r="M370" t="str">
        <f t="shared" si="78"/>
        <v/>
      </c>
      <c r="N370" t="str">
        <f t="shared" si="78"/>
        <v/>
      </c>
      <c r="O370" t="str">
        <f t="shared" si="78"/>
        <v/>
      </c>
      <c r="P370" t="str">
        <f t="shared" si="78"/>
        <v/>
      </c>
      <c r="Q370" t="str">
        <f t="shared" si="78"/>
        <v/>
      </c>
      <c r="R370" t="str">
        <f t="shared" si="78"/>
        <v/>
      </c>
      <c r="S370" t="str">
        <f t="shared" si="78"/>
        <v/>
      </c>
      <c r="T370" t="str">
        <f t="shared" si="78"/>
        <v/>
      </c>
      <c r="U370" t="str">
        <f t="shared" si="79"/>
        <v/>
      </c>
      <c r="V370" t="str">
        <f t="shared" si="79"/>
        <v/>
      </c>
      <c r="W370" t="str">
        <f t="shared" si="79"/>
        <v/>
      </c>
      <c r="X370" t="str">
        <f t="shared" si="79"/>
        <v/>
      </c>
      <c r="Y370" t="str">
        <f t="shared" si="79"/>
        <v/>
      </c>
      <c r="Z370" t="str">
        <f t="shared" si="79"/>
        <v/>
      </c>
      <c r="AA370" t="str">
        <f t="shared" si="79"/>
        <v/>
      </c>
      <c r="AB370" t="str">
        <f t="shared" si="79"/>
        <v/>
      </c>
      <c r="AC370">
        <f t="shared" si="71"/>
        <v>18</v>
      </c>
    </row>
    <row r="371" spans="1:29" x14ac:dyDescent="0.35">
      <c r="A371">
        <v>366</v>
      </c>
      <c r="B371" t="s">
        <v>12</v>
      </c>
      <c r="C371" t="s">
        <v>106</v>
      </c>
      <c r="D371" t="s">
        <v>267</v>
      </c>
      <c r="E371" t="s">
        <v>1</v>
      </c>
      <c r="F371" t="s">
        <v>135</v>
      </c>
      <c r="G371" t="s">
        <v>9</v>
      </c>
      <c r="H371">
        <v>1.05</v>
      </c>
      <c r="I371">
        <v>2.7149999999999999</v>
      </c>
      <c r="J371" t="s">
        <v>6</v>
      </c>
      <c r="K371" t="str">
        <f t="shared" si="78"/>
        <v/>
      </c>
      <c r="L371" t="str">
        <f t="shared" si="78"/>
        <v/>
      </c>
      <c r="M371" t="str">
        <f t="shared" si="78"/>
        <v/>
      </c>
      <c r="N371" t="str">
        <f t="shared" si="78"/>
        <v/>
      </c>
      <c r="O371" t="str">
        <f t="shared" si="78"/>
        <v/>
      </c>
      <c r="P371" t="str">
        <f t="shared" si="78"/>
        <v/>
      </c>
      <c r="Q371" t="str">
        <f t="shared" si="78"/>
        <v/>
      </c>
      <c r="R371" t="str">
        <f t="shared" si="78"/>
        <v/>
      </c>
      <c r="S371" t="str">
        <f t="shared" si="78"/>
        <v/>
      </c>
      <c r="T371" t="str">
        <f t="shared" si="78"/>
        <v/>
      </c>
      <c r="U371" t="str">
        <f t="shared" si="79"/>
        <v/>
      </c>
      <c r="V371" t="str">
        <f t="shared" si="79"/>
        <v/>
      </c>
      <c r="W371" t="str">
        <f t="shared" si="79"/>
        <v/>
      </c>
      <c r="X371" t="str">
        <f t="shared" si="79"/>
        <v/>
      </c>
      <c r="Y371" t="str">
        <f t="shared" si="79"/>
        <v/>
      </c>
      <c r="Z371" t="str">
        <f t="shared" si="79"/>
        <v/>
      </c>
      <c r="AA371" t="str">
        <f t="shared" si="79"/>
        <v/>
      </c>
      <c r="AB371" t="str">
        <f t="shared" si="79"/>
        <v/>
      </c>
      <c r="AC371">
        <f t="shared" si="71"/>
        <v>0</v>
      </c>
    </row>
    <row r="372" spans="1:29" x14ac:dyDescent="0.35">
      <c r="A372">
        <v>367</v>
      </c>
      <c r="B372" t="s">
        <v>12</v>
      </c>
      <c r="C372" t="s">
        <v>519</v>
      </c>
      <c r="D372" t="s">
        <v>515</v>
      </c>
      <c r="E372" t="s">
        <v>1</v>
      </c>
      <c r="F372" t="s">
        <v>710</v>
      </c>
      <c r="G372" t="s">
        <v>9</v>
      </c>
      <c r="H372">
        <v>1.9750000000000001</v>
      </c>
      <c r="I372">
        <v>2.7149999999999999</v>
      </c>
      <c r="J372" t="s">
        <v>6</v>
      </c>
      <c r="K372" t="str">
        <f t="shared" si="78"/>
        <v/>
      </c>
      <c r="L372" t="str">
        <f t="shared" si="78"/>
        <v/>
      </c>
      <c r="M372" t="str">
        <f t="shared" si="78"/>
        <v/>
      </c>
      <c r="N372" t="str">
        <f t="shared" si="78"/>
        <v/>
      </c>
      <c r="O372" t="str">
        <f t="shared" si="78"/>
        <v/>
      </c>
      <c r="P372" t="str">
        <f t="shared" si="78"/>
        <v/>
      </c>
      <c r="Q372" t="str">
        <f t="shared" si="78"/>
        <v/>
      </c>
      <c r="R372" t="str">
        <f t="shared" si="78"/>
        <v/>
      </c>
      <c r="S372" t="str">
        <f t="shared" si="78"/>
        <v/>
      </c>
      <c r="T372" t="str">
        <f t="shared" si="78"/>
        <v/>
      </c>
      <c r="U372" t="str">
        <f t="shared" si="79"/>
        <v/>
      </c>
      <c r="V372" t="str">
        <f t="shared" si="79"/>
        <v/>
      </c>
      <c r="W372" t="str">
        <f t="shared" si="79"/>
        <v/>
      </c>
      <c r="X372" t="str">
        <f t="shared" si="79"/>
        <v/>
      </c>
      <c r="Y372" t="str">
        <f t="shared" si="79"/>
        <v/>
      </c>
      <c r="Z372" t="str">
        <f t="shared" si="79"/>
        <v/>
      </c>
      <c r="AA372" t="str">
        <f t="shared" si="79"/>
        <v/>
      </c>
      <c r="AB372" t="str">
        <f t="shared" si="79"/>
        <v/>
      </c>
      <c r="AC372">
        <f t="shared" si="71"/>
        <v>0</v>
      </c>
    </row>
    <row r="373" spans="1:29" x14ac:dyDescent="0.35">
      <c r="A373">
        <v>368</v>
      </c>
      <c r="B373" t="s">
        <v>12</v>
      </c>
      <c r="C373" t="s">
        <v>521</v>
      </c>
      <c r="D373" t="s">
        <v>522</v>
      </c>
      <c r="E373" t="s">
        <v>523</v>
      </c>
      <c r="F373" t="s">
        <v>893</v>
      </c>
      <c r="G373" t="s">
        <v>9</v>
      </c>
      <c r="H373">
        <v>1.9750000000000001</v>
      </c>
      <c r="I373">
        <v>2.7149999999999999</v>
      </c>
      <c r="J373" t="s">
        <v>6</v>
      </c>
      <c r="K373">
        <f t="shared" si="78"/>
        <v>3</v>
      </c>
      <c r="L373">
        <f t="shared" si="78"/>
        <v>6</v>
      </c>
      <c r="M373">
        <f t="shared" si="78"/>
        <v>4</v>
      </c>
      <c r="N373" t="str">
        <f t="shared" si="78"/>
        <v/>
      </c>
      <c r="O373" t="str">
        <f t="shared" si="78"/>
        <v/>
      </c>
      <c r="P373" t="str">
        <f t="shared" si="78"/>
        <v/>
      </c>
      <c r="Q373" t="str">
        <f t="shared" si="78"/>
        <v/>
      </c>
      <c r="R373" t="str">
        <f t="shared" si="78"/>
        <v/>
      </c>
      <c r="S373" t="str">
        <f t="shared" si="78"/>
        <v/>
      </c>
      <c r="T373" t="str">
        <f t="shared" si="78"/>
        <v/>
      </c>
      <c r="U373" t="str">
        <f t="shared" si="79"/>
        <v/>
      </c>
      <c r="V373" t="str">
        <f t="shared" si="79"/>
        <v/>
      </c>
      <c r="W373" t="str">
        <f t="shared" si="79"/>
        <v/>
      </c>
      <c r="X373" t="str">
        <f t="shared" si="79"/>
        <v/>
      </c>
      <c r="Y373" t="str">
        <f t="shared" si="79"/>
        <v/>
      </c>
      <c r="Z373" t="str">
        <f t="shared" si="79"/>
        <v/>
      </c>
      <c r="AA373" t="str">
        <f t="shared" si="79"/>
        <v/>
      </c>
      <c r="AB373" t="str">
        <f t="shared" si="79"/>
        <v/>
      </c>
      <c r="AC373">
        <f t="shared" si="71"/>
        <v>13</v>
      </c>
    </row>
    <row r="374" spans="1:29" x14ac:dyDescent="0.35">
      <c r="A374">
        <v>369</v>
      </c>
      <c r="B374" t="s">
        <v>12</v>
      </c>
      <c r="C374" t="s">
        <v>602</v>
      </c>
      <c r="D374" t="s">
        <v>603</v>
      </c>
      <c r="E374" t="s">
        <v>1</v>
      </c>
      <c r="F374" t="s">
        <v>135</v>
      </c>
      <c r="G374" t="s">
        <v>9</v>
      </c>
      <c r="H374">
        <v>1.78</v>
      </c>
      <c r="I374">
        <v>2.7149999999999999</v>
      </c>
      <c r="J374" t="s">
        <v>6</v>
      </c>
      <c r="K374" t="str">
        <f t="shared" si="78"/>
        <v/>
      </c>
      <c r="L374" t="str">
        <f t="shared" si="78"/>
        <v/>
      </c>
      <c r="M374" t="str">
        <f t="shared" si="78"/>
        <v/>
      </c>
      <c r="N374" t="str">
        <f t="shared" si="78"/>
        <v/>
      </c>
      <c r="O374" t="str">
        <f t="shared" si="78"/>
        <v/>
      </c>
      <c r="P374" t="str">
        <f t="shared" si="78"/>
        <v/>
      </c>
      <c r="Q374" t="str">
        <f t="shared" si="78"/>
        <v/>
      </c>
      <c r="R374" t="str">
        <f t="shared" si="78"/>
        <v/>
      </c>
      <c r="S374" t="str">
        <f t="shared" si="78"/>
        <v/>
      </c>
      <c r="T374" t="str">
        <f t="shared" si="78"/>
        <v/>
      </c>
      <c r="U374" t="str">
        <f t="shared" si="79"/>
        <v/>
      </c>
      <c r="V374" t="str">
        <f t="shared" si="79"/>
        <v/>
      </c>
      <c r="W374" t="str">
        <f t="shared" si="79"/>
        <v/>
      </c>
      <c r="X374" t="str">
        <f t="shared" si="79"/>
        <v/>
      </c>
      <c r="Y374" t="str">
        <f t="shared" si="79"/>
        <v/>
      </c>
      <c r="Z374" t="str">
        <f t="shared" si="79"/>
        <v/>
      </c>
      <c r="AA374" t="str">
        <f t="shared" si="79"/>
        <v/>
      </c>
      <c r="AB374" t="str">
        <f t="shared" si="79"/>
        <v/>
      </c>
      <c r="AC374">
        <f t="shared" si="71"/>
        <v>0</v>
      </c>
    </row>
    <row r="375" spans="1:29" x14ac:dyDescent="0.35">
      <c r="A375">
        <v>370</v>
      </c>
      <c r="B375" t="s">
        <v>12</v>
      </c>
      <c r="C375" t="s">
        <v>660</v>
      </c>
      <c r="D375" t="s">
        <v>661</v>
      </c>
      <c r="E375" t="s">
        <v>662</v>
      </c>
      <c r="F375" t="s">
        <v>710</v>
      </c>
      <c r="G375" t="s">
        <v>9</v>
      </c>
      <c r="H375">
        <v>1.9750000000000001</v>
      </c>
      <c r="I375">
        <v>2.7149999999999999</v>
      </c>
      <c r="J375" t="s">
        <v>6</v>
      </c>
      <c r="K375">
        <f t="shared" si="78"/>
        <v>27</v>
      </c>
      <c r="L375">
        <f t="shared" si="78"/>
        <v>6</v>
      </c>
      <c r="M375">
        <f t="shared" si="78"/>
        <v>16</v>
      </c>
      <c r="N375" t="str">
        <f t="shared" si="78"/>
        <v/>
      </c>
      <c r="O375" t="str">
        <f t="shared" si="78"/>
        <v/>
      </c>
      <c r="P375" t="str">
        <f t="shared" si="78"/>
        <v/>
      </c>
      <c r="Q375" t="str">
        <f t="shared" si="78"/>
        <v/>
      </c>
      <c r="R375" t="str">
        <f t="shared" si="78"/>
        <v/>
      </c>
      <c r="S375" t="str">
        <f t="shared" si="78"/>
        <v/>
      </c>
      <c r="T375" t="str">
        <f t="shared" si="78"/>
        <v/>
      </c>
      <c r="U375" t="str">
        <f t="shared" si="79"/>
        <v/>
      </c>
      <c r="V375" t="str">
        <f t="shared" si="79"/>
        <v/>
      </c>
      <c r="W375" t="str">
        <f t="shared" si="79"/>
        <v/>
      </c>
      <c r="X375" t="str">
        <f t="shared" si="79"/>
        <v/>
      </c>
      <c r="Y375" t="str">
        <f t="shared" si="79"/>
        <v/>
      </c>
      <c r="Z375" t="str">
        <f t="shared" si="79"/>
        <v/>
      </c>
      <c r="AA375" t="str">
        <f t="shared" si="79"/>
        <v/>
      </c>
      <c r="AB375" t="str">
        <f t="shared" si="79"/>
        <v/>
      </c>
      <c r="AC375">
        <f t="shared" si="71"/>
        <v>49</v>
      </c>
    </row>
    <row r="376" spans="1:29" x14ac:dyDescent="0.35">
      <c r="A376">
        <v>371</v>
      </c>
      <c r="B376" t="s">
        <v>12</v>
      </c>
      <c r="C376" t="s">
        <v>700</v>
      </c>
      <c r="D376" t="s">
        <v>701</v>
      </c>
      <c r="E376" t="s">
        <v>662</v>
      </c>
      <c r="F376" t="s">
        <v>710</v>
      </c>
      <c r="G376" t="s">
        <v>9</v>
      </c>
      <c r="H376">
        <v>1.78</v>
      </c>
      <c r="I376">
        <v>2.7149999999999999</v>
      </c>
      <c r="J376" t="s">
        <v>6</v>
      </c>
      <c r="K376" t="str">
        <f t="shared" ref="K376:T385" si="80">IFERROR(IFERROR(IF(K$5=$K$1,VLOOKUP($A376,dormitorios,2,0),IF(K$5=$L$1,VLOOKUP($A376,comedor,2,0),IF(K$5=$M$1,VLOOKUP($A376,alojamiento,2,0),IF(K$5=$N$1,VLOOKUP($A376,sanidad,2,0),IF(K$5=$O$1,VLOOKUP($A376,servicios,2,0),IF(K$5=$P$1,VLOOKUP($A376,comyaloj,2,0),IF(K$5=$Q$1,VLOOKUP($A376,comandancia,2,0),IF(K$5=$R$1,VLOOKUP($A376,mantenimiento,2,0),IF(K$5=$S$1,VLOOKUP($A376,serestatal,2,0),IF(K$5=$T$1,VLOOKUP($A376,conferencias,2,0),"")))))))))),"")*K$3,"")</f>
        <v/>
      </c>
      <c r="L376" t="str">
        <f t="shared" si="80"/>
        <v/>
      </c>
      <c r="M376" t="str">
        <f t="shared" si="80"/>
        <v/>
      </c>
      <c r="N376" t="str">
        <f t="shared" si="80"/>
        <v/>
      </c>
      <c r="O376" t="str">
        <f t="shared" si="80"/>
        <v/>
      </c>
      <c r="P376" t="str">
        <f t="shared" si="80"/>
        <v/>
      </c>
      <c r="Q376" t="str">
        <f t="shared" si="80"/>
        <v/>
      </c>
      <c r="R376" t="str">
        <f t="shared" si="80"/>
        <v/>
      </c>
      <c r="S376" t="str">
        <f t="shared" si="80"/>
        <v/>
      </c>
      <c r="T376" t="str">
        <f t="shared" si="80"/>
        <v/>
      </c>
      <c r="U376" t="str">
        <f t="shared" ref="U376:AB385" si="81">IFERROR(IFERROR(IF(U$5=$K$1,VLOOKUP($A376,dormitorios,2,0),IF(U$5=$L$1,VLOOKUP($A376,comedor,2,0),IF(U$5=$M$1,VLOOKUP($A376,alojamiento,2,0),IF(U$5=$N$1,VLOOKUP($A376,sanidad,2,0),IF(U$5=$O$1,VLOOKUP($A376,servicios,2,0),IF(U$5=$P$1,VLOOKUP($A376,comyaloj,2,0),IF(U$5=$Q$1,VLOOKUP($A376,comandancia,2,0),IF(U$5=$R$1,VLOOKUP($A376,mantenimiento,2,0),IF(U$5=$S$1,VLOOKUP($A376,serestatal,2,0),IF(U$5=$T$1,VLOOKUP($A376,conferencias,2,0),"")))))))))),"")*U$3,"")</f>
        <v/>
      </c>
      <c r="V376" t="str">
        <f t="shared" si="81"/>
        <v/>
      </c>
      <c r="W376" t="str">
        <f t="shared" si="81"/>
        <v/>
      </c>
      <c r="X376" t="str">
        <f t="shared" si="81"/>
        <v/>
      </c>
      <c r="Y376" t="str">
        <f t="shared" si="81"/>
        <v/>
      </c>
      <c r="Z376" t="str">
        <f t="shared" si="81"/>
        <v/>
      </c>
      <c r="AA376" t="str">
        <f t="shared" si="81"/>
        <v/>
      </c>
      <c r="AB376" t="str">
        <f t="shared" si="81"/>
        <v/>
      </c>
      <c r="AC376">
        <f t="shared" si="71"/>
        <v>0</v>
      </c>
    </row>
    <row r="377" spans="1:29" x14ac:dyDescent="0.35">
      <c r="A377">
        <v>372</v>
      </c>
      <c r="B377" t="s">
        <v>12</v>
      </c>
      <c r="C377" t="s">
        <v>828</v>
      </c>
      <c r="D377" t="s">
        <v>829</v>
      </c>
      <c r="E377" t="s">
        <v>662</v>
      </c>
      <c r="F377" t="s">
        <v>710</v>
      </c>
      <c r="G377" t="s">
        <v>9</v>
      </c>
      <c r="H377">
        <v>1.05</v>
      </c>
      <c r="I377">
        <v>2.7149999999999999</v>
      </c>
      <c r="J377" t="s">
        <v>6</v>
      </c>
      <c r="K377" t="str">
        <f t="shared" si="80"/>
        <v/>
      </c>
      <c r="L377" t="str">
        <f t="shared" si="80"/>
        <v/>
      </c>
      <c r="M377" t="str">
        <f t="shared" si="80"/>
        <v/>
      </c>
      <c r="N377" t="str">
        <f t="shared" si="80"/>
        <v/>
      </c>
      <c r="O377" t="str">
        <f t="shared" si="80"/>
        <v/>
      </c>
      <c r="P377" t="str">
        <f t="shared" si="80"/>
        <v/>
      </c>
      <c r="Q377" t="str">
        <f t="shared" si="80"/>
        <v/>
      </c>
      <c r="R377" t="str">
        <f t="shared" si="80"/>
        <v/>
      </c>
      <c r="S377" t="str">
        <f t="shared" si="80"/>
        <v/>
      </c>
      <c r="T377" t="str">
        <f t="shared" si="80"/>
        <v/>
      </c>
      <c r="U377" t="str">
        <f t="shared" si="81"/>
        <v/>
      </c>
      <c r="V377" t="str">
        <f t="shared" si="81"/>
        <v/>
      </c>
      <c r="W377" t="str">
        <f t="shared" si="81"/>
        <v/>
      </c>
      <c r="X377" t="str">
        <f t="shared" si="81"/>
        <v/>
      </c>
      <c r="Y377" t="str">
        <f t="shared" si="81"/>
        <v/>
      </c>
      <c r="Z377" t="str">
        <f t="shared" si="81"/>
        <v/>
      </c>
      <c r="AA377" t="str">
        <f t="shared" si="81"/>
        <v/>
      </c>
      <c r="AB377" t="str">
        <f t="shared" si="81"/>
        <v/>
      </c>
      <c r="AC377">
        <f t="shared" si="71"/>
        <v>0</v>
      </c>
    </row>
    <row r="378" spans="1:29" x14ac:dyDescent="0.35">
      <c r="A378">
        <v>373</v>
      </c>
      <c r="B378" t="s">
        <v>12</v>
      </c>
      <c r="C378" t="s">
        <v>830</v>
      </c>
      <c r="D378" t="s">
        <v>831</v>
      </c>
      <c r="E378" t="s">
        <v>1067</v>
      </c>
      <c r="F378" t="s">
        <v>1068</v>
      </c>
      <c r="G378" t="s">
        <v>9</v>
      </c>
      <c r="H378">
        <v>1.9750000000000001</v>
      </c>
      <c r="I378">
        <v>2.7149999999999999</v>
      </c>
      <c r="J378" t="s">
        <v>6</v>
      </c>
      <c r="K378" t="str">
        <f t="shared" si="80"/>
        <v/>
      </c>
      <c r="L378" t="str">
        <f t="shared" si="80"/>
        <v/>
      </c>
      <c r="M378" t="str">
        <f t="shared" si="80"/>
        <v/>
      </c>
      <c r="N378" t="str">
        <f t="shared" si="80"/>
        <v/>
      </c>
      <c r="O378" t="str">
        <f t="shared" si="80"/>
        <v/>
      </c>
      <c r="P378" t="str">
        <f t="shared" si="80"/>
        <v/>
      </c>
      <c r="Q378" t="str">
        <f t="shared" si="80"/>
        <v/>
      </c>
      <c r="R378" t="str">
        <f t="shared" si="80"/>
        <v/>
      </c>
      <c r="S378" t="str">
        <f t="shared" si="80"/>
        <v/>
      </c>
      <c r="T378" t="str">
        <f t="shared" si="80"/>
        <v/>
      </c>
      <c r="U378" t="str">
        <f t="shared" si="81"/>
        <v/>
      </c>
      <c r="V378" t="str">
        <f t="shared" si="81"/>
        <v/>
      </c>
      <c r="W378" t="str">
        <f t="shared" si="81"/>
        <v/>
      </c>
      <c r="X378" t="str">
        <f t="shared" si="81"/>
        <v/>
      </c>
      <c r="Y378" t="str">
        <f t="shared" si="81"/>
        <v/>
      </c>
      <c r="Z378" t="str">
        <f t="shared" si="81"/>
        <v/>
      </c>
      <c r="AA378" t="str">
        <f t="shared" si="81"/>
        <v/>
      </c>
      <c r="AB378" t="str">
        <f t="shared" si="81"/>
        <v/>
      </c>
      <c r="AC378">
        <f t="shared" si="71"/>
        <v>0</v>
      </c>
    </row>
    <row r="379" spans="1:29" x14ac:dyDescent="0.35">
      <c r="A379">
        <v>374</v>
      </c>
      <c r="B379" t="s">
        <v>12</v>
      </c>
      <c r="C379" t="s">
        <v>860</v>
      </c>
      <c r="D379" t="s">
        <v>861</v>
      </c>
      <c r="E379" t="s">
        <v>859</v>
      </c>
      <c r="F379" t="s">
        <v>710</v>
      </c>
      <c r="G379" t="s">
        <v>9</v>
      </c>
      <c r="H379">
        <v>1.9750000000000001</v>
      </c>
      <c r="I379">
        <v>2.7149999999999999</v>
      </c>
      <c r="J379" t="s">
        <v>6</v>
      </c>
      <c r="K379" t="str">
        <f t="shared" si="80"/>
        <v/>
      </c>
      <c r="L379" t="str">
        <f t="shared" si="80"/>
        <v/>
      </c>
      <c r="M379" t="str">
        <f t="shared" si="80"/>
        <v/>
      </c>
      <c r="N379" t="str">
        <f t="shared" si="80"/>
        <v/>
      </c>
      <c r="O379" t="str">
        <f t="shared" si="80"/>
        <v/>
      </c>
      <c r="P379" t="str">
        <f t="shared" si="80"/>
        <v/>
      </c>
      <c r="Q379" t="str">
        <f t="shared" si="80"/>
        <v/>
      </c>
      <c r="R379" t="str">
        <f t="shared" si="80"/>
        <v/>
      </c>
      <c r="S379" t="str">
        <f t="shared" si="80"/>
        <v/>
      </c>
      <c r="T379" t="str">
        <f t="shared" si="80"/>
        <v/>
      </c>
      <c r="U379" t="str">
        <f t="shared" si="81"/>
        <v/>
      </c>
      <c r="V379" t="str">
        <f t="shared" si="81"/>
        <v/>
      </c>
      <c r="W379" t="str">
        <f t="shared" si="81"/>
        <v/>
      </c>
      <c r="X379" t="str">
        <f t="shared" si="81"/>
        <v/>
      </c>
      <c r="Y379" t="str">
        <f t="shared" si="81"/>
        <v/>
      </c>
      <c r="Z379" t="str">
        <f t="shared" si="81"/>
        <v/>
      </c>
      <c r="AA379" t="str">
        <f t="shared" si="81"/>
        <v/>
      </c>
      <c r="AB379" t="str">
        <f t="shared" si="81"/>
        <v/>
      </c>
      <c r="AC379">
        <f t="shared" si="71"/>
        <v>0</v>
      </c>
    </row>
    <row r="380" spans="1:29" x14ac:dyDescent="0.35">
      <c r="A380">
        <v>375</v>
      </c>
      <c r="B380" t="s">
        <v>12</v>
      </c>
      <c r="C380" t="s">
        <v>873</v>
      </c>
      <c r="D380" t="s">
        <v>874</v>
      </c>
      <c r="E380" t="s">
        <v>859</v>
      </c>
      <c r="F380" t="s">
        <v>710</v>
      </c>
      <c r="G380" t="s">
        <v>9</v>
      </c>
      <c r="H380">
        <v>1.9750000000000001</v>
      </c>
      <c r="I380">
        <v>2.7149999999999999</v>
      </c>
      <c r="J380" t="s">
        <v>6</v>
      </c>
      <c r="K380" t="str">
        <f t="shared" si="80"/>
        <v/>
      </c>
      <c r="L380" t="str">
        <f t="shared" si="80"/>
        <v/>
      </c>
      <c r="M380" t="str">
        <f t="shared" si="80"/>
        <v/>
      </c>
      <c r="N380" t="str">
        <f t="shared" si="80"/>
        <v/>
      </c>
      <c r="O380" t="str">
        <f t="shared" si="80"/>
        <v/>
      </c>
      <c r="P380" t="str">
        <f t="shared" si="80"/>
        <v/>
      </c>
      <c r="Q380" t="str">
        <f t="shared" si="80"/>
        <v/>
      </c>
      <c r="R380" t="str">
        <f t="shared" si="80"/>
        <v/>
      </c>
      <c r="S380" t="str">
        <f t="shared" si="80"/>
        <v/>
      </c>
      <c r="T380" t="str">
        <f t="shared" si="80"/>
        <v/>
      </c>
      <c r="U380" t="str">
        <f t="shared" si="81"/>
        <v/>
      </c>
      <c r="V380" t="str">
        <f t="shared" si="81"/>
        <v/>
      </c>
      <c r="W380" t="str">
        <f t="shared" si="81"/>
        <v/>
      </c>
      <c r="X380" t="str">
        <f t="shared" si="81"/>
        <v/>
      </c>
      <c r="Y380" t="str">
        <f t="shared" si="81"/>
        <v/>
      </c>
      <c r="Z380" t="str">
        <f t="shared" si="81"/>
        <v/>
      </c>
      <c r="AA380" t="str">
        <f t="shared" si="81"/>
        <v/>
      </c>
      <c r="AB380" t="str">
        <f t="shared" si="81"/>
        <v/>
      </c>
      <c r="AC380">
        <f t="shared" si="71"/>
        <v>0</v>
      </c>
    </row>
    <row r="381" spans="1:29" x14ac:dyDescent="0.35">
      <c r="A381">
        <v>376</v>
      </c>
      <c r="B381" t="s">
        <v>12</v>
      </c>
      <c r="C381" t="s">
        <v>875</v>
      </c>
      <c r="D381" t="s">
        <v>876</v>
      </c>
      <c r="E381" t="s">
        <v>859</v>
      </c>
      <c r="F381" t="s">
        <v>710</v>
      </c>
      <c r="G381" t="s">
        <v>9</v>
      </c>
      <c r="H381">
        <v>1.9750000000000001</v>
      </c>
      <c r="I381">
        <v>2.7149999999999999</v>
      </c>
      <c r="J381" t="s">
        <v>6</v>
      </c>
      <c r="K381" t="str">
        <f t="shared" si="80"/>
        <v/>
      </c>
      <c r="L381" t="str">
        <f t="shared" si="80"/>
        <v/>
      </c>
      <c r="M381" t="str">
        <f t="shared" si="80"/>
        <v/>
      </c>
      <c r="N381" t="str">
        <f t="shared" si="80"/>
        <v/>
      </c>
      <c r="O381" t="str">
        <f t="shared" si="80"/>
        <v/>
      </c>
      <c r="P381" t="str">
        <f t="shared" si="80"/>
        <v/>
      </c>
      <c r="Q381" t="str">
        <f t="shared" si="80"/>
        <v/>
      </c>
      <c r="R381" t="str">
        <f t="shared" si="80"/>
        <v/>
      </c>
      <c r="S381" t="str">
        <f t="shared" si="80"/>
        <v/>
      </c>
      <c r="T381" t="str">
        <f t="shared" si="80"/>
        <v/>
      </c>
      <c r="U381" t="str">
        <f t="shared" si="81"/>
        <v/>
      </c>
      <c r="V381" t="str">
        <f t="shared" si="81"/>
        <v/>
      </c>
      <c r="W381" t="str">
        <f t="shared" si="81"/>
        <v/>
      </c>
      <c r="X381" t="str">
        <f t="shared" si="81"/>
        <v/>
      </c>
      <c r="Y381" t="str">
        <f t="shared" si="81"/>
        <v/>
      </c>
      <c r="Z381" t="str">
        <f t="shared" si="81"/>
        <v/>
      </c>
      <c r="AA381" t="str">
        <f t="shared" si="81"/>
        <v/>
      </c>
      <c r="AB381" t="str">
        <f t="shared" si="81"/>
        <v/>
      </c>
      <c r="AC381">
        <f t="shared" si="71"/>
        <v>0</v>
      </c>
    </row>
    <row r="382" spans="1:29" x14ac:dyDescent="0.35">
      <c r="A382">
        <v>377</v>
      </c>
      <c r="B382" t="s">
        <v>12</v>
      </c>
      <c r="C382" t="s">
        <v>993</v>
      </c>
      <c r="D382" t="s">
        <v>994</v>
      </c>
      <c r="E382" t="s">
        <v>1</v>
      </c>
      <c r="F382" t="s">
        <v>971</v>
      </c>
      <c r="G382" t="s">
        <v>9</v>
      </c>
      <c r="H382">
        <v>1.9750000000000001</v>
      </c>
      <c r="I382">
        <v>2.7149999999999999</v>
      </c>
      <c r="J382" t="s">
        <v>6</v>
      </c>
      <c r="K382" t="str">
        <f t="shared" si="80"/>
        <v/>
      </c>
      <c r="L382">
        <f t="shared" si="80"/>
        <v>24</v>
      </c>
      <c r="M382">
        <f t="shared" si="80"/>
        <v>48</v>
      </c>
      <c r="N382" t="str">
        <f t="shared" si="80"/>
        <v/>
      </c>
      <c r="O382" t="str">
        <f t="shared" si="80"/>
        <v/>
      </c>
      <c r="P382" t="str">
        <f t="shared" si="80"/>
        <v/>
      </c>
      <c r="Q382" t="str">
        <f t="shared" si="80"/>
        <v/>
      </c>
      <c r="R382" t="str">
        <f t="shared" si="80"/>
        <v/>
      </c>
      <c r="S382" t="str">
        <f t="shared" si="80"/>
        <v/>
      </c>
      <c r="T382" t="str">
        <f t="shared" si="80"/>
        <v/>
      </c>
      <c r="U382" t="str">
        <f t="shared" si="81"/>
        <v/>
      </c>
      <c r="V382" t="str">
        <f t="shared" si="81"/>
        <v/>
      </c>
      <c r="W382" t="str">
        <f t="shared" si="81"/>
        <v/>
      </c>
      <c r="X382" t="str">
        <f t="shared" si="81"/>
        <v/>
      </c>
      <c r="Y382" t="str">
        <f t="shared" si="81"/>
        <v/>
      </c>
      <c r="Z382" t="str">
        <f t="shared" si="81"/>
        <v/>
      </c>
      <c r="AA382" t="str">
        <f t="shared" si="81"/>
        <v/>
      </c>
      <c r="AB382" t="str">
        <f t="shared" si="81"/>
        <v/>
      </c>
      <c r="AC382">
        <f t="shared" si="71"/>
        <v>72</v>
      </c>
    </row>
    <row r="383" spans="1:29" x14ac:dyDescent="0.35">
      <c r="A383">
        <v>378</v>
      </c>
      <c r="B383" t="s">
        <v>12</v>
      </c>
      <c r="C383" t="s">
        <v>1098</v>
      </c>
      <c r="D383" t="s">
        <v>1099</v>
      </c>
      <c r="E383" t="s">
        <v>1</v>
      </c>
      <c r="F383" t="s">
        <v>135</v>
      </c>
      <c r="G383" t="s">
        <v>9</v>
      </c>
      <c r="H383">
        <v>0.95199999999999996</v>
      </c>
      <c r="I383">
        <v>2.7149999999999999</v>
      </c>
      <c r="J383" t="s">
        <v>6</v>
      </c>
      <c r="K383" t="str">
        <f t="shared" si="80"/>
        <v/>
      </c>
      <c r="L383" t="str">
        <f t="shared" si="80"/>
        <v/>
      </c>
      <c r="M383" t="str">
        <f t="shared" si="80"/>
        <v/>
      </c>
      <c r="N383" t="str">
        <f t="shared" si="80"/>
        <v/>
      </c>
      <c r="O383" t="str">
        <f t="shared" si="80"/>
        <v/>
      </c>
      <c r="P383" t="str">
        <f t="shared" si="80"/>
        <v/>
      </c>
      <c r="Q383" t="str">
        <f t="shared" si="80"/>
        <v/>
      </c>
      <c r="R383" t="str">
        <f t="shared" si="80"/>
        <v/>
      </c>
      <c r="S383" t="str">
        <f t="shared" si="80"/>
        <v/>
      </c>
      <c r="T383" t="str">
        <f t="shared" si="80"/>
        <v/>
      </c>
      <c r="U383" t="str">
        <f t="shared" si="81"/>
        <v/>
      </c>
      <c r="V383" t="str">
        <f t="shared" si="81"/>
        <v/>
      </c>
      <c r="W383" t="str">
        <f t="shared" si="81"/>
        <v/>
      </c>
      <c r="X383" t="str">
        <f t="shared" si="81"/>
        <v/>
      </c>
      <c r="Y383" t="str">
        <f t="shared" si="81"/>
        <v/>
      </c>
      <c r="Z383" t="str">
        <f t="shared" si="81"/>
        <v/>
      </c>
      <c r="AA383" t="str">
        <f t="shared" si="81"/>
        <v/>
      </c>
      <c r="AB383" t="str">
        <f t="shared" si="81"/>
        <v/>
      </c>
      <c r="AC383">
        <f t="shared" si="71"/>
        <v>0</v>
      </c>
    </row>
    <row r="384" spans="1:29" x14ac:dyDescent="0.35">
      <c r="A384">
        <v>379</v>
      </c>
      <c r="B384" t="s">
        <v>12</v>
      </c>
      <c r="C384" t="s">
        <v>98</v>
      </c>
      <c r="D384" t="s">
        <v>269</v>
      </c>
      <c r="E384" t="s">
        <v>305</v>
      </c>
      <c r="F384" t="s">
        <v>135</v>
      </c>
      <c r="G384" t="s">
        <v>9</v>
      </c>
      <c r="H384">
        <v>1.9750000000000001</v>
      </c>
      <c r="I384">
        <v>2.7149999999999999</v>
      </c>
      <c r="J384" t="s">
        <v>6</v>
      </c>
      <c r="K384">
        <f t="shared" si="80"/>
        <v>9</v>
      </c>
      <c r="L384" t="str">
        <f t="shared" si="80"/>
        <v/>
      </c>
      <c r="M384" t="str">
        <f t="shared" si="80"/>
        <v/>
      </c>
      <c r="N384" t="str">
        <f t="shared" si="80"/>
        <v/>
      </c>
      <c r="O384" t="str">
        <f t="shared" si="80"/>
        <v/>
      </c>
      <c r="P384" t="str">
        <f t="shared" si="80"/>
        <v/>
      </c>
      <c r="Q384" t="str">
        <f t="shared" si="80"/>
        <v/>
      </c>
      <c r="R384" t="str">
        <f t="shared" si="80"/>
        <v/>
      </c>
      <c r="S384" t="str">
        <f t="shared" si="80"/>
        <v/>
      </c>
      <c r="T384" t="str">
        <f t="shared" si="80"/>
        <v/>
      </c>
      <c r="U384" t="str">
        <f t="shared" si="81"/>
        <v/>
      </c>
      <c r="V384" t="str">
        <f t="shared" si="81"/>
        <v/>
      </c>
      <c r="W384" t="str">
        <f t="shared" si="81"/>
        <v/>
      </c>
      <c r="X384" t="str">
        <f t="shared" si="81"/>
        <v/>
      </c>
      <c r="Y384" t="str">
        <f t="shared" si="81"/>
        <v/>
      </c>
      <c r="Z384" t="str">
        <f t="shared" si="81"/>
        <v/>
      </c>
      <c r="AA384" t="str">
        <f t="shared" si="81"/>
        <v/>
      </c>
      <c r="AB384" t="str">
        <f t="shared" si="81"/>
        <v/>
      </c>
      <c r="AC384">
        <f t="shared" si="71"/>
        <v>9</v>
      </c>
    </row>
    <row r="385" spans="1:29" x14ac:dyDescent="0.35">
      <c r="A385">
        <v>380</v>
      </c>
      <c r="B385" t="s">
        <v>12</v>
      </c>
      <c r="C385" t="s">
        <v>99</v>
      </c>
      <c r="D385" t="s">
        <v>270</v>
      </c>
      <c r="E385" t="s">
        <v>26</v>
      </c>
      <c r="F385" t="s">
        <v>135</v>
      </c>
      <c r="G385" t="s">
        <v>9</v>
      </c>
      <c r="H385">
        <v>1.9750000000000001</v>
      </c>
      <c r="I385">
        <v>2.7149999999999999</v>
      </c>
      <c r="J385" t="s">
        <v>6</v>
      </c>
      <c r="K385">
        <f t="shared" si="80"/>
        <v>21</v>
      </c>
      <c r="L385" t="str">
        <f t="shared" si="80"/>
        <v/>
      </c>
      <c r="M385" t="str">
        <f t="shared" si="80"/>
        <v/>
      </c>
      <c r="N385" t="str">
        <f t="shared" si="80"/>
        <v/>
      </c>
      <c r="O385" t="str">
        <f t="shared" si="80"/>
        <v/>
      </c>
      <c r="P385" t="str">
        <f t="shared" si="80"/>
        <v/>
      </c>
      <c r="Q385" t="str">
        <f t="shared" si="80"/>
        <v/>
      </c>
      <c r="R385" t="str">
        <f t="shared" si="80"/>
        <v/>
      </c>
      <c r="S385" t="str">
        <f t="shared" si="80"/>
        <v/>
      </c>
      <c r="T385" t="str">
        <f t="shared" si="80"/>
        <v/>
      </c>
      <c r="U385" t="str">
        <f t="shared" si="81"/>
        <v/>
      </c>
      <c r="V385" t="str">
        <f t="shared" si="81"/>
        <v/>
      </c>
      <c r="W385" t="str">
        <f t="shared" si="81"/>
        <v/>
      </c>
      <c r="X385" t="str">
        <f t="shared" si="81"/>
        <v/>
      </c>
      <c r="Y385" t="str">
        <f t="shared" si="81"/>
        <v/>
      </c>
      <c r="Z385" t="str">
        <f t="shared" si="81"/>
        <v/>
      </c>
      <c r="AA385" t="str">
        <f t="shared" si="81"/>
        <v/>
      </c>
      <c r="AB385" t="str">
        <f t="shared" si="81"/>
        <v/>
      </c>
      <c r="AC385">
        <f t="shared" si="71"/>
        <v>21</v>
      </c>
    </row>
    <row r="386" spans="1:29" x14ac:dyDescent="0.35">
      <c r="A386">
        <v>381</v>
      </c>
      <c r="B386" t="s">
        <v>12</v>
      </c>
      <c r="C386" t="s">
        <v>124</v>
      </c>
      <c r="D386" t="s">
        <v>271</v>
      </c>
      <c r="E386" t="s">
        <v>115</v>
      </c>
      <c r="F386" t="s">
        <v>135</v>
      </c>
      <c r="G386" t="s">
        <v>9</v>
      </c>
      <c r="H386">
        <v>1.9750000000000001</v>
      </c>
      <c r="I386">
        <v>2.7149999999999999</v>
      </c>
      <c r="J386" t="s">
        <v>6</v>
      </c>
      <c r="K386" t="str">
        <f t="shared" ref="K386:T395" si="82">IFERROR(IFERROR(IF(K$5=$K$1,VLOOKUP($A386,dormitorios,2,0),IF(K$5=$L$1,VLOOKUP($A386,comedor,2,0),IF(K$5=$M$1,VLOOKUP($A386,alojamiento,2,0),IF(K$5=$N$1,VLOOKUP($A386,sanidad,2,0),IF(K$5=$O$1,VLOOKUP($A386,servicios,2,0),IF(K$5=$P$1,VLOOKUP($A386,comyaloj,2,0),IF(K$5=$Q$1,VLOOKUP($A386,comandancia,2,0),IF(K$5=$R$1,VLOOKUP($A386,mantenimiento,2,0),IF(K$5=$S$1,VLOOKUP($A386,serestatal,2,0),IF(K$5=$T$1,VLOOKUP($A386,conferencias,2,0),"")))))))))),"")*K$3,"")</f>
        <v/>
      </c>
      <c r="L386" t="str">
        <f t="shared" si="82"/>
        <v/>
      </c>
      <c r="M386" t="str">
        <f t="shared" si="82"/>
        <v/>
      </c>
      <c r="N386" t="str">
        <f t="shared" si="82"/>
        <v/>
      </c>
      <c r="O386" t="str">
        <f t="shared" si="82"/>
        <v/>
      </c>
      <c r="P386" t="str">
        <f t="shared" si="82"/>
        <v/>
      </c>
      <c r="Q386" t="str">
        <f t="shared" si="82"/>
        <v/>
      </c>
      <c r="R386" t="str">
        <f t="shared" si="82"/>
        <v/>
      </c>
      <c r="S386" t="str">
        <f t="shared" si="82"/>
        <v/>
      </c>
      <c r="T386" t="str">
        <f t="shared" si="82"/>
        <v/>
      </c>
      <c r="U386" t="str">
        <f t="shared" ref="U386:AB395" si="83">IFERROR(IFERROR(IF(U$5=$K$1,VLOOKUP($A386,dormitorios,2,0),IF(U$5=$L$1,VLOOKUP($A386,comedor,2,0),IF(U$5=$M$1,VLOOKUP($A386,alojamiento,2,0),IF(U$5=$N$1,VLOOKUP($A386,sanidad,2,0),IF(U$5=$O$1,VLOOKUP($A386,servicios,2,0),IF(U$5=$P$1,VLOOKUP($A386,comyaloj,2,0),IF(U$5=$Q$1,VLOOKUP($A386,comandancia,2,0),IF(U$5=$R$1,VLOOKUP($A386,mantenimiento,2,0),IF(U$5=$S$1,VLOOKUP($A386,serestatal,2,0),IF(U$5=$T$1,VLOOKUP($A386,conferencias,2,0),"")))))))))),"")*U$3,"")</f>
        <v/>
      </c>
      <c r="V386" t="str">
        <f t="shared" si="83"/>
        <v/>
      </c>
      <c r="W386" t="str">
        <f t="shared" si="83"/>
        <v/>
      </c>
      <c r="X386" t="str">
        <f t="shared" si="83"/>
        <v/>
      </c>
      <c r="Y386" t="str">
        <f t="shared" si="83"/>
        <v/>
      </c>
      <c r="Z386" t="str">
        <f t="shared" si="83"/>
        <v/>
      </c>
      <c r="AA386" t="str">
        <f t="shared" si="83"/>
        <v/>
      </c>
      <c r="AB386" t="str">
        <f t="shared" si="83"/>
        <v/>
      </c>
      <c r="AC386">
        <f t="shared" si="71"/>
        <v>0</v>
      </c>
    </row>
    <row r="387" spans="1:29" x14ac:dyDescent="0.35">
      <c r="A387">
        <v>382</v>
      </c>
      <c r="B387" t="s">
        <v>12</v>
      </c>
      <c r="C387" t="s">
        <v>100</v>
      </c>
      <c r="D387" t="s">
        <v>272</v>
      </c>
      <c r="E387" t="s">
        <v>424</v>
      </c>
      <c r="F387" t="s">
        <v>135</v>
      </c>
      <c r="G387" t="s">
        <v>9</v>
      </c>
      <c r="H387">
        <v>1.9750000000000001</v>
      </c>
      <c r="I387">
        <v>2.7149999999999999</v>
      </c>
      <c r="J387" t="s">
        <v>6</v>
      </c>
      <c r="K387">
        <f t="shared" si="82"/>
        <v>111</v>
      </c>
      <c r="L387" t="str">
        <f t="shared" si="82"/>
        <v/>
      </c>
      <c r="M387" t="str">
        <f t="shared" si="82"/>
        <v/>
      </c>
      <c r="N387" t="str">
        <f t="shared" si="82"/>
        <v/>
      </c>
      <c r="O387" t="str">
        <f t="shared" si="82"/>
        <v/>
      </c>
      <c r="P387" t="str">
        <f t="shared" si="82"/>
        <v/>
      </c>
      <c r="Q387" t="str">
        <f t="shared" si="82"/>
        <v/>
      </c>
      <c r="R387" t="str">
        <f t="shared" si="82"/>
        <v/>
      </c>
      <c r="S387" t="str">
        <f t="shared" si="82"/>
        <v/>
      </c>
      <c r="T387" t="str">
        <f t="shared" si="82"/>
        <v/>
      </c>
      <c r="U387" t="str">
        <f t="shared" si="83"/>
        <v/>
      </c>
      <c r="V387" t="str">
        <f t="shared" si="83"/>
        <v/>
      </c>
      <c r="W387" t="str">
        <f t="shared" si="83"/>
        <v/>
      </c>
      <c r="X387" t="str">
        <f t="shared" si="83"/>
        <v/>
      </c>
      <c r="Y387" t="str">
        <f t="shared" si="83"/>
        <v/>
      </c>
      <c r="Z387" t="str">
        <f t="shared" si="83"/>
        <v/>
      </c>
      <c r="AA387" t="str">
        <f t="shared" si="83"/>
        <v/>
      </c>
      <c r="AB387" t="str">
        <f t="shared" si="83"/>
        <v/>
      </c>
      <c r="AC387">
        <f t="shared" si="71"/>
        <v>111</v>
      </c>
    </row>
    <row r="388" spans="1:29" x14ac:dyDescent="0.35">
      <c r="A388">
        <v>383</v>
      </c>
      <c r="B388" t="s">
        <v>12</v>
      </c>
      <c r="C388" t="s">
        <v>103</v>
      </c>
      <c r="D388" t="s">
        <v>273</v>
      </c>
      <c r="E388" t="s">
        <v>306</v>
      </c>
      <c r="F388" t="s">
        <v>135</v>
      </c>
      <c r="G388" t="s">
        <v>9</v>
      </c>
      <c r="H388">
        <v>1.9750000000000001</v>
      </c>
      <c r="I388">
        <v>2.7149999999999999</v>
      </c>
      <c r="J388" t="s">
        <v>6</v>
      </c>
      <c r="K388" t="str">
        <f t="shared" si="82"/>
        <v/>
      </c>
      <c r="L388" t="str">
        <f t="shared" si="82"/>
        <v/>
      </c>
      <c r="M388" t="str">
        <f t="shared" si="82"/>
        <v/>
      </c>
      <c r="N388" t="str">
        <f t="shared" si="82"/>
        <v/>
      </c>
      <c r="O388" t="str">
        <f t="shared" si="82"/>
        <v/>
      </c>
      <c r="P388" t="str">
        <f t="shared" si="82"/>
        <v/>
      </c>
      <c r="Q388" t="str">
        <f t="shared" si="82"/>
        <v/>
      </c>
      <c r="R388" t="str">
        <f t="shared" si="82"/>
        <v/>
      </c>
      <c r="S388" t="str">
        <f t="shared" si="82"/>
        <v/>
      </c>
      <c r="T388" t="str">
        <f t="shared" si="82"/>
        <v/>
      </c>
      <c r="U388" t="str">
        <f t="shared" si="83"/>
        <v/>
      </c>
      <c r="V388" t="str">
        <f t="shared" si="83"/>
        <v/>
      </c>
      <c r="W388" t="str">
        <f t="shared" si="83"/>
        <v/>
      </c>
      <c r="X388" t="str">
        <f t="shared" si="83"/>
        <v/>
      </c>
      <c r="Y388" t="str">
        <f t="shared" si="83"/>
        <v/>
      </c>
      <c r="Z388" t="str">
        <f t="shared" si="83"/>
        <v/>
      </c>
      <c r="AA388" t="str">
        <f t="shared" si="83"/>
        <v/>
      </c>
      <c r="AB388" t="str">
        <f t="shared" si="83"/>
        <v/>
      </c>
      <c r="AC388">
        <f t="shared" si="71"/>
        <v>0</v>
      </c>
    </row>
    <row r="389" spans="1:29" x14ac:dyDescent="0.35">
      <c r="A389">
        <v>384</v>
      </c>
      <c r="B389" t="s">
        <v>12</v>
      </c>
      <c r="C389" t="s">
        <v>102</v>
      </c>
      <c r="D389" t="s">
        <v>274</v>
      </c>
      <c r="E389" t="s">
        <v>425</v>
      </c>
      <c r="F389" t="s">
        <v>135</v>
      </c>
      <c r="G389" t="s">
        <v>9</v>
      </c>
      <c r="H389">
        <v>1.9750000000000001</v>
      </c>
      <c r="I389">
        <v>2.7149999999999999</v>
      </c>
      <c r="J389" t="s">
        <v>6</v>
      </c>
      <c r="K389">
        <f t="shared" si="82"/>
        <v>6</v>
      </c>
      <c r="L389" t="str">
        <f t="shared" si="82"/>
        <v/>
      </c>
      <c r="M389" t="str">
        <f t="shared" si="82"/>
        <v/>
      </c>
      <c r="N389" t="str">
        <f t="shared" si="82"/>
        <v/>
      </c>
      <c r="O389" t="str">
        <f t="shared" si="82"/>
        <v/>
      </c>
      <c r="P389" t="str">
        <f t="shared" si="82"/>
        <v/>
      </c>
      <c r="Q389" t="str">
        <f t="shared" si="82"/>
        <v/>
      </c>
      <c r="R389" t="str">
        <f t="shared" si="82"/>
        <v/>
      </c>
      <c r="S389" t="str">
        <f t="shared" si="82"/>
        <v/>
      </c>
      <c r="T389" t="str">
        <f t="shared" si="82"/>
        <v/>
      </c>
      <c r="U389" t="str">
        <f t="shared" si="83"/>
        <v/>
      </c>
      <c r="V389" t="str">
        <f t="shared" si="83"/>
        <v/>
      </c>
      <c r="W389" t="str">
        <f t="shared" si="83"/>
        <v/>
      </c>
      <c r="X389" t="str">
        <f t="shared" si="83"/>
        <v/>
      </c>
      <c r="Y389" t="str">
        <f t="shared" si="83"/>
        <v/>
      </c>
      <c r="Z389" t="str">
        <f t="shared" si="83"/>
        <v/>
      </c>
      <c r="AA389" t="str">
        <f t="shared" si="83"/>
        <v/>
      </c>
      <c r="AB389" t="str">
        <f t="shared" si="83"/>
        <v/>
      </c>
      <c r="AC389">
        <f t="shared" si="71"/>
        <v>6</v>
      </c>
    </row>
    <row r="390" spans="1:29" x14ac:dyDescent="0.35">
      <c r="A390">
        <v>385</v>
      </c>
      <c r="B390" t="s">
        <v>12</v>
      </c>
      <c r="C390" t="s">
        <v>125</v>
      </c>
      <c r="D390" t="s">
        <v>275</v>
      </c>
      <c r="E390" t="s">
        <v>116</v>
      </c>
      <c r="F390" t="s">
        <v>135</v>
      </c>
      <c r="G390" t="s">
        <v>9</v>
      </c>
      <c r="H390">
        <v>1.9750000000000001</v>
      </c>
      <c r="I390">
        <v>2.7149999999999999</v>
      </c>
      <c r="J390" t="s">
        <v>6</v>
      </c>
      <c r="K390">
        <f t="shared" si="82"/>
        <v>3</v>
      </c>
      <c r="L390" t="str">
        <f t="shared" si="82"/>
        <v/>
      </c>
      <c r="M390" t="str">
        <f t="shared" si="82"/>
        <v/>
      </c>
      <c r="N390" t="str">
        <f t="shared" si="82"/>
        <v/>
      </c>
      <c r="O390" t="str">
        <f t="shared" si="82"/>
        <v/>
      </c>
      <c r="P390" t="str">
        <f t="shared" si="82"/>
        <v/>
      </c>
      <c r="Q390" t="str">
        <f t="shared" si="82"/>
        <v/>
      </c>
      <c r="R390" t="str">
        <f t="shared" si="82"/>
        <v/>
      </c>
      <c r="S390" t="str">
        <f t="shared" si="82"/>
        <v/>
      </c>
      <c r="T390" t="str">
        <f t="shared" si="82"/>
        <v/>
      </c>
      <c r="U390" t="str">
        <f t="shared" si="83"/>
        <v/>
      </c>
      <c r="V390" t="str">
        <f t="shared" si="83"/>
        <v/>
      </c>
      <c r="W390" t="str">
        <f t="shared" si="83"/>
        <v/>
      </c>
      <c r="X390" t="str">
        <f t="shared" si="83"/>
        <v/>
      </c>
      <c r="Y390" t="str">
        <f t="shared" si="83"/>
        <v/>
      </c>
      <c r="Z390" t="str">
        <f t="shared" si="83"/>
        <v/>
      </c>
      <c r="AA390" t="str">
        <f t="shared" si="83"/>
        <v/>
      </c>
      <c r="AB390" t="str">
        <f t="shared" si="83"/>
        <v/>
      </c>
      <c r="AC390">
        <f t="shared" ref="AC390:AC453" si="84">SUM(K390:AB390)</f>
        <v>3</v>
      </c>
    </row>
    <row r="391" spans="1:29" x14ac:dyDescent="0.35">
      <c r="A391">
        <v>386</v>
      </c>
      <c r="B391" t="s">
        <v>12</v>
      </c>
      <c r="C391" t="s">
        <v>524</v>
      </c>
      <c r="D391" t="s">
        <v>525</v>
      </c>
      <c r="E391" t="s">
        <v>1069</v>
      </c>
      <c r="F391" t="s">
        <v>893</v>
      </c>
      <c r="G391" t="s">
        <v>9</v>
      </c>
      <c r="H391">
        <v>1.9750000000000001</v>
      </c>
      <c r="I391">
        <v>2.7149999999999999</v>
      </c>
      <c r="J391" t="s">
        <v>6</v>
      </c>
      <c r="K391" t="str">
        <f t="shared" si="82"/>
        <v/>
      </c>
      <c r="L391" t="str">
        <f t="shared" si="82"/>
        <v/>
      </c>
      <c r="M391" t="str">
        <f t="shared" si="82"/>
        <v/>
      </c>
      <c r="N391" t="str">
        <f t="shared" si="82"/>
        <v/>
      </c>
      <c r="O391" t="str">
        <f t="shared" si="82"/>
        <v/>
      </c>
      <c r="P391" t="str">
        <f t="shared" si="82"/>
        <v/>
      </c>
      <c r="Q391" t="str">
        <f t="shared" si="82"/>
        <v/>
      </c>
      <c r="R391" t="str">
        <f t="shared" si="82"/>
        <v/>
      </c>
      <c r="S391" t="str">
        <f t="shared" si="82"/>
        <v/>
      </c>
      <c r="T391" t="str">
        <f t="shared" si="82"/>
        <v/>
      </c>
      <c r="U391" t="str">
        <f t="shared" si="83"/>
        <v/>
      </c>
      <c r="V391" t="str">
        <f t="shared" si="83"/>
        <v/>
      </c>
      <c r="W391" t="str">
        <f t="shared" si="83"/>
        <v/>
      </c>
      <c r="X391" t="str">
        <f t="shared" si="83"/>
        <v/>
      </c>
      <c r="Y391" t="str">
        <f t="shared" si="83"/>
        <v/>
      </c>
      <c r="Z391" t="str">
        <f t="shared" si="83"/>
        <v/>
      </c>
      <c r="AA391" t="str">
        <f t="shared" si="83"/>
        <v/>
      </c>
      <c r="AB391" t="str">
        <f t="shared" si="83"/>
        <v/>
      </c>
      <c r="AC391">
        <f t="shared" si="84"/>
        <v>0</v>
      </c>
    </row>
    <row r="392" spans="1:29" x14ac:dyDescent="0.35">
      <c r="A392">
        <v>387</v>
      </c>
      <c r="B392" t="s">
        <v>12</v>
      </c>
      <c r="C392" t="s">
        <v>534</v>
      </c>
      <c r="D392" t="s">
        <v>535</v>
      </c>
      <c r="E392" t="s">
        <v>536</v>
      </c>
      <c r="F392" t="s">
        <v>893</v>
      </c>
      <c r="G392" t="s">
        <v>9</v>
      </c>
      <c r="H392">
        <v>1.9750000000000001</v>
      </c>
      <c r="I392">
        <v>2.7149999999999999</v>
      </c>
      <c r="J392" t="s">
        <v>6</v>
      </c>
      <c r="K392" t="str">
        <f t="shared" si="82"/>
        <v/>
      </c>
      <c r="L392">
        <f t="shared" si="82"/>
        <v>6</v>
      </c>
      <c r="M392" t="str">
        <f t="shared" si="82"/>
        <v/>
      </c>
      <c r="N392" t="str">
        <f t="shared" si="82"/>
        <v/>
      </c>
      <c r="O392" t="str">
        <f t="shared" si="82"/>
        <v/>
      </c>
      <c r="P392" t="str">
        <f t="shared" si="82"/>
        <v/>
      </c>
      <c r="Q392" t="str">
        <f t="shared" si="82"/>
        <v/>
      </c>
      <c r="R392" t="str">
        <f t="shared" si="82"/>
        <v/>
      </c>
      <c r="S392" t="str">
        <f t="shared" si="82"/>
        <v/>
      </c>
      <c r="T392" t="str">
        <f t="shared" si="82"/>
        <v/>
      </c>
      <c r="U392" t="str">
        <f t="shared" si="83"/>
        <v/>
      </c>
      <c r="V392" t="str">
        <f t="shared" si="83"/>
        <v/>
      </c>
      <c r="W392" t="str">
        <f t="shared" si="83"/>
        <v/>
      </c>
      <c r="X392" t="str">
        <f t="shared" si="83"/>
        <v/>
      </c>
      <c r="Y392" t="str">
        <f t="shared" si="83"/>
        <v/>
      </c>
      <c r="Z392" t="str">
        <f t="shared" si="83"/>
        <v/>
      </c>
      <c r="AA392" t="str">
        <f t="shared" si="83"/>
        <v/>
      </c>
      <c r="AB392" t="str">
        <f t="shared" si="83"/>
        <v/>
      </c>
      <c r="AC392">
        <f t="shared" si="84"/>
        <v>6</v>
      </c>
    </row>
    <row r="393" spans="1:29" x14ac:dyDescent="0.35">
      <c r="A393">
        <v>388</v>
      </c>
      <c r="B393" t="s">
        <v>12</v>
      </c>
      <c r="C393" t="s">
        <v>604</v>
      </c>
      <c r="D393" t="s">
        <v>605</v>
      </c>
      <c r="E393" t="s">
        <v>424</v>
      </c>
      <c r="F393" t="s">
        <v>710</v>
      </c>
      <c r="G393" t="s">
        <v>9</v>
      </c>
      <c r="H393">
        <v>1.9750000000000001</v>
      </c>
      <c r="I393">
        <v>2.7149999999999999</v>
      </c>
      <c r="J393" t="s">
        <v>6</v>
      </c>
      <c r="K393" t="str">
        <f t="shared" si="82"/>
        <v/>
      </c>
      <c r="L393" t="str">
        <f t="shared" si="82"/>
        <v/>
      </c>
      <c r="M393" t="str">
        <f t="shared" si="82"/>
        <v/>
      </c>
      <c r="N393" t="str">
        <f t="shared" si="82"/>
        <v/>
      </c>
      <c r="O393" t="str">
        <f t="shared" si="82"/>
        <v/>
      </c>
      <c r="P393" t="str">
        <f t="shared" si="82"/>
        <v/>
      </c>
      <c r="Q393" t="str">
        <f t="shared" si="82"/>
        <v/>
      </c>
      <c r="R393" t="str">
        <f t="shared" si="82"/>
        <v/>
      </c>
      <c r="S393" t="str">
        <f t="shared" si="82"/>
        <v/>
      </c>
      <c r="T393" t="str">
        <f t="shared" si="82"/>
        <v/>
      </c>
      <c r="U393" t="str">
        <f t="shared" si="83"/>
        <v/>
      </c>
      <c r="V393" t="str">
        <f t="shared" si="83"/>
        <v/>
      </c>
      <c r="W393" t="str">
        <f t="shared" si="83"/>
        <v/>
      </c>
      <c r="X393" t="str">
        <f t="shared" si="83"/>
        <v/>
      </c>
      <c r="Y393" t="str">
        <f t="shared" si="83"/>
        <v/>
      </c>
      <c r="Z393" t="str">
        <f t="shared" si="83"/>
        <v/>
      </c>
      <c r="AA393" t="str">
        <f t="shared" si="83"/>
        <v/>
      </c>
      <c r="AB393" t="str">
        <f t="shared" si="83"/>
        <v/>
      </c>
      <c r="AC393">
        <f t="shared" si="84"/>
        <v>0</v>
      </c>
    </row>
    <row r="394" spans="1:29" x14ac:dyDescent="0.35">
      <c r="A394">
        <v>389</v>
      </c>
      <c r="B394" t="s">
        <v>12</v>
      </c>
      <c r="C394" t="s">
        <v>606</v>
      </c>
      <c r="D394" t="s">
        <v>607</v>
      </c>
      <c r="E394" t="s">
        <v>608</v>
      </c>
      <c r="F394" t="s">
        <v>135</v>
      </c>
      <c r="G394" t="s">
        <v>9</v>
      </c>
      <c r="H394">
        <v>1.9750000000000001</v>
      </c>
      <c r="I394">
        <v>2.7149999999999999</v>
      </c>
      <c r="J394" t="s">
        <v>6</v>
      </c>
      <c r="K394" t="str">
        <f t="shared" si="82"/>
        <v/>
      </c>
      <c r="L394" t="str">
        <f t="shared" si="82"/>
        <v/>
      </c>
      <c r="M394" t="str">
        <f t="shared" si="82"/>
        <v/>
      </c>
      <c r="N394" t="str">
        <f t="shared" si="82"/>
        <v/>
      </c>
      <c r="O394" t="str">
        <f t="shared" si="82"/>
        <v/>
      </c>
      <c r="P394" t="str">
        <f t="shared" si="82"/>
        <v/>
      </c>
      <c r="Q394" t="str">
        <f t="shared" si="82"/>
        <v/>
      </c>
      <c r="R394" t="str">
        <f t="shared" si="82"/>
        <v/>
      </c>
      <c r="S394" t="str">
        <f t="shared" si="82"/>
        <v/>
      </c>
      <c r="T394" t="str">
        <f t="shared" si="82"/>
        <v/>
      </c>
      <c r="U394" t="str">
        <f t="shared" si="83"/>
        <v/>
      </c>
      <c r="V394" t="str">
        <f t="shared" si="83"/>
        <v/>
      </c>
      <c r="W394" t="str">
        <f t="shared" si="83"/>
        <v/>
      </c>
      <c r="X394" t="str">
        <f t="shared" si="83"/>
        <v/>
      </c>
      <c r="Y394" t="str">
        <f t="shared" si="83"/>
        <v/>
      </c>
      <c r="Z394" t="str">
        <f t="shared" si="83"/>
        <v/>
      </c>
      <c r="AA394" t="str">
        <f t="shared" si="83"/>
        <v/>
      </c>
      <c r="AB394" t="str">
        <f t="shared" si="83"/>
        <v/>
      </c>
      <c r="AC394">
        <f t="shared" si="84"/>
        <v>0</v>
      </c>
    </row>
    <row r="395" spans="1:29" x14ac:dyDescent="0.35">
      <c r="A395">
        <v>390</v>
      </c>
      <c r="B395" t="s">
        <v>12</v>
      </c>
      <c r="C395" t="s">
        <v>609</v>
      </c>
      <c r="D395" t="s">
        <v>610</v>
      </c>
      <c r="E395" t="s">
        <v>611</v>
      </c>
      <c r="F395" t="s">
        <v>135</v>
      </c>
      <c r="G395" t="s">
        <v>9</v>
      </c>
      <c r="H395">
        <v>1.9750000000000001</v>
      </c>
      <c r="I395">
        <v>2.7149999999999999</v>
      </c>
      <c r="J395" t="s">
        <v>6</v>
      </c>
      <c r="K395" t="str">
        <f t="shared" si="82"/>
        <v/>
      </c>
      <c r="L395" t="str">
        <f t="shared" si="82"/>
        <v/>
      </c>
      <c r="M395" t="str">
        <f t="shared" si="82"/>
        <v/>
      </c>
      <c r="N395" t="str">
        <f t="shared" si="82"/>
        <v/>
      </c>
      <c r="O395" t="str">
        <f t="shared" si="82"/>
        <v/>
      </c>
      <c r="P395" t="str">
        <f t="shared" si="82"/>
        <v/>
      </c>
      <c r="Q395" t="str">
        <f t="shared" si="82"/>
        <v/>
      </c>
      <c r="R395" t="str">
        <f t="shared" si="82"/>
        <v/>
      </c>
      <c r="S395" t="str">
        <f t="shared" si="82"/>
        <v/>
      </c>
      <c r="T395" t="str">
        <f t="shared" si="82"/>
        <v/>
      </c>
      <c r="U395" t="str">
        <f t="shared" si="83"/>
        <v/>
      </c>
      <c r="V395" t="str">
        <f t="shared" si="83"/>
        <v/>
      </c>
      <c r="W395" t="str">
        <f t="shared" si="83"/>
        <v/>
      </c>
      <c r="X395" t="str">
        <f t="shared" si="83"/>
        <v/>
      </c>
      <c r="Y395" t="str">
        <f t="shared" si="83"/>
        <v/>
      </c>
      <c r="Z395" t="str">
        <f t="shared" si="83"/>
        <v/>
      </c>
      <c r="AA395" t="str">
        <f t="shared" si="83"/>
        <v/>
      </c>
      <c r="AB395" t="str">
        <f t="shared" si="83"/>
        <v/>
      </c>
      <c r="AC395">
        <f t="shared" si="84"/>
        <v>0</v>
      </c>
    </row>
    <row r="396" spans="1:29" x14ac:dyDescent="0.35">
      <c r="A396">
        <v>391</v>
      </c>
      <c r="B396" t="s">
        <v>12</v>
      </c>
      <c r="C396" t="s">
        <v>663</v>
      </c>
      <c r="D396" t="s">
        <v>664</v>
      </c>
      <c r="E396" t="s">
        <v>26</v>
      </c>
      <c r="F396" t="s">
        <v>710</v>
      </c>
      <c r="G396" t="s">
        <v>9</v>
      </c>
      <c r="H396">
        <v>1.9750000000000001</v>
      </c>
      <c r="I396">
        <v>2.7149999999999999</v>
      </c>
      <c r="J396" t="s">
        <v>6</v>
      </c>
      <c r="K396" t="str">
        <f t="shared" ref="K396:T405" si="85">IFERROR(IFERROR(IF(K$5=$K$1,VLOOKUP($A396,dormitorios,2,0),IF(K$5=$L$1,VLOOKUP($A396,comedor,2,0),IF(K$5=$M$1,VLOOKUP($A396,alojamiento,2,0),IF(K$5=$N$1,VLOOKUP($A396,sanidad,2,0),IF(K$5=$O$1,VLOOKUP($A396,servicios,2,0),IF(K$5=$P$1,VLOOKUP($A396,comyaloj,2,0),IF(K$5=$Q$1,VLOOKUP($A396,comandancia,2,0),IF(K$5=$R$1,VLOOKUP($A396,mantenimiento,2,0),IF(K$5=$S$1,VLOOKUP($A396,serestatal,2,0),IF(K$5=$T$1,VLOOKUP($A396,conferencias,2,0),"")))))))))),"")*K$3,"")</f>
        <v/>
      </c>
      <c r="L396">
        <f t="shared" si="85"/>
        <v>6</v>
      </c>
      <c r="M396" t="str">
        <f t="shared" si="85"/>
        <v/>
      </c>
      <c r="N396" t="str">
        <f t="shared" si="85"/>
        <v/>
      </c>
      <c r="O396" t="str">
        <f t="shared" si="85"/>
        <v/>
      </c>
      <c r="P396" t="str">
        <f t="shared" si="85"/>
        <v/>
      </c>
      <c r="Q396" t="str">
        <f t="shared" si="85"/>
        <v/>
      </c>
      <c r="R396" t="str">
        <f t="shared" si="85"/>
        <v/>
      </c>
      <c r="S396" t="str">
        <f t="shared" si="85"/>
        <v/>
      </c>
      <c r="T396" t="str">
        <f t="shared" si="85"/>
        <v/>
      </c>
      <c r="U396" t="str">
        <f t="shared" ref="U396:AB405" si="86">IFERROR(IFERROR(IF(U$5=$K$1,VLOOKUP($A396,dormitorios,2,0),IF(U$5=$L$1,VLOOKUP($A396,comedor,2,0),IF(U$5=$M$1,VLOOKUP($A396,alojamiento,2,0),IF(U$5=$N$1,VLOOKUP($A396,sanidad,2,0),IF(U$5=$O$1,VLOOKUP($A396,servicios,2,0),IF(U$5=$P$1,VLOOKUP($A396,comyaloj,2,0),IF(U$5=$Q$1,VLOOKUP($A396,comandancia,2,0),IF(U$5=$R$1,VLOOKUP($A396,mantenimiento,2,0),IF(U$5=$S$1,VLOOKUP($A396,serestatal,2,0),IF(U$5=$T$1,VLOOKUP($A396,conferencias,2,0),"")))))))))),"")*U$3,"")</f>
        <v/>
      </c>
      <c r="V396" t="str">
        <f t="shared" si="86"/>
        <v/>
      </c>
      <c r="W396" t="str">
        <f t="shared" si="86"/>
        <v/>
      </c>
      <c r="X396" t="str">
        <f t="shared" si="86"/>
        <v/>
      </c>
      <c r="Y396" t="str">
        <f t="shared" si="86"/>
        <v/>
      </c>
      <c r="Z396" t="str">
        <f t="shared" si="86"/>
        <v/>
      </c>
      <c r="AA396" t="str">
        <f t="shared" si="86"/>
        <v/>
      </c>
      <c r="AB396" t="str">
        <f t="shared" si="86"/>
        <v/>
      </c>
      <c r="AC396">
        <f t="shared" si="84"/>
        <v>6</v>
      </c>
    </row>
    <row r="397" spans="1:29" x14ac:dyDescent="0.35">
      <c r="A397">
        <v>392</v>
      </c>
      <c r="B397" t="s">
        <v>12</v>
      </c>
      <c r="C397" t="s">
        <v>665</v>
      </c>
      <c r="D397" t="s">
        <v>666</v>
      </c>
      <c r="E397" t="s">
        <v>702</v>
      </c>
      <c r="F397" t="s">
        <v>135</v>
      </c>
      <c r="G397" t="s">
        <v>2</v>
      </c>
      <c r="H397">
        <v>1.99</v>
      </c>
      <c r="I397">
        <v>2.7149999999999999</v>
      </c>
      <c r="J397" t="s">
        <v>6</v>
      </c>
      <c r="K397" t="str">
        <f t="shared" si="85"/>
        <v/>
      </c>
      <c r="L397" t="str">
        <f t="shared" si="85"/>
        <v/>
      </c>
      <c r="M397" t="str">
        <f t="shared" si="85"/>
        <v/>
      </c>
      <c r="N397" t="str">
        <f t="shared" si="85"/>
        <v/>
      </c>
      <c r="O397" t="str">
        <f t="shared" si="85"/>
        <v/>
      </c>
      <c r="P397" t="str">
        <f t="shared" si="85"/>
        <v/>
      </c>
      <c r="Q397" t="str">
        <f t="shared" si="85"/>
        <v/>
      </c>
      <c r="R397" t="str">
        <f t="shared" si="85"/>
        <v/>
      </c>
      <c r="S397" t="str">
        <f t="shared" si="85"/>
        <v/>
      </c>
      <c r="T397" t="str">
        <f t="shared" si="85"/>
        <v/>
      </c>
      <c r="U397" t="str">
        <f t="shared" si="86"/>
        <v/>
      </c>
      <c r="V397" t="str">
        <f t="shared" si="86"/>
        <v/>
      </c>
      <c r="W397" t="str">
        <f t="shared" si="86"/>
        <v/>
      </c>
      <c r="X397" t="str">
        <f t="shared" si="86"/>
        <v/>
      </c>
      <c r="Y397" t="str">
        <f t="shared" si="86"/>
        <v/>
      </c>
      <c r="Z397" t="str">
        <f t="shared" si="86"/>
        <v/>
      </c>
      <c r="AA397" t="str">
        <f t="shared" si="86"/>
        <v/>
      </c>
      <c r="AB397" t="str">
        <f t="shared" si="86"/>
        <v/>
      </c>
      <c r="AC397">
        <f t="shared" si="84"/>
        <v>0</v>
      </c>
    </row>
    <row r="398" spans="1:29" x14ac:dyDescent="0.35">
      <c r="A398">
        <v>393</v>
      </c>
      <c r="B398" t="s">
        <v>12</v>
      </c>
      <c r="C398" t="s">
        <v>703</v>
      </c>
      <c r="D398" t="s">
        <v>704</v>
      </c>
      <c r="E398" t="s">
        <v>707</v>
      </c>
      <c r="F398" t="s">
        <v>710</v>
      </c>
      <c r="G398" t="s">
        <v>9</v>
      </c>
      <c r="H398">
        <v>1.9750000000000001</v>
      </c>
      <c r="I398">
        <v>2.7149999999999999</v>
      </c>
      <c r="J398" t="s">
        <v>6</v>
      </c>
      <c r="K398" t="str">
        <f t="shared" si="85"/>
        <v/>
      </c>
      <c r="L398">
        <f t="shared" si="85"/>
        <v>6</v>
      </c>
      <c r="M398">
        <f t="shared" si="85"/>
        <v>4</v>
      </c>
      <c r="N398" t="str">
        <f t="shared" si="85"/>
        <v/>
      </c>
      <c r="O398" t="str">
        <f t="shared" si="85"/>
        <v/>
      </c>
      <c r="P398" t="str">
        <f t="shared" si="85"/>
        <v/>
      </c>
      <c r="Q398" t="str">
        <f t="shared" si="85"/>
        <v/>
      </c>
      <c r="R398" t="str">
        <f t="shared" si="85"/>
        <v/>
      </c>
      <c r="S398" t="str">
        <f t="shared" si="85"/>
        <v/>
      </c>
      <c r="T398" t="str">
        <f t="shared" si="85"/>
        <v/>
      </c>
      <c r="U398" t="str">
        <f t="shared" si="86"/>
        <v/>
      </c>
      <c r="V398" t="str">
        <f t="shared" si="86"/>
        <v/>
      </c>
      <c r="W398" t="str">
        <f t="shared" si="86"/>
        <v/>
      </c>
      <c r="X398" t="str">
        <f t="shared" si="86"/>
        <v/>
      </c>
      <c r="Y398" t="str">
        <f t="shared" si="86"/>
        <v/>
      </c>
      <c r="Z398" t="str">
        <f t="shared" si="86"/>
        <v/>
      </c>
      <c r="AA398" t="str">
        <f t="shared" si="86"/>
        <v/>
      </c>
      <c r="AB398" t="str">
        <f t="shared" si="86"/>
        <v/>
      </c>
      <c r="AC398">
        <f t="shared" si="84"/>
        <v>10</v>
      </c>
    </row>
    <row r="399" spans="1:29" x14ac:dyDescent="0.35">
      <c r="A399">
        <v>394</v>
      </c>
      <c r="B399" t="s">
        <v>12</v>
      </c>
      <c r="C399" t="s">
        <v>705</v>
      </c>
      <c r="D399" t="s">
        <v>706</v>
      </c>
      <c r="E399" t="s">
        <v>702</v>
      </c>
      <c r="F399" t="s">
        <v>710</v>
      </c>
      <c r="G399" t="s">
        <v>9</v>
      </c>
      <c r="H399">
        <v>1.9750000000000001</v>
      </c>
      <c r="I399">
        <v>2.7149999999999999</v>
      </c>
      <c r="J399" t="s">
        <v>6</v>
      </c>
      <c r="K399" t="str">
        <f t="shared" si="85"/>
        <v/>
      </c>
      <c r="L399" t="str">
        <f t="shared" si="85"/>
        <v/>
      </c>
      <c r="M399">
        <f t="shared" si="85"/>
        <v>32</v>
      </c>
      <c r="N399" t="str">
        <f t="shared" si="85"/>
        <v/>
      </c>
      <c r="O399" t="str">
        <f t="shared" si="85"/>
        <v/>
      </c>
      <c r="P399" t="str">
        <f t="shared" si="85"/>
        <v/>
      </c>
      <c r="Q399" t="str">
        <f t="shared" si="85"/>
        <v/>
      </c>
      <c r="R399" t="str">
        <f t="shared" si="85"/>
        <v/>
      </c>
      <c r="S399" t="str">
        <f t="shared" si="85"/>
        <v/>
      </c>
      <c r="T399" t="str">
        <f t="shared" si="85"/>
        <v/>
      </c>
      <c r="U399" t="str">
        <f t="shared" si="86"/>
        <v/>
      </c>
      <c r="V399" t="str">
        <f t="shared" si="86"/>
        <v/>
      </c>
      <c r="W399" t="str">
        <f t="shared" si="86"/>
        <v/>
      </c>
      <c r="X399" t="str">
        <f t="shared" si="86"/>
        <v/>
      </c>
      <c r="Y399" t="str">
        <f t="shared" si="86"/>
        <v/>
      </c>
      <c r="Z399" t="str">
        <f t="shared" si="86"/>
        <v/>
      </c>
      <c r="AA399" t="str">
        <f t="shared" si="86"/>
        <v/>
      </c>
      <c r="AB399" t="str">
        <f t="shared" si="86"/>
        <v/>
      </c>
      <c r="AC399">
        <f t="shared" si="84"/>
        <v>32</v>
      </c>
    </row>
    <row r="400" spans="1:29" x14ac:dyDescent="0.35">
      <c r="A400">
        <v>395</v>
      </c>
      <c r="B400" t="s">
        <v>12</v>
      </c>
      <c r="C400" t="s">
        <v>769</v>
      </c>
      <c r="D400" t="s">
        <v>770</v>
      </c>
      <c r="E400" t="s">
        <v>771</v>
      </c>
      <c r="F400" t="s">
        <v>710</v>
      </c>
      <c r="G400" t="s">
        <v>9</v>
      </c>
      <c r="H400">
        <v>1.9750000000000001</v>
      </c>
      <c r="I400">
        <v>2.7149999999999999</v>
      </c>
      <c r="J400" t="s">
        <v>6</v>
      </c>
      <c r="K400" t="str">
        <f t="shared" si="85"/>
        <v/>
      </c>
      <c r="L400">
        <f t="shared" si="85"/>
        <v>6</v>
      </c>
      <c r="M400" t="str">
        <f t="shared" si="85"/>
        <v/>
      </c>
      <c r="N400" t="str">
        <f t="shared" si="85"/>
        <v/>
      </c>
      <c r="O400" t="str">
        <f t="shared" si="85"/>
        <v/>
      </c>
      <c r="P400" t="str">
        <f t="shared" si="85"/>
        <v/>
      </c>
      <c r="Q400" t="str">
        <f t="shared" si="85"/>
        <v/>
      </c>
      <c r="R400" t="str">
        <f t="shared" si="85"/>
        <v/>
      </c>
      <c r="S400" t="str">
        <f t="shared" si="85"/>
        <v/>
      </c>
      <c r="T400" t="str">
        <f t="shared" si="85"/>
        <v/>
      </c>
      <c r="U400" t="str">
        <f t="shared" si="86"/>
        <v/>
      </c>
      <c r="V400" t="str">
        <f t="shared" si="86"/>
        <v/>
      </c>
      <c r="W400" t="str">
        <f t="shared" si="86"/>
        <v/>
      </c>
      <c r="X400" t="str">
        <f t="shared" si="86"/>
        <v/>
      </c>
      <c r="Y400" t="str">
        <f t="shared" si="86"/>
        <v/>
      </c>
      <c r="Z400" t="str">
        <f t="shared" si="86"/>
        <v/>
      </c>
      <c r="AA400" t="str">
        <f t="shared" si="86"/>
        <v/>
      </c>
      <c r="AB400" t="str">
        <f t="shared" si="86"/>
        <v/>
      </c>
      <c r="AC400">
        <f t="shared" si="84"/>
        <v>6</v>
      </c>
    </row>
    <row r="401" spans="1:29" x14ac:dyDescent="0.35">
      <c r="A401">
        <v>396</v>
      </c>
      <c r="B401" t="s">
        <v>12</v>
      </c>
      <c r="C401" t="s">
        <v>785</v>
      </c>
      <c r="D401" t="s">
        <v>786</v>
      </c>
      <c r="E401" t="s">
        <v>787</v>
      </c>
      <c r="F401" t="s">
        <v>894</v>
      </c>
      <c r="G401" t="s">
        <v>9</v>
      </c>
      <c r="H401">
        <v>1.9750000000000001</v>
      </c>
      <c r="I401">
        <v>2.7149999999999999</v>
      </c>
      <c r="J401" t="s">
        <v>6</v>
      </c>
      <c r="K401" t="str">
        <f t="shared" si="85"/>
        <v/>
      </c>
      <c r="L401" t="str">
        <f t="shared" si="85"/>
        <v/>
      </c>
      <c r="M401" t="str">
        <f t="shared" si="85"/>
        <v/>
      </c>
      <c r="N401" t="str">
        <f t="shared" si="85"/>
        <v/>
      </c>
      <c r="O401" t="str">
        <f t="shared" si="85"/>
        <v/>
      </c>
      <c r="P401" t="str">
        <f t="shared" si="85"/>
        <v/>
      </c>
      <c r="Q401" t="str">
        <f t="shared" si="85"/>
        <v/>
      </c>
      <c r="R401" t="str">
        <f t="shared" si="85"/>
        <v/>
      </c>
      <c r="S401" t="str">
        <f t="shared" si="85"/>
        <v/>
      </c>
      <c r="T401" t="str">
        <f t="shared" si="85"/>
        <v/>
      </c>
      <c r="U401" t="str">
        <f t="shared" si="86"/>
        <v/>
      </c>
      <c r="V401" t="str">
        <f t="shared" si="86"/>
        <v/>
      </c>
      <c r="W401" t="str">
        <f t="shared" si="86"/>
        <v/>
      </c>
      <c r="X401" t="str">
        <f t="shared" si="86"/>
        <v/>
      </c>
      <c r="Y401" t="str">
        <f t="shared" si="86"/>
        <v/>
      </c>
      <c r="Z401" t="str">
        <f t="shared" si="86"/>
        <v/>
      </c>
      <c r="AA401" t="str">
        <f t="shared" si="86"/>
        <v/>
      </c>
      <c r="AB401" t="str">
        <f t="shared" si="86"/>
        <v/>
      </c>
      <c r="AC401">
        <f t="shared" si="84"/>
        <v>0</v>
      </c>
    </row>
    <row r="402" spans="1:29" x14ac:dyDescent="0.35">
      <c r="A402">
        <v>397</v>
      </c>
      <c r="B402" t="s">
        <v>12</v>
      </c>
      <c r="C402" t="s">
        <v>795</v>
      </c>
      <c r="D402" t="s">
        <v>796</v>
      </c>
      <c r="E402" t="s">
        <v>771</v>
      </c>
      <c r="F402" t="s">
        <v>894</v>
      </c>
      <c r="G402" t="s">
        <v>9</v>
      </c>
      <c r="H402">
        <v>1.9750000000000001</v>
      </c>
      <c r="I402">
        <v>2.7149999999999999</v>
      </c>
      <c r="J402" t="s">
        <v>6</v>
      </c>
      <c r="K402" t="str">
        <f t="shared" si="85"/>
        <v/>
      </c>
      <c r="L402" t="str">
        <f t="shared" si="85"/>
        <v/>
      </c>
      <c r="M402" t="str">
        <f t="shared" si="85"/>
        <v/>
      </c>
      <c r="N402" t="str">
        <f t="shared" si="85"/>
        <v/>
      </c>
      <c r="O402" t="str">
        <f t="shared" si="85"/>
        <v/>
      </c>
      <c r="P402" t="str">
        <f t="shared" si="85"/>
        <v/>
      </c>
      <c r="Q402" t="str">
        <f t="shared" si="85"/>
        <v/>
      </c>
      <c r="R402" t="str">
        <f t="shared" si="85"/>
        <v/>
      </c>
      <c r="S402" t="str">
        <f t="shared" si="85"/>
        <v/>
      </c>
      <c r="T402" t="str">
        <f t="shared" si="85"/>
        <v/>
      </c>
      <c r="U402" t="str">
        <f t="shared" si="86"/>
        <v/>
      </c>
      <c r="V402" t="str">
        <f t="shared" si="86"/>
        <v/>
      </c>
      <c r="W402" t="str">
        <f t="shared" si="86"/>
        <v/>
      </c>
      <c r="X402" t="str">
        <f t="shared" si="86"/>
        <v/>
      </c>
      <c r="Y402" t="str">
        <f t="shared" si="86"/>
        <v/>
      </c>
      <c r="Z402" t="str">
        <f t="shared" si="86"/>
        <v/>
      </c>
      <c r="AA402" t="str">
        <f t="shared" si="86"/>
        <v/>
      </c>
      <c r="AB402" t="str">
        <f t="shared" si="86"/>
        <v/>
      </c>
      <c r="AC402">
        <f t="shared" si="84"/>
        <v>0</v>
      </c>
    </row>
    <row r="403" spans="1:29" x14ac:dyDescent="0.35">
      <c r="A403">
        <v>398</v>
      </c>
      <c r="B403" t="s">
        <v>12</v>
      </c>
      <c r="C403" t="s">
        <v>850</v>
      </c>
      <c r="D403" t="s">
        <v>851</v>
      </c>
      <c r="E403" t="s">
        <v>852</v>
      </c>
      <c r="F403" t="s">
        <v>135</v>
      </c>
      <c r="G403" t="s">
        <v>2</v>
      </c>
      <c r="H403">
        <v>1.99</v>
      </c>
      <c r="I403">
        <v>2.7149999999999999</v>
      </c>
      <c r="J403" t="s">
        <v>6</v>
      </c>
      <c r="K403" t="str">
        <f t="shared" si="85"/>
        <v/>
      </c>
      <c r="L403" t="str">
        <f t="shared" si="85"/>
        <v/>
      </c>
      <c r="M403" t="str">
        <f t="shared" si="85"/>
        <v/>
      </c>
      <c r="N403" t="str">
        <f t="shared" si="85"/>
        <v/>
      </c>
      <c r="O403" t="str">
        <f t="shared" si="85"/>
        <v/>
      </c>
      <c r="P403" t="str">
        <f t="shared" si="85"/>
        <v/>
      </c>
      <c r="Q403" t="str">
        <f t="shared" si="85"/>
        <v/>
      </c>
      <c r="R403" t="str">
        <f t="shared" si="85"/>
        <v/>
      </c>
      <c r="S403" t="str">
        <f t="shared" si="85"/>
        <v/>
      </c>
      <c r="T403" t="str">
        <f t="shared" si="85"/>
        <v/>
      </c>
      <c r="U403" t="str">
        <f t="shared" si="86"/>
        <v/>
      </c>
      <c r="V403" t="str">
        <f t="shared" si="86"/>
        <v/>
      </c>
      <c r="W403" t="str">
        <f t="shared" si="86"/>
        <v/>
      </c>
      <c r="X403" t="str">
        <f t="shared" si="86"/>
        <v/>
      </c>
      <c r="Y403" t="str">
        <f t="shared" si="86"/>
        <v/>
      </c>
      <c r="Z403" t="str">
        <f t="shared" si="86"/>
        <v/>
      </c>
      <c r="AA403" t="str">
        <f t="shared" si="86"/>
        <v/>
      </c>
      <c r="AB403" t="str">
        <f t="shared" si="86"/>
        <v/>
      </c>
      <c r="AC403">
        <f t="shared" si="84"/>
        <v>0</v>
      </c>
    </row>
    <row r="404" spans="1:29" x14ac:dyDescent="0.35">
      <c r="A404">
        <v>399</v>
      </c>
      <c r="B404" t="s">
        <v>12</v>
      </c>
      <c r="C404" t="s">
        <v>886</v>
      </c>
      <c r="D404" t="s">
        <v>887</v>
      </c>
      <c r="E404" t="s">
        <v>888</v>
      </c>
      <c r="F404" t="s">
        <v>135</v>
      </c>
      <c r="G404" t="s">
        <v>9</v>
      </c>
      <c r="H404">
        <v>1.9750000000000001</v>
      </c>
      <c r="I404">
        <v>2.7149999999999999</v>
      </c>
      <c r="J404" t="s">
        <v>6</v>
      </c>
      <c r="K404" t="str">
        <f t="shared" si="85"/>
        <v/>
      </c>
      <c r="L404" t="str">
        <f t="shared" si="85"/>
        <v/>
      </c>
      <c r="M404" t="str">
        <f t="shared" si="85"/>
        <v/>
      </c>
      <c r="N404" t="str">
        <f t="shared" si="85"/>
        <v/>
      </c>
      <c r="O404" t="str">
        <f t="shared" si="85"/>
        <v/>
      </c>
      <c r="P404" t="str">
        <f t="shared" si="85"/>
        <v/>
      </c>
      <c r="Q404" t="str">
        <f t="shared" si="85"/>
        <v/>
      </c>
      <c r="R404" t="str">
        <f t="shared" si="85"/>
        <v/>
      </c>
      <c r="S404" t="str">
        <f t="shared" si="85"/>
        <v/>
      </c>
      <c r="T404" t="str">
        <f t="shared" si="85"/>
        <v/>
      </c>
      <c r="U404" t="str">
        <f t="shared" si="86"/>
        <v/>
      </c>
      <c r="V404" t="str">
        <f t="shared" si="86"/>
        <v/>
      </c>
      <c r="W404" t="str">
        <f t="shared" si="86"/>
        <v/>
      </c>
      <c r="X404" t="str">
        <f t="shared" si="86"/>
        <v/>
      </c>
      <c r="Y404" t="str">
        <f t="shared" si="86"/>
        <v/>
      </c>
      <c r="Z404" t="str">
        <f t="shared" si="86"/>
        <v/>
      </c>
      <c r="AA404" t="str">
        <f t="shared" si="86"/>
        <v/>
      </c>
      <c r="AB404" t="str">
        <f t="shared" si="86"/>
        <v/>
      </c>
      <c r="AC404">
        <f t="shared" si="84"/>
        <v>0</v>
      </c>
    </row>
    <row r="405" spans="1:29" x14ac:dyDescent="0.35">
      <c r="A405">
        <v>400</v>
      </c>
      <c r="B405" t="s">
        <v>12</v>
      </c>
      <c r="C405" t="s">
        <v>970</v>
      </c>
      <c r="D405" t="s">
        <v>969</v>
      </c>
      <c r="E405" t="s">
        <v>26</v>
      </c>
      <c r="F405" t="s">
        <v>710</v>
      </c>
      <c r="G405" t="s">
        <v>9</v>
      </c>
      <c r="H405">
        <v>1.978</v>
      </c>
      <c r="I405">
        <v>2.7149999999999999</v>
      </c>
      <c r="J405" t="s">
        <v>6</v>
      </c>
      <c r="K405" t="str">
        <f t="shared" si="85"/>
        <v/>
      </c>
      <c r="L405" t="str">
        <f t="shared" si="85"/>
        <v/>
      </c>
      <c r="M405" t="str">
        <f t="shared" si="85"/>
        <v/>
      </c>
      <c r="N405" t="str">
        <f t="shared" si="85"/>
        <v/>
      </c>
      <c r="O405" t="str">
        <f t="shared" si="85"/>
        <v/>
      </c>
      <c r="P405" t="str">
        <f t="shared" si="85"/>
        <v/>
      </c>
      <c r="Q405" t="str">
        <f t="shared" si="85"/>
        <v/>
      </c>
      <c r="R405" t="str">
        <f t="shared" si="85"/>
        <v/>
      </c>
      <c r="S405" t="str">
        <f t="shared" si="85"/>
        <v/>
      </c>
      <c r="T405" t="str">
        <f t="shared" si="85"/>
        <v/>
      </c>
      <c r="U405" t="str">
        <f t="shared" si="86"/>
        <v/>
      </c>
      <c r="V405" t="str">
        <f t="shared" si="86"/>
        <v/>
      </c>
      <c r="W405" t="str">
        <f t="shared" si="86"/>
        <v/>
      </c>
      <c r="X405" t="str">
        <f t="shared" si="86"/>
        <v/>
      </c>
      <c r="Y405" t="str">
        <f t="shared" si="86"/>
        <v/>
      </c>
      <c r="Z405" t="str">
        <f t="shared" si="86"/>
        <v/>
      </c>
      <c r="AA405" t="str">
        <f t="shared" si="86"/>
        <v/>
      </c>
      <c r="AB405" t="str">
        <f t="shared" si="86"/>
        <v/>
      </c>
      <c r="AC405">
        <f t="shared" si="84"/>
        <v>0</v>
      </c>
    </row>
    <row r="406" spans="1:29" x14ac:dyDescent="0.35">
      <c r="A406">
        <v>401</v>
      </c>
      <c r="B406" t="s">
        <v>12</v>
      </c>
      <c r="C406" t="s">
        <v>973</v>
      </c>
      <c r="D406" t="s">
        <v>972</v>
      </c>
      <c r="E406" t="s">
        <v>662</v>
      </c>
      <c r="F406" t="s">
        <v>710</v>
      </c>
      <c r="G406" t="s">
        <v>9</v>
      </c>
      <c r="H406">
        <v>1.978</v>
      </c>
      <c r="I406">
        <v>2.7149999999999999</v>
      </c>
      <c r="J406" t="s">
        <v>6</v>
      </c>
      <c r="K406" t="str">
        <f t="shared" ref="K406:T415" si="87">IFERROR(IFERROR(IF(K$5=$K$1,VLOOKUP($A406,dormitorios,2,0),IF(K$5=$L$1,VLOOKUP($A406,comedor,2,0),IF(K$5=$M$1,VLOOKUP($A406,alojamiento,2,0),IF(K$5=$N$1,VLOOKUP($A406,sanidad,2,0),IF(K$5=$O$1,VLOOKUP($A406,servicios,2,0),IF(K$5=$P$1,VLOOKUP($A406,comyaloj,2,0),IF(K$5=$Q$1,VLOOKUP($A406,comandancia,2,0),IF(K$5=$R$1,VLOOKUP($A406,mantenimiento,2,0),IF(K$5=$S$1,VLOOKUP($A406,serestatal,2,0),IF(K$5=$T$1,VLOOKUP($A406,conferencias,2,0),"")))))))))),"")*K$3,"")</f>
        <v/>
      </c>
      <c r="L406" t="str">
        <f t="shared" si="87"/>
        <v/>
      </c>
      <c r="M406" t="str">
        <f t="shared" si="87"/>
        <v/>
      </c>
      <c r="N406" t="str">
        <f t="shared" si="87"/>
        <v/>
      </c>
      <c r="O406" t="str">
        <f t="shared" si="87"/>
        <v/>
      </c>
      <c r="P406" t="str">
        <f t="shared" si="87"/>
        <v/>
      </c>
      <c r="Q406" t="str">
        <f t="shared" si="87"/>
        <v/>
      </c>
      <c r="R406" t="str">
        <f t="shared" si="87"/>
        <v/>
      </c>
      <c r="S406" t="str">
        <f t="shared" si="87"/>
        <v/>
      </c>
      <c r="T406" t="str">
        <f t="shared" si="87"/>
        <v/>
      </c>
      <c r="U406" t="str">
        <f t="shared" ref="U406:AB415" si="88">IFERROR(IFERROR(IF(U$5=$K$1,VLOOKUP($A406,dormitorios,2,0),IF(U$5=$L$1,VLOOKUP($A406,comedor,2,0),IF(U$5=$M$1,VLOOKUP($A406,alojamiento,2,0),IF(U$5=$N$1,VLOOKUP($A406,sanidad,2,0),IF(U$5=$O$1,VLOOKUP($A406,servicios,2,0),IF(U$5=$P$1,VLOOKUP($A406,comyaloj,2,0),IF(U$5=$Q$1,VLOOKUP($A406,comandancia,2,0),IF(U$5=$R$1,VLOOKUP($A406,mantenimiento,2,0),IF(U$5=$S$1,VLOOKUP($A406,serestatal,2,0),IF(U$5=$T$1,VLOOKUP($A406,conferencias,2,0),"")))))))))),"")*U$3,"")</f>
        <v/>
      </c>
      <c r="V406" t="str">
        <f t="shared" si="88"/>
        <v/>
      </c>
      <c r="W406" t="str">
        <f t="shared" si="88"/>
        <v/>
      </c>
      <c r="X406" t="str">
        <f t="shared" si="88"/>
        <v/>
      </c>
      <c r="Y406" t="str">
        <f t="shared" si="88"/>
        <v/>
      </c>
      <c r="Z406" t="str">
        <f t="shared" si="88"/>
        <v/>
      </c>
      <c r="AA406" t="str">
        <f t="shared" si="88"/>
        <v/>
      </c>
      <c r="AB406" t="str">
        <f t="shared" si="88"/>
        <v/>
      </c>
      <c r="AC406">
        <f t="shared" si="84"/>
        <v>0</v>
      </c>
    </row>
    <row r="407" spans="1:29" x14ac:dyDescent="0.35">
      <c r="A407">
        <v>402</v>
      </c>
      <c r="B407" t="s">
        <v>12</v>
      </c>
      <c r="C407" t="s">
        <v>975</v>
      </c>
      <c r="D407" t="s">
        <v>974</v>
      </c>
      <c r="E407" t="s">
        <v>424</v>
      </c>
      <c r="F407" t="s">
        <v>971</v>
      </c>
      <c r="G407" t="s">
        <v>9</v>
      </c>
      <c r="H407">
        <v>1.978</v>
      </c>
      <c r="I407">
        <v>2.7149999999999999</v>
      </c>
      <c r="J407" t="s">
        <v>6</v>
      </c>
      <c r="K407" t="str">
        <f t="shared" si="87"/>
        <v/>
      </c>
      <c r="L407">
        <f t="shared" si="87"/>
        <v>48</v>
      </c>
      <c r="M407">
        <f t="shared" si="87"/>
        <v>20</v>
      </c>
      <c r="N407" t="str">
        <f t="shared" si="87"/>
        <v/>
      </c>
      <c r="O407" t="str">
        <f t="shared" si="87"/>
        <v/>
      </c>
      <c r="P407" t="str">
        <f t="shared" si="87"/>
        <v/>
      </c>
      <c r="Q407" t="str">
        <f t="shared" si="87"/>
        <v/>
      </c>
      <c r="R407" t="str">
        <f t="shared" si="87"/>
        <v/>
      </c>
      <c r="S407" t="str">
        <f t="shared" si="87"/>
        <v/>
      </c>
      <c r="T407" t="str">
        <f t="shared" si="87"/>
        <v/>
      </c>
      <c r="U407" t="str">
        <f t="shared" si="88"/>
        <v/>
      </c>
      <c r="V407" t="str">
        <f t="shared" si="88"/>
        <v/>
      </c>
      <c r="W407" t="str">
        <f t="shared" si="88"/>
        <v/>
      </c>
      <c r="X407" t="str">
        <f t="shared" si="88"/>
        <v/>
      </c>
      <c r="Y407" t="str">
        <f t="shared" si="88"/>
        <v/>
      </c>
      <c r="Z407" t="str">
        <f t="shared" si="88"/>
        <v/>
      </c>
      <c r="AA407" t="str">
        <f t="shared" si="88"/>
        <v/>
      </c>
      <c r="AB407" t="str">
        <f t="shared" si="88"/>
        <v/>
      </c>
      <c r="AC407">
        <f t="shared" si="84"/>
        <v>68</v>
      </c>
    </row>
    <row r="408" spans="1:29" x14ac:dyDescent="0.35">
      <c r="A408">
        <v>403</v>
      </c>
      <c r="B408" t="s">
        <v>12</v>
      </c>
      <c r="C408" t="s">
        <v>977</v>
      </c>
      <c r="D408" t="s">
        <v>976</v>
      </c>
      <c r="E408" t="s">
        <v>982</v>
      </c>
      <c r="F408" t="s">
        <v>971</v>
      </c>
      <c r="G408" t="s">
        <v>9</v>
      </c>
      <c r="H408">
        <v>1.978</v>
      </c>
      <c r="I408">
        <v>2.7149999999999999</v>
      </c>
      <c r="J408" t="s">
        <v>6</v>
      </c>
      <c r="K408" t="str">
        <f t="shared" si="87"/>
        <v/>
      </c>
      <c r="L408" t="str">
        <f t="shared" si="87"/>
        <v/>
      </c>
      <c r="M408" t="str">
        <f t="shared" si="87"/>
        <v/>
      </c>
      <c r="N408" t="str">
        <f t="shared" si="87"/>
        <v/>
      </c>
      <c r="O408" t="str">
        <f t="shared" si="87"/>
        <v/>
      </c>
      <c r="P408" t="str">
        <f t="shared" si="87"/>
        <v/>
      </c>
      <c r="Q408" t="str">
        <f t="shared" si="87"/>
        <v/>
      </c>
      <c r="R408" t="str">
        <f t="shared" si="87"/>
        <v/>
      </c>
      <c r="S408" t="str">
        <f t="shared" si="87"/>
        <v/>
      </c>
      <c r="T408" t="str">
        <f t="shared" si="87"/>
        <v/>
      </c>
      <c r="U408" t="str">
        <f t="shared" si="88"/>
        <v/>
      </c>
      <c r="V408" t="str">
        <f t="shared" si="88"/>
        <v/>
      </c>
      <c r="W408" t="str">
        <f t="shared" si="88"/>
        <v/>
      </c>
      <c r="X408" t="str">
        <f t="shared" si="88"/>
        <v/>
      </c>
      <c r="Y408" t="str">
        <f t="shared" si="88"/>
        <v/>
      </c>
      <c r="Z408" t="str">
        <f t="shared" si="88"/>
        <v/>
      </c>
      <c r="AA408" t="str">
        <f t="shared" si="88"/>
        <v/>
      </c>
      <c r="AB408" t="str">
        <f t="shared" si="88"/>
        <v/>
      </c>
      <c r="AC408">
        <f t="shared" si="84"/>
        <v>0</v>
      </c>
    </row>
    <row r="409" spans="1:29" x14ac:dyDescent="0.35">
      <c r="A409">
        <v>404</v>
      </c>
      <c r="B409" t="s">
        <v>12</v>
      </c>
      <c r="C409" t="s">
        <v>979</v>
      </c>
      <c r="D409" t="s">
        <v>978</v>
      </c>
      <c r="E409" t="s">
        <v>1043</v>
      </c>
      <c r="F409" t="s">
        <v>971</v>
      </c>
      <c r="G409" t="s">
        <v>9</v>
      </c>
      <c r="H409">
        <v>1.978</v>
      </c>
      <c r="I409">
        <v>2.7149999999999999</v>
      </c>
      <c r="J409" t="s">
        <v>6</v>
      </c>
      <c r="K409" t="str">
        <f t="shared" si="87"/>
        <v/>
      </c>
      <c r="L409" t="str">
        <f t="shared" si="87"/>
        <v/>
      </c>
      <c r="M409" t="str">
        <f t="shared" si="87"/>
        <v/>
      </c>
      <c r="N409" t="str">
        <f t="shared" si="87"/>
        <v/>
      </c>
      <c r="O409" t="str">
        <f t="shared" si="87"/>
        <v/>
      </c>
      <c r="P409" t="str">
        <f t="shared" si="87"/>
        <v/>
      </c>
      <c r="Q409" t="str">
        <f t="shared" si="87"/>
        <v/>
      </c>
      <c r="R409" t="str">
        <f t="shared" si="87"/>
        <v/>
      </c>
      <c r="S409" t="str">
        <f t="shared" si="87"/>
        <v/>
      </c>
      <c r="T409" t="str">
        <f t="shared" si="87"/>
        <v/>
      </c>
      <c r="U409" t="str">
        <f t="shared" si="88"/>
        <v/>
      </c>
      <c r="V409" t="str">
        <f t="shared" si="88"/>
        <v/>
      </c>
      <c r="W409" t="str">
        <f t="shared" si="88"/>
        <v/>
      </c>
      <c r="X409" t="str">
        <f t="shared" si="88"/>
        <v/>
      </c>
      <c r="Y409" t="str">
        <f t="shared" si="88"/>
        <v/>
      </c>
      <c r="Z409" t="str">
        <f t="shared" si="88"/>
        <v/>
      </c>
      <c r="AA409" t="str">
        <f t="shared" si="88"/>
        <v/>
      </c>
      <c r="AB409" t="str">
        <f t="shared" si="88"/>
        <v/>
      </c>
      <c r="AC409">
        <f t="shared" si="84"/>
        <v>0</v>
      </c>
    </row>
    <row r="410" spans="1:29" x14ac:dyDescent="0.35">
      <c r="A410">
        <v>405</v>
      </c>
      <c r="B410" t="s">
        <v>12</v>
      </c>
      <c r="C410" t="s">
        <v>981</v>
      </c>
      <c r="D410" t="s">
        <v>980</v>
      </c>
      <c r="E410" t="s">
        <v>305</v>
      </c>
      <c r="F410" t="s">
        <v>971</v>
      </c>
      <c r="G410" t="s">
        <v>9</v>
      </c>
      <c r="H410">
        <v>1.978</v>
      </c>
      <c r="I410">
        <v>2.7149999999999999</v>
      </c>
      <c r="J410" t="s">
        <v>6</v>
      </c>
      <c r="K410" t="str">
        <f t="shared" si="87"/>
        <v/>
      </c>
      <c r="L410" t="str">
        <f t="shared" si="87"/>
        <v/>
      </c>
      <c r="M410">
        <f t="shared" si="87"/>
        <v>56</v>
      </c>
      <c r="N410" t="str">
        <f t="shared" si="87"/>
        <v/>
      </c>
      <c r="O410" t="str">
        <f t="shared" si="87"/>
        <v/>
      </c>
      <c r="P410" t="str">
        <f t="shared" si="87"/>
        <v/>
      </c>
      <c r="Q410" t="str">
        <f t="shared" si="87"/>
        <v/>
      </c>
      <c r="R410" t="str">
        <f t="shared" si="87"/>
        <v/>
      </c>
      <c r="S410" t="str">
        <f t="shared" si="87"/>
        <v/>
      </c>
      <c r="T410" t="str">
        <f t="shared" si="87"/>
        <v/>
      </c>
      <c r="U410" t="str">
        <f t="shared" si="88"/>
        <v/>
      </c>
      <c r="V410" t="str">
        <f t="shared" si="88"/>
        <v/>
      </c>
      <c r="W410" t="str">
        <f t="shared" si="88"/>
        <v/>
      </c>
      <c r="X410" t="str">
        <f t="shared" si="88"/>
        <v/>
      </c>
      <c r="Y410" t="str">
        <f t="shared" si="88"/>
        <v/>
      </c>
      <c r="Z410" t="str">
        <f t="shared" si="88"/>
        <v/>
      </c>
      <c r="AA410" t="str">
        <f t="shared" si="88"/>
        <v/>
      </c>
      <c r="AB410" t="str">
        <f t="shared" si="88"/>
        <v/>
      </c>
      <c r="AC410">
        <f t="shared" si="84"/>
        <v>56</v>
      </c>
    </row>
    <row r="411" spans="1:29" x14ac:dyDescent="0.35">
      <c r="A411">
        <v>406</v>
      </c>
      <c r="B411" t="s">
        <v>12</v>
      </c>
      <c r="C411" t="s">
        <v>1116</v>
      </c>
      <c r="D411" t="s">
        <v>1117</v>
      </c>
      <c r="E411" t="s">
        <v>1118</v>
      </c>
      <c r="F411" t="s">
        <v>710</v>
      </c>
      <c r="J411" t="s">
        <v>6</v>
      </c>
      <c r="K411" t="str">
        <f t="shared" si="87"/>
        <v/>
      </c>
      <c r="L411" t="str">
        <f t="shared" si="87"/>
        <v/>
      </c>
      <c r="M411" t="str">
        <f t="shared" si="87"/>
        <v/>
      </c>
      <c r="N411" t="str">
        <f t="shared" si="87"/>
        <v/>
      </c>
      <c r="O411" t="str">
        <f t="shared" si="87"/>
        <v/>
      </c>
      <c r="P411" t="str">
        <f t="shared" si="87"/>
        <v/>
      </c>
      <c r="Q411" t="str">
        <f t="shared" si="87"/>
        <v/>
      </c>
      <c r="R411" t="str">
        <f t="shared" si="87"/>
        <v/>
      </c>
      <c r="S411" t="str">
        <f t="shared" si="87"/>
        <v/>
      </c>
      <c r="T411" t="str">
        <f t="shared" si="87"/>
        <v/>
      </c>
      <c r="U411" t="str">
        <f t="shared" si="88"/>
        <v/>
      </c>
      <c r="V411" t="str">
        <f t="shared" si="88"/>
        <v/>
      </c>
      <c r="W411" t="str">
        <f t="shared" si="88"/>
        <v/>
      </c>
      <c r="X411" t="str">
        <f t="shared" si="88"/>
        <v/>
      </c>
      <c r="Y411" t="str">
        <f t="shared" si="88"/>
        <v/>
      </c>
      <c r="Z411" t="str">
        <f t="shared" si="88"/>
        <v/>
      </c>
      <c r="AA411" t="str">
        <f t="shared" si="88"/>
        <v/>
      </c>
      <c r="AB411" t="str">
        <f t="shared" si="88"/>
        <v/>
      </c>
      <c r="AC411">
        <f t="shared" si="84"/>
        <v>0</v>
      </c>
    </row>
    <row r="412" spans="1:29" x14ac:dyDescent="0.35">
      <c r="A412">
        <v>407</v>
      </c>
      <c r="B412" t="s">
        <v>12</v>
      </c>
      <c r="C412" t="s">
        <v>1116</v>
      </c>
      <c r="D412" t="s">
        <v>1261</v>
      </c>
      <c r="E412" t="s">
        <v>305</v>
      </c>
      <c r="F412" t="s">
        <v>135</v>
      </c>
      <c r="G412" t="s">
        <v>9</v>
      </c>
      <c r="H412">
        <v>2</v>
      </c>
      <c r="I412">
        <v>4.3179999999999996</v>
      </c>
      <c r="J412" t="s">
        <v>6</v>
      </c>
      <c r="K412">
        <f t="shared" si="87"/>
        <v>9</v>
      </c>
      <c r="L412" t="str">
        <f t="shared" si="87"/>
        <v/>
      </c>
      <c r="M412" t="str">
        <f t="shared" si="87"/>
        <v/>
      </c>
      <c r="N412" t="str">
        <f t="shared" si="87"/>
        <v/>
      </c>
      <c r="O412" t="str">
        <f t="shared" si="87"/>
        <v/>
      </c>
      <c r="P412" t="str">
        <f t="shared" si="87"/>
        <v/>
      </c>
      <c r="Q412" t="str">
        <f t="shared" si="87"/>
        <v/>
      </c>
      <c r="R412" t="str">
        <f t="shared" si="87"/>
        <v/>
      </c>
      <c r="S412" t="str">
        <f t="shared" si="87"/>
        <v/>
      </c>
      <c r="T412" t="str">
        <f t="shared" si="87"/>
        <v/>
      </c>
      <c r="U412" t="str">
        <f t="shared" si="88"/>
        <v/>
      </c>
      <c r="V412" t="str">
        <f t="shared" si="88"/>
        <v/>
      </c>
      <c r="W412" t="str">
        <f t="shared" si="88"/>
        <v/>
      </c>
      <c r="X412" t="str">
        <f t="shared" si="88"/>
        <v/>
      </c>
      <c r="Y412" t="str">
        <f t="shared" si="88"/>
        <v/>
      </c>
      <c r="Z412" t="str">
        <f t="shared" si="88"/>
        <v/>
      </c>
      <c r="AA412" t="str">
        <f t="shared" si="88"/>
        <v/>
      </c>
      <c r="AB412" t="str">
        <f t="shared" si="88"/>
        <v/>
      </c>
      <c r="AC412">
        <f t="shared" si="84"/>
        <v>9</v>
      </c>
    </row>
    <row r="413" spans="1:29" x14ac:dyDescent="0.35">
      <c r="A413">
        <v>408</v>
      </c>
      <c r="B413" t="s">
        <v>12</v>
      </c>
      <c r="C413" t="s">
        <v>1142</v>
      </c>
      <c r="D413" t="s">
        <v>1262</v>
      </c>
      <c r="E413" t="s">
        <v>305</v>
      </c>
      <c r="F413" t="s">
        <v>135</v>
      </c>
      <c r="G413" t="s">
        <v>9</v>
      </c>
      <c r="H413">
        <v>1.9750000000000001</v>
      </c>
      <c r="I413">
        <v>4.3179999999999996</v>
      </c>
      <c r="J413" t="s">
        <v>6</v>
      </c>
      <c r="K413">
        <f t="shared" si="87"/>
        <v>9</v>
      </c>
      <c r="L413" t="str">
        <f t="shared" si="87"/>
        <v/>
      </c>
      <c r="M413" t="str">
        <f t="shared" si="87"/>
        <v/>
      </c>
      <c r="N413" t="str">
        <f t="shared" si="87"/>
        <v/>
      </c>
      <c r="O413" t="str">
        <f t="shared" si="87"/>
        <v/>
      </c>
      <c r="P413" t="str">
        <f t="shared" si="87"/>
        <v/>
      </c>
      <c r="Q413" t="str">
        <f t="shared" si="87"/>
        <v/>
      </c>
      <c r="R413" t="str">
        <f t="shared" si="87"/>
        <v/>
      </c>
      <c r="S413" t="str">
        <f t="shared" si="87"/>
        <v/>
      </c>
      <c r="T413" t="str">
        <f t="shared" si="87"/>
        <v/>
      </c>
      <c r="U413" t="str">
        <f t="shared" si="88"/>
        <v/>
      </c>
      <c r="V413" t="str">
        <f t="shared" si="88"/>
        <v/>
      </c>
      <c r="W413" t="str">
        <f t="shared" si="88"/>
        <v/>
      </c>
      <c r="X413" t="str">
        <f t="shared" si="88"/>
        <v/>
      </c>
      <c r="Y413" t="str">
        <f t="shared" si="88"/>
        <v/>
      </c>
      <c r="Z413" t="str">
        <f t="shared" si="88"/>
        <v/>
      </c>
      <c r="AA413" t="str">
        <f t="shared" si="88"/>
        <v/>
      </c>
      <c r="AB413" t="str">
        <f t="shared" si="88"/>
        <v/>
      </c>
      <c r="AC413">
        <f t="shared" si="84"/>
        <v>9</v>
      </c>
    </row>
    <row r="414" spans="1:29" x14ac:dyDescent="0.35">
      <c r="A414">
        <v>409</v>
      </c>
      <c r="B414" t="s">
        <v>12</v>
      </c>
      <c r="C414" t="s">
        <v>1143</v>
      </c>
      <c r="D414" t="s">
        <v>1263</v>
      </c>
      <c r="E414" t="s">
        <v>424</v>
      </c>
      <c r="F414" t="s">
        <v>135</v>
      </c>
      <c r="G414" t="s">
        <v>9</v>
      </c>
      <c r="H414">
        <v>1.9750000000000001</v>
      </c>
      <c r="I414">
        <v>4.3179999999999996</v>
      </c>
      <c r="J414" t="s">
        <v>6</v>
      </c>
      <c r="K414">
        <f t="shared" si="87"/>
        <v>9</v>
      </c>
      <c r="L414" t="str">
        <f t="shared" si="87"/>
        <v/>
      </c>
      <c r="M414" t="str">
        <f t="shared" si="87"/>
        <v/>
      </c>
      <c r="N414" t="str">
        <f t="shared" si="87"/>
        <v/>
      </c>
      <c r="O414" t="str">
        <f t="shared" si="87"/>
        <v/>
      </c>
      <c r="P414" t="str">
        <f t="shared" si="87"/>
        <v/>
      </c>
      <c r="Q414" t="str">
        <f t="shared" si="87"/>
        <v/>
      </c>
      <c r="R414" t="str">
        <f t="shared" si="87"/>
        <v/>
      </c>
      <c r="S414" t="str">
        <f t="shared" si="87"/>
        <v/>
      </c>
      <c r="T414" t="str">
        <f t="shared" si="87"/>
        <v/>
      </c>
      <c r="U414" t="str">
        <f t="shared" si="88"/>
        <v/>
      </c>
      <c r="V414" t="str">
        <f t="shared" si="88"/>
        <v/>
      </c>
      <c r="W414" t="str">
        <f t="shared" si="88"/>
        <v/>
      </c>
      <c r="X414" t="str">
        <f t="shared" si="88"/>
        <v/>
      </c>
      <c r="Y414" t="str">
        <f t="shared" si="88"/>
        <v/>
      </c>
      <c r="Z414" t="str">
        <f t="shared" si="88"/>
        <v/>
      </c>
      <c r="AA414" t="str">
        <f t="shared" si="88"/>
        <v/>
      </c>
      <c r="AB414" t="str">
        <f t="shared" si="88"/>
        <v/>
      </c>
      <c r="AC414">
        <f t="shared" si="84"/>
        <v>9</v>
      </c>
    </row>
    <row r="415" spans="1:29" x14ac:dyDescent="0.35">
      <c r="A415">
        <v>410</v>
      </c>
      <c r="B415" t="s">
        <v>12</v>
      </c>
      <c r="C415" t="s">
        <v>104</v>
      </c>
      <c r="D415" t="s">
        <v>277</v>
      </c>
      <c r="E415" t="s">
        <v>117</v>
      </c>
      <c r="F415" t="s">
        <v>135</v>
      </c>
      <c r="G415" t="s">
        <v>9</v>
      </c>
      <c r="H415">
        <v>1.9750000000000001</v>
      </c>
      <c r="I415">
        <v>2.7149999999999999</v>
      </c>
      <c r="J415" t="s">
        <v>6</v>
      </c>
      <c r="K415" t="str">
        <f t="shared" si="87"/>
        <v/>
      </c>
      <c r="L415" t="str">
        <f t="shared" si="87"/>
        <v/>
      </c>
      <c r="M415" t="str">
        <f t="shared" si="87"/>
        <v/>
      </c>
      <c r="N415" t="str">
        <f t="shared" si="87"/>
        <v/>
      </c>
      <c r="O415" t="str">
        <f t="shared" si="87"/>
        <v/>
      </c>
      <c r="P415" t="str">
        <f t="shared" si="87"/>
        <v/>
      </c>
      <c r="Q415" t="str">
        <f t="shared" si="87"/>
        <v/>
      </c>
      <c r="R415" t="str">
        <f t="shared" si="87"/>
        <v/>
      </c>
      <c r="S415" t="str">
        <f t="shared" si="87"/>
        <v/>
      </c>
      <c r="T415" t="str">
        <f t="shared" si="87"/>
        <v/>
      </c>
      <c r="U415" t="str">
        <f t="shared" si="88"/>
        <v/>
      </c>
      <c r="V415" t="str">
        <f t="shared" si="88"/>
        <v/>
      </c>
      <c r="W415" t="str">
        <f t="shared" si="88"/>
        <v/>
      </c>
      <c r="X415" t="str">
        <f t="shared" si="88"/>
        <v/>
      </c>
      <c r="Y415" t="str">
        <f t="shared" si="88"/>
        <v/>
      </c>
      <c r="Z415" t="str">
        <f t="shared" si="88"/>
        <v/>
      </c>
      <c r="AA415" t="str">
        <f t="shared" si="88"/>
        <v/>
      </c>
      <c r="AB415" t="str">
        <f t="shared" si="88"/>
        <v/>
      </c>
      <c r="AC415">
        <f t="shared" si="84"/>
        <v>0</v>
      </c>
    </row>
    <row r="416" spans="1:29" x14ac:dyDescent="0.35">
      <c r="A416">
        <v>411</v>
      </c>
      <c r="B416" t="s">
        <v>12</v>
      </c>
      <c r="C416" t="s">
        <v>105</v>
      </c>
      <c r="D416" t="s">
        <v>278</v>
      </c>
      <c r="E416" t="s">
        <v>118</v>
      </c>
      <c r="F416" t="s">
        <v>135</v>
      </c>
      <c r="G416" t="s">
        <v>9</v>
      </c>
      <c r="H416">
        <v>1.9750000000000001</v>
      </c>
      <c r="I416">
        <v>2.7149999999999999</v>
      </c>
      <c r="J416" t="s">
        <v>6</v>
      </c>
      <c r="K416" t="str">
        <f t="shared" ref="K416:T425" si="89">IFERROR(IFERROR(IF(K$5=$K$1,VLOOKUP($A416,dormitorios,2,0),IF(K$5=$L$1,VLOOKUP($A416,comedor,2,0),IF(K$5=$M$1,VLOOKUP($A416,alojamiento,2,0),IF(K$5=$N$1,VLOOKUP($A416,sanidad,2,0),IF(K$5=$O$1,VLOOKUP($A416,servicios,2,0),IF(K$5=$P$1,VLOOKUP($A416,comyaloj,2,0),IF(K$5=$Q$1,VLOOKUP($A416,comandancia,2,0),IF(K$5=$R$1,VLOOKUP($A416,mantenimiento,2,0),IF(K$5=$S$1,VLOOKUP($A416,serestatal,2,0),IF(K$5=$T$1,VLOOKUP($A416,conferencias,2,0),"")))))))))),"")*K$3,"")</f>
        <v/>
      </c>
      <c r="L416" t="str">
        <f t="shared" si="89"/>
        <v/>
      </c>
      <c r="M416" t="str">
        <f t="shared" si="89"/>
        <v/>
      </c>
      <c r="N416" t="str">
        <f t="shared" si="89"/>
        <v/>
      </c>
      <c r="O416" t="str">
        <f t="shared" si="89"/>
        <v/>
      </c>
      <c r="P416" t="str">
        <f t="shared" si="89"/>
        <v/>
      </c>
      <c r="Q416" t="str">
        <f t="shared" si="89"/>
        <v/>
      </c>
      <c r="R416" t="str">
        <f t="shared" si="89"/>
        <v/>
      </c>
      <c r="S416" t="str">
        <f t="shared" si="89"/>
        <v/>
      </c>
      <c r="T416" t="str">
        <f t="shared" si="89"/>
        <v/>
      </c>
      <c r="U416" t="str">
        <f t="shared" ref="U416:AB425" si="90">IFERROR(IFERROR(IF(U$5=$K$1,VLOOKUP($A416,dormitorios,2,0),IF(U$5=$L$1,VLOOKUP($A416,comedor,2,0),IF(U$5=$M$1,VLOOKUP($A416,alojamiento,2,0),IF(U$5=$N$1,VLOOKUP($A416,sanidad,2,0),IF(U$5=$O$1,VLOOKUP($A416,servicios,2,0),IF(U$5=$P$1,VLOOKUP($A416,comyaloj,2,0),IF(U$5=$Q$1,VLOOKUP($A416,comandancia,2,0),IF(U$5=$R$1,VLOOKUP($A416,mantenimiento,2,0),IF(U$5=$S$1,VLOOKUP($A416,serestatal,2,0),IF(U$5=$T$1,VLOOKUP($A416,conferencias,2,0),"")))))))))),"")*U$3,"")</f>
        <v/>
      </c>
      <c r="V416" t="str">
        <f t="shared" si="90"/>
        <v/>
      </c>
      <c r="W416" t="str">
        <f t="shared" si="90"/>
        <v/>
      </c>
      <c r="X416" t="str">
        <f t="shared" si="90"/>
        <v/>
      </c>
      <c r="Y416" t="str">
        <f t="shared" si="90"/>
        <v/>
      </c>
      <c r="Z416" t="str">
        <f t="shared" si="90"/>
        <v/>
      </c>
      <c r="AA416" t="str">
        <f t="shared" si="90"/>
        <v/>
      </c>
      <c r="AB416" t="str">
        <f t="shared" si="90"/>
        <v/>
      </c>
      <c r="AC416">
        <f t="shared" si="84"/>
        <v>0</v>
      </c>
    </row>
    <row r="417" spans="1:29" x14ac:dyDescent="0.35">
      <c r="A417">
        <v>412</v>
      </c>
      <c r="B417" t="s">
        <v>12</v>
      </c>
      <c r="C417" t="s">
        <v>101</v>
      </c>
      <c r="D417" t="s">
        <v>279</v>
      </c>
      <c r="E417" t="s">
        <v>337</v>
      </c>
      <c r="F417" t="s">
        <v>135</v>
      </c>
      <c r="G417" t="s">
        <v>9</v>
      </c>
      <c r="H417">
        <v>1.9750000000000001</v>
      </c>
      <c r="I417">
        <v>2.7149999999999999</v>
      </c>
      <c r="J417" t="s">
        <v>6</v>
      </c>
      <c r="K417" t="str">
        <f t="shared" si="89"/>
        <v/>
      </c>
      <c r="L417" t="str">
        <f t="shared" si="89"/>
        <v/>
      </c>
      <c r="M417" t="str">
        <f t="shared" si="89"/>
        <v/>
      </c>
      <c r="N417" t="str">
        <f t="shared" si="89"/>
        <v/>
      </c>
      <c r="O417" t="str">
        <f t="shared" si="89"/>
        <v/>
      </c>
      <c r="P417" t="str">
        <f t="shared" si="89"/>
        <v/>
      </c>
      <c r="Q417" t="str">
        <f t="shared" si="89"/>
        <v/>
      </c>
      <c r="R417" t="str">
        <f t="shared" si="89"/>
        <v/>
      </c>
      <c r="S417" t="str">
        <f t="shared" si="89"/>
        <v/>
      </c>
      <c r="T417" t="str">
        <f t="shared" si="89"/>
        <v/>
      </c>
      <c r="U417" t="str">
        <f t="shared" si="90"/>
        <v/>
      </c>
      <c r="V417" t="str">
        <f t="shared" si="90"/>
        <v/>
      </c>
      <c r="W417" t="str">
        <f t="shared" si="90"/>
        <v/>
      </c>
      <c r="X417" t="str">
        <f t="shared" si="90"/>
        <v/>
      </c>
      <c r="Y417" t="str">
        <f t="shared" si="90"/>
        <v/>
      </c>
      <c r="Z417" t="str">
        <f t="shared" si="90"/>
        <v/>
      </c>
      <c r="AA417" t="str">
        <f t="shared" si="90"/>
        <v/>
      </c>
      <c r="AB417" t="str">
        <f t="shared" si="90"/>
        <v/>
      </c>
      <c r="AC417">
        <f t="shared" si="84"/>
        <v>0</v>
      </c>
    </row>
    <row r="418" spans="1:29" x14ac:dyDescent="0.35">
      <c r="A418">
        <v>413</v>
      </c>
      <c r="B418" t="s">
        <v>12</v>
      </c>
      <c r="C418" t="s">
        <v>517</v>
      </c>
      <c r="D418" t="s">
        <v>518</v>
      </c>
      <c r="E418" t="s">
        <v>337</v>
      </c>
      <c r="F418" t="s">
        <v>710</v>
      </c>
      <c r="G418" t="s">
        <v>9</v>
      </c>
      <c r="H418">
        <v>1.9750000000000001</v>
      </c>
      <c r="I418">
        <v>2.7149999999999999</v>
      </c>
      <c r="J418" t="s">
        <v>6</v>
      </c>
      <c r="K418" t="str">
        <f t="shared" si="89"/>
        <v/>
      </c>
      <c r="L418" t="str">
        <f t="shared" si="89"/>
        <v/>
      </c>
      <c r="M418" t="str">
        <f t="shared" si="89"/>
        <v/>
      </c>
      <c r="N418" t="str">
        <f t="shared" si="89"/>
        <v/>
      </c>
      <c r="O418" t="str">
        <f t="shared" si="89"/>
        <v/>
      </c>
      <c r="P418" t="str">
        <f t="shared" si="89"/>
        <v/>
      </c>
      <c r="Q418" t="str">
        <f t="shared" si="89"/>
        <v/>
      </c>
      <c r="R418" t="str">
        <f t="shared" si="89"/>
        <v/>
      </c>
      <c r="S418" t="str">
        <f t="shared" si="89"/>
        <v/>
      </c>
      <c r="T418" t="str">
        <f t="shared" si="89"/>
        <v/>
      </c>
      <c r="U418" t="str">
        <f t="shared" si="90"/>
        <v/>
      </c>
      <c r="V418" t="str">
        <f t="shared" si="90"/>
        <v/>
      </c>
      <c r="W418" t="str">
        <f t="shared" si="90"/>
        <v/>
      </c>
      <c r="X418" t="str">
        <f t="shared" si="90"/>
        <v/>
      </c>
      <c r="Y418" t="str">
        <f t="shared" si="90"/>
        <v/>
      </c>
      <c r="Z418" t="str">
        <f t="shared" si="90"/>
        <v/>
      </c>
      <c r="AA418" t="str">
        <f t="shared" si="90"/>
        <v/>
      </c>
      <c r="AB418" t="str">
        <f t="shared" si="90"/>
        <v/>
      </c>
      <c r="AC418">
        <f t="shared" si="84"/>
        <v>0</v>
      </c>
    </row>
    <row r="419" spans="1:29" x14ac:dyDescent="0.35">
      <c r="A419">
        <v>414</v>
      </c>
      <c r="B419" t="s">
        <v>12</v>
      </c>
      <c r="C419" t="s">
        <v>577</v>
      </c>
      <c r="D419" t="s">
        <v>578</v>
      </c>
      <c r="E419" t="s">
        <v>579</v>
      </c>
      <c r="F419" t="s">
        <v>135</v>
      </c>
      <c r="G419" t="s">
        <v>9</v>
      </c>
      <c r="H419">
        <v>1.9750000000000001</v>
      </c>
      <c r="I419">
        <v>2.7149999999999999</v>
      </c>
      <c r="J419" t="s">
        <v>6</v>
      </c>
      <c r="K419" t="str">
        <f t="shared" si="89"/>
        <v/>
      </c>
      <c r="L419" t="str">
        <f t="shared" si="89"/>
        <v/>
      </c>
      <c r="M419" t="str">
        <f t="shared" si="89"/>
        <v/>
      </c>
      <c r="N419" t="str">
        <f t="shared" si="89"/>
        <v/>
      </c>
      <c r="O419" t="str">
        <f t="shared" si="89"/>
        <v/>
      </c>
      <c r="P419" t="str">
        <f t="shared" si="89"/>
        <v/>
      </c>
      <c r="Q419" t="str">
        <f t="shared" si="89"/>
        <v/>
      </c>
      <c r="R419" t="str">
        <f t="shared" si="89"/>
        <v/>
      </c>
      <c r="S419" t="str">
        <f t="shared" si="89"/>
        <v/>
      </c>
      <c r="T419" t="str">
        <f t="shared" si="89"/>
        <v/>
      </c>
      <c r="U419" t="str">
        <f t="shared" si="90"/>
        <v/>
      </c>
      <c r="V419" t="str">
        <f t="shared" si="90"/>
        <v/>
      </c>
      <c r="W419" t="str">
        <f t="shared" si="90"/>
        <v/>
      </c>
      <c r="X419" t="str">
        <f t="shared" si="90"/>
        <v/>
      </c>
      <c r="Y419" t="str">
        <f t="shared" si="90"/>
        <v/>
      </c>
      <c r="Z419" t="str">
        <f t="shared" si="90"/>
        <v/>
      </c>
      <c r="AA419" t="str">
        <f t="shared" si="90"/>
        <v/>
      </c>
      <c r="AB419" t="str">
        <f t="shared" si="90"/>
        <v/>
      </c>
      <c r="AC419">
        <f t="shared" si="84"/>
        <v>0</v>
      </c>
    </row>
    <row r="420" spans="1:29" x14ac:dyDescent="0.35">
      <c r="A420">
        <v>415</v>
      </c>
      <c r="B420" t="s">
        <v>12</v>
      </c>
      <c r="C420" t="s">
        <v>612</v>
      </c>
      <c r="D420" t="s">
        <v>613</v>
      </c>
      <c r="E420" t="s">
        <v>117</v>
      </c>
      <c r="F420" t="s">
        <v>710</v>
      </c>
      <c r="G420" t="s">
        <v>9</v>
      </c>
      <c r="H420">
        <v>1.9750000000000001</v>
      </c>
      <c r="I420">
        <v>2.7149999999999999</v>
      </c>
      <c r="J420" t="s">
        <v>6</v>
      </c>
      <c r="K420" t="str">
        <f t="shared" si="89"/>
        <v/>
      </c>
      <c r="L420" t="str">
        <f t="shared" si="89"/>
        <v/>
      </c>
      <c r="M420" t="str">
        <f t="shared" si="89"/>
        <v/>
      </c>
      <c r="N420" t="str">
        <f t="shared" si="89"/>
        <v/>
      </c>
      <c r="O420" t="str">
        <f t="shared" si="89"/>
        <v/>
      </c>
      <c r="P420" t="str">
        <f t="shared" si="89"/>
        <v/>
      </c>
      <c r="Q420" t="str">
        <f t="shared" si="89"/>
        <v/>
      </c>
      <c r="R420" t="str">
        <f t="shared" si="89"/>
        <v/>
      </c>
      <c r="S420" t="str">
        <f t="shared" si="89"/>
        <v/>
      </c>
      <c r="T420" t="str">
        <f t="shared" si="89"/>
        <v/>
      </c>
      <c r="U420" t="str">
        <f t="shared" si="90"/>
        <v/>
      </c>
      <c r="V420" t="str">
        <f t="shared" si="90"/>
        <v/>
      </c>
      <c r="W420" t="str">
        <f t="shared" si="90"/>
        <v/>
      </c>
      <c r="X420" t="str">
        <f t="shared" si="90"/>
        <v/>
      </c>
      <c r="Y420" t="str">
        <f t="shared" si="90"/>
        <v/>
      </c>
      <c r="Z420" t="str">
        <f t="shared" si="90"/>
        <v/>
      </c>
      <c r="AA420" t="str">
        <f t="shared" si="90"/>
        <v/>
      </c>
      <c r="AB420" t="str">
        <f t="shared" si="90"/>
        <v/>
      </c>
      <c r="AC420">
        <f t="shared" si="84"/>
        <v>0</v>
      </c>
    </row>
    <row r="421" spans="1:29" x14ac:dyDescent="0.35">
      <c r="A421">
        <v>416</v>
      </c>
      <c r="B421" t="s">
        <v>12</v>
      </c>
      <c r="C421" t="s">
        <v>708</v>
      </c>
      <c r="D421" t="s">
        <v>709</v>
      </c>
      <c r="E421" t="s">
        <v>118</v>
      </c>
      <c r="F421" t="s">
        <v>710</v>
      </c>
      <c r="G421" t="s">
        <v>9</v>
      </c>
      <c r="H421">
        <v>1.9750000000000001</v>
      </c>
      <c r="I421">
        <v>2.7149999999999999</v>
      </c>
      <c r="J421" t="s">
        <v>6</v>
      </c>
      <c r="K421" t="str">
        <f t="shared" si="89"/>
        <v/>
      </c>
      <c r="L421" t="str">
        <f t="shared" si="89"/>
        <v/>
      </c>
      <c r="M421" t="str">
        <f t="shared" si="89"/>
        <v/>
      </c>
      <c r="N421" t="str">
        <f t="shared" si="89"/>
        <v/>
      </c>
      <c r="O421" t="str">
        <f t="shared" si="89"/>
        <v/>
      </c>
      <c r="P421" t="str">
        <f t="shared" si="89"/>
        <v/>
      </c>
      <c r="Q421" t="str">
        <f t="shared" si="89"/>
        <v/>
      </c>
      <c r="R421" t="str">
        <f t="shared" si="89"/>
        <v/>
      </c>
      <c r="S421" t="str">
        <f t="shared" si="89"/>
        <v/>
      </c>
      <c r="T421" t="str">
        <f t="shared" si="89"/>
        <v/>
      </c>
      <c r="U421" t="str">
        <f t="shared" si="90"/>
        <v/>
      </c>
      <c r="V421" t="str">
        <f t="shared" si="90"/>
        <v/>
      </c>
      <c r="W421" t="str">
        <f t="shared" si="90"/>
        <v/>
      </c>
      <c r="X421" t="str">
        <f t="shared" si="90"/>
        <v/>
      </c>
      <c r="Y421" t="str">
        <f t="shared" si="90"/>
        <v/>
      </c>
      <c r="Z421" t="str">
        <f t="shared" si="90"/>
        <v/>
      </c>
      <c r="AA421" t="str">
        <f t="shared" si="90"/>
        <v/>
      </c>
      <c r="AB421" t="str">
        <f t="shared" si="90"/>
        <v/>
      </c>
      <c r="AC421">
        <f t="shared" si="84"/>
        <v>0</v>
      </c>
    </row>
    <row r="422" spans="1:29" x14ac:dyDescent="0.35">
      <c r="A422">
        <v>417</v>
      </c>
      <c r="B422" t="s">
        <v>12</v>
      </c>
      <c r="C422" t="s">
        <v>983</v>
      </c>
      <c r="D422" t="s">
        <v>984</v>
      </c>
      <c r="E422" t="s">
        <v>1109</v>
      </c>
      <c r="F422" t="s">
        <v>971</v>
      </c>
      <c r="G422" t="s">
        <v>9</v>
      </c>
      <c r="H422">
        <v>1.9750000000000001</v>
      </c>
      <c r="I422">
        <v>2.7149999999999999</v>
      </c>
      <c r="J422" t="s">
        <v>6</v>
      </c>
      <c r="K422" t="str">
        <f t="shared" si="89"/>
        <v/>
      </c>
      <c r="L422">
        <f t="shared" si="89"/>
        <v>6</v>
      </c>
      <c r="M422" t="str">
        <f t="shared" si="89"/>
        <v/>
      </c>
      <c r="N422" t="str">
        <f t="shared" si="89"/>
        <v/>
      </c>
      <c r="O422" t="str">
        <f t="shared" si="89"/>
        <v/>
      </c>
      <c r="P422" t="str">
        <f t="shared" si="89"/>
        <v/>
      </c>
      <c r="Q422" t="str">
        <f t="shared" si="89"/>
        <v/>
      </c>
      <c r="R422" t="str">
        <f t="shared" si="89"/>
        <v/>
      </c>
      <c r="S422" t="str">
        <f t="shared" si="89"/>
        <v/>
      </c>
      <c r="T422" t="str">
        <f t="shared" si="89"/>
        <v/>
      </c>
      <c r="U422" t="str">
        <f t="shared" si="90"/>
        <v/>
      </c>
      <c r="V422" t="str">
        <f t="shared" si="90"/>
        <v/>
      </c>
      <c r="W422" t="str">
        <f t="shared" si="90"/>
        <v/>
      </c>
      <c r="X422" t="str">
        <f t="shared" si="90"/>
        <v/>
      </c>
      <c r="Y422" t="str">
        <f t="shared" si="90"/>
        <v/>
      </c>
      <c r="Z422" t="str">
        <f t="shared" si="90"/>
        <v/>
      </c>
      <c r="AA422" t="str">
        <f t="shared" si="90"/>
        <v/>
      </c>
      <c r="AB422" t="str">
        <f t="shared" si="90"/>
        <v/>
      </c>
      <c r="AC422">
        <f t="shared" si="84"/>
        <v>6</v>
      </c>
    </row>
    <row r="423" spans="1:29" x14ac:dyDescent="0.35">
      <c r="A423">
        <v>418</v>
      </c>
      <c r="B423" t="s">
        <v>12</v>
      </c>
      <c r="C423" t="s">
        <v>1146</v>
      </c>
      <c r="D423" t="s">
        <v>1147</v>
      </c>
      <c r="E423" t="s">
        <v>995</v>
      </c>
      <c r="F423" t="s">
        <v>971</v>
      </c>
      <c r="G423" t="s">
        <v>9</v>
      </c>
      <c r="H423">
        <v>1.978</v>
      </c>
      <c r="I423">
        <v>2.7149999999999999</v>
      </c>
      <c r="J423" t="s">
        <v>6</v>
      </c>
      <c r="K423">
        <f t="shared" si="89"/>
        <v>9</v>
      </c>
      <c r="L423">
        <f t="shared" si="89"/>
        <v>6</v>
      </c>
      <c r="M423">
        <f t="shared" si="89"/>
        <v>20</v>
      </c>
      <c r="N423" t="str">
        <f t="shared" si="89"/>
        <v/>
      </c>
      <c r="O423" t="str">
        <f t="shared" si="89"/>
        <v/>
      </c>
      <c r="P423" t="str">
        <f t="shared" si="89"/>
        <v/>
      </c>
      <c r="Q423" t="str">
        <f t="shared" si="89"/>
        <v/>
      </c>
      <c r="R423" t="str">
        <f t="shared" si="89"/>
        <v/>
      </c>
      <c r="S423" t="str">
        <f t="shared" si="89"/>
        <v/>
      </c>
      <c r="T423" t="str">
        <f t="shared" si="89"/>
        <v/>
      </c>
      <c r="U423" t="str">
        <f t="shared" si="90"/>
        <v/>
      </c>
      <c r="V423" t="str">
        <f t="shared" si="90"/>
        <v/>
      </c>
      <c r="W423" t="str">
        <f t="shared" si="90"/>
        <v/>
      </c>
      <c r="X423" t="str">
        <f t="shared" si="90"/>
        <v/>
      </c>
      <c r="Y423" t="str">
        <f t="shared" si="90"/>
        <v/>
      </c>
      <c r="Z423" t="str">
        <f t="shared" si="90"/>
        <v/>
      </c>
      <c r="AA423" t="str">
        <f t="shared" si="90"/>
        <v/>
      </c>
      <c r="AB423" t="str">
        <f t="shared" si="90"/>
        <v/>
      </c>
      <c r="AC423">
        <f t="shared" si="84"/>
        <v>35</v>
      </c>
    </row>
    <row r="424" spans="1:29" x14ac:dyDescent="0.35">
      <c r="A424">
        <v>419</v>
      </c>
      <c r="B424" t="s">
        <v>12</v>
      </c>
      <c r="C424" t="s">
        <v>1144</v>
      </c>
      <c r="D424" t="s">
        <v>1145</v>
      </c>
      <c r="E424" t="s">
        <v>1148</v>
      </c>
      <c r="F424" t="s">
        <v>971</v>
      </c>
      <c r="G424" t="s">
        <v>9</v>
      </c>
      <c r="H424">
        <v>1.9750000000000001</v>
      </c>
      <c r="I424">
        <v>4.3179999999999996</v>
      </c>
      <c r="J424" t="s">
        <v>6</v>
      </c>
      <c r="K424" t="str">
        <f t="shared" si="89"/>
        <v/>
      </c>
      <c r="L424" t="str">
        <f t="shared" si="89"/>
        <v/>
      </c>
      <c r="M424" t="str">
        <f t="shared" si="89"/>
        <v/>
      </c>
      <c r="N424" t="str">
        <f t="shared" si="89"/>
        <v/>
      </c>
      <c r="O424" t="str">
        <f t="shared" si="89"/>
        <v/>
      </c>
      <c r="P424" t="str">
        <f t="shared" si="89"/>
        <v/>
      </c>
      <c r="Q424" t="str">
        <f t="shared" si="89"/>
        <v/>
      </c>
      <c r="R424" t="str">
        <f t="shared" si="89"/>
        <v/>
      </c>
      <c r="S424" t="str">
        <f t="shared" si="89"/>
        <v/>
      </c>
      <c r="T424" t="str">
        <f t="shared" si="89"/>
        <v/>
      </c>
      <c r="U424" t="str">
        <f t="shared" si="90"/>
        <v/>
      </c>
      <c r="V424" t="str">
        <f t="shared" si="90"/>
        <v/>
      </c>
      <c r="W424" t="str">
        <f t="shared" si="90"/>
        <v/>
      </c>
      <c r="X424" t="str">
        <f t="shared" si="90"/>
        <v/>
      </c>
      <c r="Y424" t="str">
        <f t="shared" si="90"/>
        <v/>
      </c>
      <c r="Z424" t="str">
        <f t="shared" si="90"/>
        <v/>
      </c>
      <c r="AA424" t="str">
        <f t="shared" si="90"/>
        <v/>
      </c>
      <c r="AB424" t="str">
        <f t="shared" si="90"/>
        <v/>
      </c>
      <c r="AC424">
        <f t="shared" si="84"/>
        <v>0</v>
      </c>
    </row>
    <row r="425" spans="1:29" x14ac:dyDescent="0.35">
      <c r="A425">
        <v>420</v>
      </c>
      <c r="B425" t="s">
        <v>12</v>
      </c>
      <c r="C425" t="s">
        <v>1287</v>
      </c>
      <c r="D425" t="s">
        <v>1288</v>
      </c>
      <c r="E425" t="s">
        <v>1289</v>
      </c>
      <c r="F425" t="s">
        <v>971</v>
      </c>
      <c r="G425" t="s">
        <v>9</v>
      </c>
      <c r="H425">
        <v>1.9750000000000001</v>
      </c>
      <c r="I425">
        <v>2.7149999999999999</v>
      </c>
      <c r="J425" t="s">
        <v>6</v>
      </c>
      <c r="K425" t="str">
        <f t="shared" si="89"/>
        <v/>
      </c>
      <c r="L425" t="str">
        <f t="shared" si="89"/>
        <v/>
      </c>
      <c r="M425" t="str">
        <f t="shared" si="89"/>
        <v/>
      </c>
      <c r="N425" t="str">
        <f t="shared" si="89"/>
        <v/>
      </c>
      <c r="O425" t="str">
        <f t="shared" si="89"/>
        <v/>
      </c>
      <c r="P425" t="str">
        <f t="shared" si="89"/>
        <v/>
      </c>
      <c r="Q425" t="str">
        <f t="shared" si="89"/>
        <v/>
      </c>
      <c r="R425" t="str">
        <f t="shared" si="89"/>
        <v/>
      </c>
      <c r="S425" t="str">
        <f t="shared" si="89"/>
        <v/>
      </c>
      <c r="T425" t="str">
        <f t="shared" si="89"/>
        <v/>
      </c>
      <c r="U425" t="str">
        <f t="shared" si="90"/>
        <v/>
      </c>
      <c r="V425" t="str">
        <f t="shared" si="90"/>
        <v/>
      </c>
      <c r="W425" t="str">
        <f t="shared" si="90"/>
        <v/>
      </c>
      <c r="X425" t="str">
        <f t="shared" si="90"/>
        <v/>
      </c>
      <c r="Y425" t="str">
        <f t="shared" si="90"/>
        <v/>
      </c>
      <c r="Z425" t="str">
        <f t="shared" si="90"/>
        <v/>
      </c>
      <c r="AA425" t="str">
        <f t="shared" si="90"/>
        <v/>
      </c>
      <c r="AB425" t="str">
        <f t="shared" si="90"/>
        <v/>
      </c>
      <c r="AC425">
        <f t="shared" si="84"/>
        <v>0</v>
      </c>
    </row>
    <row r="426" spans="1:29" x14ac:dyDescent="0.35">
      <c r="A426">
        <v>421</v>
      </c>
      <c r="B426" t="s">
        <v>12</v>
      </c>
      <c r="C426" t="s">
        <v>107</v>
      </c>
      <c r="D426" t="s">
        <v>280</v>
      </c>
      <c r="E426" t="s">
        <v>419</v>
      </c>
      <c r="F426" t="s">
        <v>135</v>
      </c>
      <c r="G426" t="s">
        <v>9</v>
      </c>
      <c r="H426">
        <v>1.9750000000000001</v>
      </c>
      <c r="I426">
        <v>2.7149999999999999</v>
      </c>
      <c r="J426" t="s">
        <v>6</v>
      </c>
      <c r="K426" t="str">
        <f t="shared" ref="K426:T435" si="91">IFERROR(IFERROR(IF(K$5=$K$1,VLOOKUP($A426,dormitorios,2,0),IF(K$5=$L$1,VLOOKUP($A426,comedor,2,0),IF(K$5=$M$1,VLOOKUP($A426,alojamiento,2,0),IF(K$5=$N$1,VLOOKUP($A426,sanidad,2,0),IF(K$5=$O$1,VLOOKUP($A426,servicios,2,0),IF(K$5=$P$1,VLOOKUP($A426,comyaloj,2,0),IF(K$5=$Q$1,VLOOKUP($A426,comandancia,2,0),IF(K$5=$R$1,VLOOKUP($A426,mantenimiento,2,0),IF(K$5=$S$1,VLOOKUP($A426,serestatal,2,0),IF(K$5=$T$1,VLOOKUP($A426,conferencias,2,0),"")))))))))),"")*K$3,"")</f>
        <v/>
      </c>
      <c r="L426" t="str">
        <f t="shared" si="91"/>
        <v/>
      </c>
      <c r="M426" t="str">
        <f t="shared" si="91"/>
        <v/>
      </c>
      <c r="N426" t="str">
        <f t="shared" si="91"/>
        <v/>
      </c>
      <c r="O426" t="str">
        <f t="shared" si="91"/>
        <v/>
      </c>
      <c r="P426" t="str">
        <f t="shared" si="91"/>
        <v/>
      </c>
      <c r="Q426" t="str">
        <f t="shared" si="91"/>
        <v/>
      </c>
      <c r="R426" t="str">
        <f t="shared" si="91"/>
        <v/>
      </c>
      <c r="S426" t="str">
        <f t="shared" si="91"/>
        <v/>
      </c>
      <c r="T426" t="str">
        <f t="shared" si="91"/>
        <v/>
      </c>
      <c r="U426" t="str">
        <f t="shared" ref="U426:AB435" si="92">IFERROR(IFERROR(IF(U$5=$K$1,VLOOKUP($A426,dormitorios,2,0),IF(U$5=$L$1,VLOOKUP($A426,comedor,2,0),IF(U$5=$M$1,VLOOKUP($A426,alojamiento,2,0),IF(U$5=$N$1,VLOOKUP($A426,sanidad,2,0),IF(U$5=$O$1,VLOOKUP($A426,servicios,2,0),IF(U$5=$P$1,VLOOKUP($A426,comyaloj,2,0),IF(U$5=$Q$1,VLOOKUP($A426,comandancia,2,0),IF(U$5=$R$1,VLOOKUP($A426,mantenimiento,2,0),IF(U$5=$S$1,VLOOKUP($A426,serestatal,2,0),IF(U$5=$T$1,VLOOKUP($A426,conferencias,2,0),"")))))))))),"")*U$3,"")</f>
        <v/>
      </c>
      <c r="V426" t="str">
        <f t="shared" si="92"/>
        <v/>
      </c>
      <c r="W426" t="str">
        <f t="shared" si="92"/>
        <v/>
      </c>
      <c r="X426" t="str">
        <f t="shared" si="92"/>
        <v/>
      </c>
      <c r="Y426" t="str">
        <f t="shared" si="92"/>
        <v/>
      </c>
      <c r="Z426" t="str">
        <f t="shared" si="92"/>
        <v/>
      </c>
      <c r="AA426" t="str">
        <f t="shared" si="92"/>
        <v/>
      </c>
      <c r="AB426" t="str">
        <f t="shared" si="92"/>
        <v/>
      </c>
      <c r="AC426">
        <f t="shared" si="84"/>
        <v>0</v>
      </c>
    </row>
    <row r="427" spans="1:29" x14ac:dyDescent="0.35">
      <c r="A427">
        <v>422</v>
      </c>
      <c r="B427" t="s">
        <v>12</v>
      </c>
      <c r="C427" t="s">
        <v>308</v>
      </c>
      <c r="D427" t="s">
        <v>307</v>
      </c>
      <c r="E427" t="s">
        <v>420</v>
      </c>
      <c r="F427" t="s">
        <v>135</v>
      </c>
      <c r="G427" t="s">
        <v>9</v>
      </c>
      <c r="H427">
        <v>1.9750000000000001</v>
      </c>
      <c r="I427">
        <v>2.7149999999999999</v>
      </c>
      <c r="J427" t="s">
        <v>6</v>
      </c>
      <c r="K427" t="str">
        <f t="shared" si="91"/>
        <v/>
      </c>
      <c r="L427" t="str">
        <f t="shared" si="91"/>
        <v/>
      </c>
      <c r="M427" t="str">
        <f t="shared" si="91"/>
        <v/>
      </c>
      <c r="N427" t="str">
        <f t="shared" si="91"/>
        <v/>
      </c>
      <c r="O427" t="str">
        <f t="shared" si="91"/>
        <v/>
      </c>
      <c r="P427" t="str">
        <f t="shared" si="91"/>
        <v/>
      </c>
      <c r="Q427" t="str">
        <f t="shared" si="91"/>
        <v/>
      </c>
      <c r="R427" t="str">
        <f t="shared" si="91"/>
        <v/>
      </c>
      <c r="S427" t="str">
        <f t="shared" si="91"/>
        <v/>
      </c>
      <c r="T427" t="str">
        <f t="shared" si="91"/>
        <v/>
      </c>
      <c r="U427" t="str">
        <f t="shared" si="92"/>
        <v/>
      </c>
      <c r="V427" t="str">
        <f t="shared" si="92"/>
        <v/>
      </c>
      <c r="W427" t="str">
        <f t="shared" si="92"/>
        <v/>
      </c>
      <c r="X427" t="str">
        <f t="shared" si="92"/>
        <v/>
      </c>
      <c r="Y427" t="str">
        <f t="shared" si="92"/>
        <v/>
      </c>
      <c r="Z427" t="str">
        <f t="shared" si="92"/>
        <v/>
      </c>
      <c r="AA427" t="str">
        <f t="shared" si="92"/>
        <v/>
      </c>
      <c r="AB427" t="str">
        <f t="shared" si="92"/>
        <v/>
      </c>
      <c r="AC427">
        <f t="shared" si="84"/>
        <v>0</v>
      </c>
    </row>
    <row r="428" spans="1:29" x14ac:dyDescent="0.35">
      <c r="A428">
        <v>423</v>
      </c>
      <c r="B428" t="s">
        <v>12</v>
      </c>
      <c r="C428" t="s">
        <v>614</v>
      </c>
      <c r="D428" t="s">
        <v>615</v>
      </c>
      <c r="E428" t="s">
        <v>616</v>
      </c>
      <c r="F428" t="s">
        <v>135</v>
      </c>
      <c r="G428" t="s">
        <v>9</v>
      </c>
      <c r="H428">
        <v>1.9750000000000001</v>
      </c>
      <c r="I428">
        <v>2.7149999999999999</v>
      </c>
      <c r="J428" t="s">
        <v>6</v>
      </c>
      <c r="K428" t="str">
        <f t="shared" si="91"/>
        <v/>
      </c>
      <c r="L428" t="str">
        <f t="shared" si="91"/>
        <v/>
      </c>
      <c r="M428" t="str">
        <f t="shared" si="91"/>
        <v/>
      </c>
      <c r="N428" t="str">
        <f t="shared" si="91"/>
        <v/>
      </c>
      <c r="O428" t="str">
        <f t="shared" si="91"/>
        <v/>
      </c>
      <c r="P428" t="str">
        <f t="shared" si="91"/>
        <v/>
      </c>
      <c r="Q428" t="str">
        <f t="shared" si="91"/>
        <v/>
      </c>
      <c r="R428" t="str">
        <f t="shared" si="91"/>
        <v/>
      </c>
      <c r="S428" t="str">
        <f t="shared" si="91"/>
        <v/>
      </c>
      <c r="T428" t="str">
        <f t="shared" si="91"/>
        <v/>
      </c>
      <c r="U428" t="str">
        <f t="shared" si="92"/>
        <v/>
      </c>
      <c r="V428" t="str">
        <f t="shared" si="92"/>
        <v/>
      </c>
      <c r="W428" t="str">
        <f t="shared" si="92"/>
        <v/>
      </c>
      <c r="X428" t="str">
        <f t="shared" si="92"/>
        <v/>
      </c>
      <c r="Y428" t="str">
        <f t="shared" si="92"/>
        <v/>
      </c>
      <c r="Z428" t="str">
        <f t="shared" si="92"/>
        <v/>
      </c>
      <c r="AA428" t="str">
        <f t="shared" si="92"/>
        <v/>
      </c>
      <c r="AB428" t="str">
        <f t="shared" si="92"/>
        <v/>
      </c>
      <c r="AC428">
        <f t="shared" si="84"/>
        <v>0</v>
      </c>
    </row>
    <row r="429" spans="1:29" x14ac:dyDescent="0.35">
      <c r="A429">
        <v>424</v>
      </c>
      <c r="B429" t="s">
        <v>12</v>
      </c>
      <c r="C429" t="s">
        <v>617</v>
      </c>
      <c r="D429" t="s">
        <v>618</v>
      </c>
      <c r="E429" t="s">
        <v>619</v>
      </c>
      <c r="F429" t="s">
        <v>135</v>
      </c>
      <c r="G429" t="s">
        <v>9</v>
      </c>
      <c r="H429">
        <v>1.9750000000000001</v>
      </c>
      <c r="I429">
        <v>2.7149999999999999</v>
      </c>
      <c r="J429" t="s">
        <v>6</v>
      </c>
      <c r="K429" t="str">
        <f t="shared" si="91"/>
        <v/>
      </c>
      <c r="L429" t="str">
        <f t="shared" si="91"/>
        <v/>
      </c>
      <c r="M429" t="str">
        <f t="shared" si="91"/>
        <v/>
      </c>
      <c r="N429" t="str">
        <f t="shared" si="91"/>
        <v/>
      </c>
      <c r="O429" t="str">
        <f t="shared" si="91"/>
        <v/>
      </c>
      <c r="P429" t="str">
        <f t="shared" si="91"/>
        <v/>
      </c>
      <c r="Q429" t="str">
        <f t="shared" si="91"/>
        <v/>
      </c>
      <c r="R429" t="str">
        <f t="shared" si="91"/>
        <v/>
      </c>
      <c r="S429" t="str">
        <f t="shared" si="91"/>
        <v/>
      </c>
      <c r="T429" t="str">
        <f t="shared" si="91"/>
        <v/>
      </c>
      <c r="U429" t="str">
        <f t="shared" si="92"/>
        <v/>
      </c>
      <c r="V429" t="str">
        <f t="shared" si="92"/>
        <v/>
      </c>
      <c r="W429" t="str">
        <f t="shared" si="92"/>
        <v/>
      </c>
      <c r="X429" t="str">
        <f t="shared" si="92"/>
        <v/>
      </c>
      <c r="Y429" t="str">
        <f t="shared" si="92"/>
        <v/>
      </c>
      <c r="Z429" t="str">
        <f t="shared" si="92"/>
        <v/>
      </c>
      <c r="AA429" t="str">
        <f t="shared" si="92"/>
        <v/>
      </c>
      <c r="AB429" t="str">
        <f t="shared" si="92"/>
        <v/>
      </c>
      <c r="AC429">
        <f t="shared" si="84"/>
        <v>0</v>
      </c>
    </row>
    <row r="430" spans="1:29" x14ac:dyDescent="0.35">
      <c r="A430">
        <v>425</v>
      </c>
      <c r="B430" t="s">
        <v>12</v>
      </c>
      <c r="C430" t="s">
        <v>908</v>
      </c>
      <c r="D430" t="s">
        <v>910</v>
      </c>
      <c r="E430" t="s">
        <v>1286</v>
      </c>
      <c r="F430" t="s">
        <v>710</v>
      </c>
      <c r="G430" t="s">
        <v>9</v>
      </c>
      <c r="H430">
        <v>1.9750000000000001</v>
      </c>
      <c r="I430">
        <v>2.7149999999999999</v>
      </c>
      <c r="J430" t="s">
        <v>6</v>
      </c>
      <c r="K430" t="str">
        <f t="shared" si="91"/>
        <v/>
      </c>
      <c r="L430" t="str">
        <f t="shared" si="91"/>
        <v/>
      </c>
      <c r="M430" t="str">
        <f t="shared" si="91"/>
        <v/>
      </c>
      <c r="N430" t="str">
        <f t="shared" si="91"/>
        <v/>
      </c>
      <c r="O430" t="str">
        <f t="shared" si="91"/>
        <v/>
      </c>
      <c r="P430" t="str">
        <f t="shared" si="91"/>
        <v/>
      </c>
      <c r="Q430" t="str">
        <f t="shared" si="91"/>
        <v/>
      </c>
      <c r="R430" t="str">
        <f t="shared" si="91"/>
        <v/>
      </c>
      <c r="S430" t="str">
        <f t="shared" si="91"/>
        <v/>
      </c>
      <c r="T430" t="str">
        <f t="shared" si="91"/>
        <v/>
      </c>
      <c r="U430" t="str">
        <f t="shared" si="92"/>
        <v/>
      </c>
      <c r="V430" t="str">
        <f t="shared" si="92"/>
        <v/>
      </c>
      <c r="W430" t="str">
        <f t="shared" si="92"/>
        <v/>
      </c>
      <c r="X430" t="str">
        <f t="shared" si="92"/>
        <v/>
      </c>
      <c r="Y430" t="str">
        <f t="shared" si="92"/>
        <v/>
      </c>
      <c r="Z430" t="str">
        <f t="shared" si="92"/>
        <v/>
      </c>
      <c r="AA430" t="str">
        <f t="shared" si="92"/>
        <v/>
      </c>
      <c r="AB430" t="str">
        <f t="shared" si="92"/>
        <v/>
      </c>
      <c r="AC430">
        <f t="shared" si="84"/>
        <v>0</v>
      </c>
    </row>
    <row r="431" spans="1:29" x14ac:dyDescent="0.35">
      <c r="A431">
        <v>426</v>
      </c>
      <c r="B431" t="s">
        <v>12</v>
      </c>
      <c r="C431" t="s">
        <v>909</v>
      </c>
      <c r="D431" t="s">
        <v>911</v>
      </c>
      <c r="E431" t="s">
        <v>420</v>
      </c>
      <c r="F431" t="s">
        <v>710</v>
      </c>
      <c r="G431" t="s">
        <v>9</v>
      </c>
      <c r="H431">
        <v>1.9750000000000001</v>
      </c>
      <c r="I431">
        <v>2.7149999999999999</v>
      </c>
      <c r="J431" t="s">
        <v>6</v>
      </c>
      <c r="K431" t="str">
        <f t="shared" si="91"/>
        <v/>
      </c>
      <c r="L431" t="str">
        <f t="shared" si="91"/>
        <v/>
      </c>
      <c r="M431" t="str">
        <f t="shared" si="91"/>
        <v/>
      </c>
      <c r="N431" t="str">
        <f t="shared" si="91"/>
        <v/>
      </c>
      <c r="O431" t="str">
        <f t="shared" si="91"/>
        <v/>
      </c>
      <c r="P431" t="str">
        <f t="shared" si="91"/>
        <v/>
      </c>
      <c r="Q431" t="str">
        <f t="shared" si="91"/>
        <v/>
      </c>
      <c r="R431" t="str">
        <f t="shared" si="91"/>
        <v/>
      </c>
      <c r="S431" t="str">
        <f t="shared" si="91"/>
        <v/>
      </c>
      <c r="T431" t="str">
        <f t="shared" si="91"/>
        <v/>
      </c>
      <c r="U431" t="str">
        <f t="shared" si="92"/>
        <v/>
      </c>
      <c r="V431" t="str">
        <f t="shared" si="92"/>
        <v/>
      </c>
      <c r="W431" t="str">
        <f t="shared" si="92"/>
        <v/>
      </c>
      <c r="X431" t="str">
        <f t="shared" si="92"/>
        <v/>
      </c>
      <c r="Y431" t="str">
        <f t="shared" si="92"/>
        <v/>
      </c>
      <c r="Z431" t="str">
        <f t="shared" si="92"/>
        <v/>
      </c>
      <c r="AA431" t="str">
        <f t="shared" si="92"/>
        <v/>
      </c>
      <c r="AB431" t="str">
        <f t="shared" si="92"/>
        <v/>
      </c>
      <c r="AC431">
        <f t="shared" si="84"/>
        <v>0</v>
      </c>
    </row>
    <row r="432" spans="1:29" x14ac:dyDescent="0.35">
      <c r="A432">
        <v>427</v>
      </c>
      <c r="B432" t="s">
        <v>12</v>
      </c>
      <c r="C432" t="s">
        <v>313</v>
      </c>
      <c r="D432" t="s">
        <v>314</v>
      </c>
      <c r="E432" t="s">
        <v>1</v>
      </c>
      <c r="F432" t="s">
        <v>315</v>
      </c>
      <c r="G432" t="s">
        <v>9</v>
      </c>
      <c r="H432">
        <v>1.9750000000000001</v>
      </c>
      <c r="I432">
        <v>2.7149999999999999</v>
      </c>
      <c r="J432" t="s">
        <v>6</v>
      </c>
      <c r="K432" t="str">
        <f t="shared" si="91"/>
        <v/>
      </c>
      <c r="L432" t="str">
        <f t="shared" si="91"/>
        <v/>
      </c>
      <c r="M432" t="str">
        <f t="shared" si="91"/>
        <v/>
      </c>
      <c r="N432" t="str">
        <f t="shared" si="91"/>
        <v/>
      </c>
      <c r="O432" t="str">
        <f t="shared" si="91"/>
        <v/>
      </c>
      <c r="P432" t="str">
        <f t="shared" si="91"/>
        <v/>
      </c>
      <c r="Q432" t="str">
        <f t="shared" si="91"/>
        <v/>
      </c>
      <c r="R432" t="str">
        <f t="shared" si="91"/>
        <v/>
      </c>
      <c r="S432" t="str">
        <f t="shared" si="91"/>
        <v/>
      </c>
      <c r="T432" t="str">
        <f t="shared" si="91"/>
        <v/>
      </c>
      <c r="U432" t="str">
        <f t="shared" si="92"/>
        <v/>
      </c>
      <c r="V432" t="str">
        <f t="shared" si="92"/>
        <v/>
      </c>
      <c r="W432" t="str">
        <f t="shared" si="92"/>
        <v/>
      </c>
      <c r="X432" t="str">
        <f t="shared" si="92"/>
        <v/>
      </c>
      <c r="Y432" t="str">
        <f t="shared" si="92"/>
        <v/>
      </c>
      <c r="Z432" t="str">
        <f t="shared" si="92"/>
        <v/>
      </c>
      <c r="AA432" t="str">
        <f t="shared" si="92"/>
        <v/>
      </c>
      <c r="AB432" t="str">
        <f t="shared" si="92"/>
        <v/>
      </c>
      <c r="AC432">
        <f t="shared" si="84"/>
        <v>0</v>
      </c>
    </row>
    <row r="433" spans="1:29" x14ac:dyDescent="0.35">
      <c r="A433">
        <v>428</v>
      </c>
      <c r="B433" t="s">
        <v>12</v>
      </c>
      <c r="C433" t="s">
        <v>316</v>
      </c>
      <c r="D433" t="s">
        <v>317</v>
      </c>
      <c r="E433" t="s">
        <v>1</v>
      </c>
      <c r="F433" t="s">
        <v>315</v>
      </c>
      <c r="G433" t="s">
        <v>9</v>
      </c>
      <c r="H433">
        <v>1.05</v>
      </c>
      <c r="I433">
        <v>2.7149999999999999</v>
      </c>
      <c r="J433" t="s">
        <v>6</v>
      </c>
      <c r="K433" t="str">
        <f t="shared" si="91"/>
        <v/>
      </c>
      <c r="L433" t="str">
        <f t="shared" si="91"/>
        <v/>
      </c>
      <c r="M433" t="str">
        <f t="shared" si="91"/>
        <v/>
      </c>
      <c r="N433" t="str">
        <f t="shared" si="91"/>
        <v/>
      </c>
      <c r="O433" t="str">
        <f t="shared" si="91"/>
        <v/>
      </c>
      <c r="P433" t="str">
        <f t="shared" si="91"/>
        <v/>
      </c>
      <c r="Q433" t="str">
        <f t="shared" si="91"/>
        <v/>
      </c>
      <c r="R433" t="str">
        <f t="shared" si="91"/>
        <v/>
      </c>
      <c r="S433" t="str">
        <f t="shared" si="91"/>
        <v/>
      </c>
      <c r="T433" t="str">
        <f t="shared" si="91"/>
        <v/>
      </c>
      <c r="U433" t="str">
        <f t="shared" si="92"/>
        <v/>
      </c>
      <c r="V433" t="str">
        <f t="shared" si="92"/>
        <v/>
      </c>
      <c r="W433" t="str">
        <f t="shared" si="92"/>
        <v/>
      </c>
      <c r="X433" t="str">
        <f t="shared" si="92"/>
        <v/>
      </c>
      <c r="Y433" t="str">
        <f t="shared" si="92"/>
        <v/>
      </c>
      <c r="Z433" t="str">
        <f t="shared" si="92"/>
        <v/>
      </c>
      <c r="AA433" t="str">
        <f t="shared" si="92"/>
        <v/>
      </c>
      <c r="AB433" t="str">
        <f t="shared" si="92"/>
        <v/>
      </c>
      <c r="AC433">
        <f t="shared" si="84"/>
        <v>0</v>
      </c>
    </row>
    <row r="434" spans="1:29" x14ac:dyDescent="0.35">
      <c r="A434">
        <v>429</v>
      </c>
      <c r="B434" t="s">
        <v>12</v>
      </c>
      <c r="C434" t="s">
        <v>360</v>
      </c>
      <c r="D434" t="s">
        <v>361</v>
      </c>
      <c r="E434" t="s">
        <v>1</v>
      </c>
      <c r="F434" t="s">
        <v>315</v>
      </c>
      <c r="G434" t="s">
        <v>9</v>
      </c>
      <c r="H434">
        <v>1.9750000000000001</v>
      </c>
      <c r="I434">
        <v>3</v>
      </c>
      <c r="J434" t="s">
        <v>6</v>
      </c>
      <c r="K434" t="str">
        <f t="shared" si="91"/>
        <v/>
      </c>
      <c r="L434" t="str">
        <f t="shared" si="91"/>
        <v/>
      </c>
      <c r="M434" t="str">
        <f t="shared" si="91"/>
        <v/>
      </c>
      <c r="N434" t="str">
        <f t="shared" si="91"/>
        <v/>
      </c>
      <c r="O434" t="str">
        <f t="shared" si="91"/>
        <v/>
      </c>
      <c r="P434" t="str">
        <f t="shared" si="91"/>
        <v/>
      </c>
      <c r="Q434" t="str">
        <f t="shared" si="91"/>
        <v/>
      </c>
      <c r="R434" t="str">
        <f t="shared" si="91"/>
        <v/>
      </c>
      <c r="S434" t="str">
        <f t="shared" si="91"/>
        <v/>
      </c>
      <c r="T434" t="str">
        <f t="shared" si="91"/>
        <v/>
      </c>
      <c r="U434" t="str">
        <f t="shared" si="92"/>
        <v/>
      </c>
      <c r="V434" t="str">
        <f t="shared" si="92"/>
        <v/>
      </c>
      <c r="W434" t="str">
        <f t="shared" si="92"/>
        <v/>
      </c>
      <c r="X434" t="str">
        <f t="shared" si="92"/>
        <v/>
      </c>
      <c r="Y434" t="str">
        <f t="shared" si="92"/>
        <v/>
      </c>
      <c r="Z434" t="str">
        <f t="shared" si="92"/>
        <v/>
      </c>
      <c r="AA434" t="str">
        <f t="shared" si="92"/>
        <v/>
      </c>
      <c r="AB434" t="str">
        <f t="shared" si="92"/>
        <v/>
      </c>
      <c r="AC434">
        <f t="shared" si="84"/>
        <v>0</v>
      </c>
    </row>
    <row r="435" spans="1:29" x14ac:dyDescent="0.35">
      <c r="A435">
        <v>430</v>
      </c>
      <c r="B435" t="s">
        <v>12</v>
      </c>
      <c r="C435" t="s">
        <v>362</v>
      </c>
      <c r="D435" t="s">
        <v>363</v>
      </c>
      <c r="E435" t="s">
        <v>1</v>
      </c>
      <c r="F435" t="s">
        <v>315</v>
      </c>
      <c r="G435" t="s">
        <v>9</v>
      </c>
      <c r="H435">
        <v>1.9750000000000001</v>
      </c>
      <c r="I435">
        <v>3.5</v>
      </c>
      <c r="J435" t="s">
        <v>6</v>
      </c>
      <c r="K435" t="str">
        <f t="shared" si="91"/>
        <v/>
      </c>
      <c r="L435" t="str">
        <f t="shared" si="91"/>
        <v/>
      </c>
      <c r="M435" t="str">
        <f t="shared" si="91"/>
        <v/>
      </c>
      <c r="N435" t="str">
        <f t="shared" si="91"/>
        <v/>
      </c>
      <c r="O435" t="str">
        <f t="shared" si="91"/>
        <v/>
      </c>
      <c r="P435" t="str">
        <f t="shared" si="91"/>
        <v/>
      </c>
      <c r="Q435" t="str">
        <f t="shared" si="91"/>
        <v/>
      </c>
      <c r="R435" t="str">
        <f t="shared" si="91"/>
        <v/>
      </c>
      <c r="S435" t="str">
        <f t="shared" si="91"/>
        <v/>
      </c>
      <c r="T435" t="str">
        <f t="shared" si="91"/>
        <v/>
      </c>
      <c r="U435" t="str">
        <f t="shared" si="92"/>
        <v/>
      </c>
      <c r="V435" t="str">
        <f t="shared" si="92"/>
        <v/>
      </c>
      <c r="W435" t="str">
        <f t="shared" si="92"/>
        <v/>
      </c>
      <c r="X435" t="str">
        <f t="shared" si="92"/>
        <v/>
      </c>
      <c r="Y435" t="str">
        <f t="shared" si="92"/>
        <v/>
      </c>
      <c r="Z435" t="str">
        <f t="shared" si="92"/>
        <v/>
      </c>
      <c r="AA435" t="str">
        <f t="shared" si="92"/>
        <v/>
      </c>
      <c r="AB435" t="str">
        <f t="shared" si="92"/>
        <v/>
      </c>
      <c r="AC435">
        <f t="shared" si="84"/>
        <v>0</v>
      </c>
    </row>
    <row r="436" spans="1:29" x14ac:dyDescent="0.35">
      <c r="A436">
        <v>431</v>
      </c>
      <c r="B436" t="s">
        <v>12</v>
      </c>
      <c r="C436" t="s">
        <v>391</v>
      </c>
      <c r="D436" t="s">
        <v>392</v>
      </c>
      <c r="E436" t="s">
        <v>1</v>
      </c>
      <c r="F436" t="s">
        <v>315</v>
      </c>
      <c r="G436" t="s">
        <v>9</v>
      </c>
      <c r="H436">
        <v>1.78</v>
      </c>
      <c r="I436">
        <v>2.7149999999999999</v>
      </c>
      <c r="J436" t="s">
        <v>6</v>
      </c>
      <c r="K436" t="str">
        <f t="shared" ref="K436:T445" si="93">IFERROR(IFERROR(IF(K$5=$K$1,VLOOKUP($A436,dormitorios,2,0),IF(K$5=$L$1,VLOOKUP($A436,comedor,2,0),IF(K$5=$M$1,VLOOKUP($A436,alojamiento,2,0),IF(K$5=$N$1,VLOOKUP($A436,sanidad,2,0),IF(K$5=$O$1,VLOOKUP($A436,servicios,2,0),IF(K$5=$P$1,VLOOKUP($A436,comyaloj,2,0),IF(K$5=$Q$1,VLOOKUP($A436,comandancia,2,0),IF(K$5=$R$1,VLOOKUP($A436,mantenimiento,2,0),IF(K$5=$S$1,VLOOKUP($A436,serestatal,2,0),IF(K$5=$T$1,VLOOKUP($A436,conferencias,2,0),"")))))))))),"")*K$3,"")</f>
        <v/>
      </c>
      <c r="L436" t="str">
        <f t="shared" si="93"/>
        <v/>
      </c>
      <c r="M436" t="str">
        <f t="shared" si="93"/>
        <v/>
      </c>
      <c r="N436" t="str">
        <f t="shared" si="93"/>
        <v/>
      </c>
      <c r="O436" t="str">
        <f t="shared" si="93"/>
        <v/>
      </c>
      <c r="P436" t="str">
        <f t="shared" si="93"/>
        <v/>
      </c>
      <c r="Q436" t="str">
        <f t="shared" si="93"/>
        <v/>
      </c>
      <c r="R436" t="str">
        <f t="shared" si="93"/>
        <v/>
      </c>
      <c r="S436" t="str">
        <f t="shared" si="93"/>
        <v/>
      </c>
      <c r="T436" t="str">
        <f t="shared" si="93"/>
        <v/>
      </c>
      <c r="U436" t="str">
        <f t="shared" ref="U436:AB445" si="94">IFERROR(IFERROR(IF(U$5=$K$1,VLOOKUP($A436,dormitorios,2,0),IF(U$5=$L$1,VLOOKUP($A436,comedor,2,0),IF(U$5=$M$1,VLOOKUP($A436,alojamiento,2,0),IF(U$5=$N$1,VLOOKUP($A436,sanidad,2,0),IF(U$5=$O$1,VLOOKUP($A436,servicios,2,0),IF(U$5=$P$1,VLOOKUP($A436,comyaloj,2,0),IF(U$5=$Q$1,VLOOKUP($A436,comandancia,2,0),IF(U$5=$R$1,VLOOKUP($A436,mantenimiento,2,0),IF(U$5=$S$1,VLOOKUP($A436,serestatal,2,0),IF(U$5=$T$1,VLOOKUP($A436,conferencias,2,0),"")))))))))),"")*U$3,"")</f>
        <v/>
      </c>
      <c r="V436" t="str">
        <f t="shared" si="94"/>
        <v/>
      </c>
      <c r="W436" t="str">
        <f t="shared" si="94"/>
        <v/>
      </c>
      <c r="X436" t="str">
        <f t="shared" si="94"/>
        <v/>
      </c>
      <c r="Y436" t="str">
        <f t="shared" si="94"/>
        <v/>
      </c>
      <c r="Z436" t="str">
        <f t="shared" si="94"/>
        <v/>
      </c>
      <c r="AA436" t="str">
        <f t="shared" si="94"/>
        <v/>
      </c>
      <c r="AB436" t="str">
        <f t="shared" si="94"/>
        <v/>
      </c>
      <c r="AC436">
        <f t="shared" si="84"/>
        <v>0</v>
      </c>
    </row>
    <row r="437" spans="1:29" x14ac:dyDescent="0.35">
      <c r="A437">
        <v>432</v>
      </c>
      <c r="B437" t="s">
        <v>12</v>
      </c>
      <c r="C437" t="s">
        <v>393</v>
      </c>
      <c r="D437" t="s">
        <v>394</v>
      </c>
      <c r="E437" t="s">
        <v>1</v>
      </c>
      <c r="F437" t="s">
        <v>315</v>
      </c>
      <c r="G437" t="s">
        <v>2</v>
      </c>
      <c r="H437">
        <v>1.9750000000000001</v>
      </c>
      <c r="I437">
        <v>2.7149999999999999</v>
      </c>
      <c r="J437" t="s">
        <v>6</v>
      </c>
      <c r="K437" t="str">
        <f t="shared" si="93"/>
        <v/>
      </c>
      <c r="L437" t="str">
        <f t="shared" si="93"/>
        <v/>
      </c>
      <c r="M437" t="str">
        <f t="shared" si="93"/>
        <v/>
      </c>
      <c r="N437" t="str">
        <f t="shared" si="93"/>
        <v/>
      </c>
      <c r="O437" t="str">
        <f t="shared" si="93"/>
        <v/>
      </c>
      <c r="P437" t="str">
        <f t="shared" si="93"/>
        <v/>
      </c>
      <c r="Q437" t="str">
        <f t="shared" si="93"/>
        <v/>
      </c>
      <c r="R437" t="str">
        <f t="shared" si="93"/>
        <v/>
      </c>
      <c r="S437" t="str">
        <f t="shared" si="93"/>
        <v/>
      </c>
      <c r="T437" t="str">
        <f t="shared" si="93"/>
        <v/>
      </c>
      <c r="U437" t="str">
        <f t="shared" si="94"/>
        <v/>
      </c>
      <c r="V437" t="str">
        <f t="shared" si="94"/>
        <v/>
      </c>
      <c r="W437" t="str">
        <f t="shared" si="94"/>
        <v/>
      </c>
      <c r="X437" t="str">
        <f t="shared" si="94"/>
        <v/>
      </c>
      <c r="Y437" t="str">
        <f t="shared" si="94"/>
        <v/>
      </c>
      <c r="Z437" t="str">
        <f t="shared" si="94"/>
        <v/>
      </c>
      <c r="AA437" t="str">
        <f t="shared" si="94"/>
        <v/>
      </c>
      <c r="AB437" t="str">
        <f t="shared" si="94"/>
        <v/>
      </c>
      <c r="AC437">
        <f t="shared" si="84"/>
        <v>0</v>
      </c>
    </row>
    <row r="438" spans="1:29" x14ac:dyDescent="0.35">
      <c r="A438">
        <v>433</v>
      </c>
      <c r="B438" t="s">
        <v>12</v>
      </c>
      <c r="C438" t="s">
        <v>318</v>
      </c>
      <c r="D438" t="s">
        <v>319</v>
      </c>
      <c r="E438" t="s">
        <v>305</v>
      </c>
      <c r="F438" t="s">
        <v>315</v>
      </c>
      <c r="G438" t="s">
        <v>9</v>
      </c>
      <c r="H438">
        <v>1.9750000000000001</v>
      </c>
      <c r="I438">
        <v>2.7149999999999999</v>
      </c>
      <c r="J438" t="s">
        <v>6</v>
      </c>
      <c r="K438" t="str">
        <f t="shared" si="93"/>
        <v/>
      </c>
      <c r="L438" t="str">
        <f t="shared" si="93"/>
        <v/>
      </c>
      <c r="M438" t="str">
        <f t="shared" si="93"/>
        <v/>
      </c>
      <c r="N438" t="str">
        <f t="shared" si="93"/>
        <v/>
      </c>
      <c r="O438" t="str">
        <f t="shared" si="93"/>
        <v/>
      </c>
      <c r="P438" t="str">
        <f t="shared" si="93"/>
        <v/>
      </c>
      <c r="Q438" t="str">
        <f t="shared" si="93"/>
        <v/>
      </c>
      <c r="R438" t="str">
        <f t="shared" si="93"/>
        <v/>
      </c>
      <c r="S438" t="str">
        <f t="shared" si="93"/>
        <v/>
      </c>
      <c r="T438" t="str">
        <f t="shared" si="93"/>
        <v/>
      </c>
      <c r="U438" t="str">
        <f t="shared" si="94"/>
        <v/>
      </c>
      <c r="V438" t="str">
        <f t="shared" si="94"/>
        <v/>
      </c>
      <c r="W438" t="str">
        <f t="shared" si="94"/>
        <v/>
      </c>
      <c r="X438" t="str">
        <f t="shared" si="94"/>
        <v/>
      </c>
      <c r="Y438" t="str">
        <f t="shared" si="94"/>
        <v/>
      </c>
      <c r="Z438" t="str">
        <f t="shared" si="94"/>
        <v/>
      </c>
      <c r="AA438" t="str">
        <f t="shared" si="94"/>
        <v/>
      </c>
      <c r="AB438" t="str">
        <f t="shared" si="94"/>
        <v/>
      </c>
      <c r="AC438">
        <f t="shared" si="84"/>
        <v>0</v>
      </c>
    </row>
    <row r="439" spans="1:29" x14ac:dyDescent="0.35">
      <c r="A439">
        <v>434</v>
      </c>
      <c r="B439" t="s">
        <v>12</v>
      </c>
      <c r="C439" t="s">
        <v>320</v>
      </c>
      <c r="D439" t="s">
        <v>321</v>
      </c>
      <c r="E439" t="s">
        <v>424</v>
      </c>
      <c r="F439" t="s">
        <v>315</v>
      </c>
      <c r="G439" t="s">
        <v>9</v>
      </c>
      <c r="H439">
        <v>1.9750000000000001</v>
      </c>
      <c r="I439">
        <v>2.7149999999999999</v>
      </c>
      <c r="J439" t="s">
        <v>6</v>
      </c>
      <c r="K439" t="str">
        <f t="shared" si="93"/>
        <v/>
      </c>
      <c r="L439" t="str">
        <f t="shared" si="93"/>
        <v/>
      </c>
      <c r="M439" t="str">
        <f t="shared" si="93"/>
        <v/>
      </c>
      <c r="N439" t="str">
        <f t="shared" si="93"/>
        <v/>
      </c>
      <c r="O439" t="str">
        <f t="shared" si="93"/>
        <v/>
      </c>
      <c r="P439" t="str">
        <f t="shared" si="93"/>
        <v/>
      </c>
      <c r="Q439" t="str">
        <f t="shared" si="93"/>
        <v/>
      </c>
      <c r="R439" t="str">
        <f t="shared" si="93"/>
        <v/>
      </c>
      <c r="S439" t="str">
        <f t="shared" si="93"/>
        <v/>
      </c>
      <c r="T439" t="str">
        <f t="shared" si="93"/>
        <v/>
      </c>
      <c r="U439" t="str">
        <f t="shared" si="94"/>
        <v/>
      </c>
      <c r="V439" t="str">
        <f t="shared" si="94"/>
        <v/>
      </c>
      <c r="W439" t="str">
        <f t="shared" si="94"/>
        <v/>
      </c>
      <c r="X439" t="str">
        <f t="shared" si="94"/>
        <v/>
      </c>
      <c r="Y439" t="str">
        <f t="shared" si="94"/>
        <v/>
      </c>
      <c r="Z439" t="str">
        <f t="shared" si="94"/>
        <v/>
      </c>
      <c r="AA439" t="str">
        <f t="shared" si="94"/>
        <v/>
      </c>
      <c r="AB439" t="str">
        <f t="shared" si="94"/>
        <v/>
      </c>
      <c r="AC439">
        <f t="shared" si="84"/>
        <v>0</v>
      </c>
    </row>
    <row r="440" spans="1:29" x14ac:dyDescent="0.35">
      <c r="A440">
        <v>435</v>
      </c>
      <c r="B440" t="s">
        <v>12</v>
      </c>
      <c r="C440" t="s">
        <v>322</v>
      </c>
      <c r="D440" t="s">
        <v>323</v>
      </c>
      <c r="E440" t="s">
        <v>424</v>
      </c>
      <c r="F440" t="s">
        <v>315</v>
      </c>
      <c r="G440" t="s">
        <v>9</v>
      </c>
      <c r="H440">
        <v>1.9750000000000001</v>
      </c>
      <c r="I440">
        <v>3</v>
      </c>
      <c r="J440" t="s">
        <v>6</v>
      </c>
      <c r="K440" t="str">
        <f t="shared" si="93"/>
        <v/>
      </c>
      <c r="L440" t="str">
        <f t="shared" si="93"/>
        <v/>
      </c>
      <c r="M440" t="str">
        <f t="shared" si="93"/>
        <v/>
      </c>
      <c r="N440" t="str">
        <f t="shared" si="93"/>
        <v/>
      </c>
      <c r="O440" t="str">
        <f t="shared" si="93"/>
        <v/>
      </c>
      <c r="P440" t="str">
        <f t="shared" si="93"/>
        <v/>
      </c>
      <c r="Q440" t="str">
        <f t="shared" si="93"/>
        <v/>
      </c>
      <c r="R440" t="str">
        <f t="shared" si="93"/>
        <v/>
      </c>
      <c r="S440" t="str">
        <f t="shared" si="93"/>
        <v/>
      </c>
      <c r="T440" t="str">
        <f t="shared" si="93"/>
        <v/>
      </c>
      <c r="U440" t="str">
        <f t="shared" si="94"/>
        <v/>
      </c>
      <c r="V440" t="str">
        <f t="shared" si="94"/>
        <v/>
      </c>
      <c r="W440" t="str">
        <f t="shared" si="94"/>
        <v/>
      </c>
      <c r="X440" t="str">
        <f t="shared" si="94"/>
        <v/>
      </c>
      <c r="Y440" t="str">
        <f t="shared" si="94"/>
        <v/>
      </c>
      <c r="Z440" t="str">
        <f t="shared" si="94"/>
        <v/>
      </c>
      <c r="AA440" t="str">
        <f t="shared" si="94"/>
        <v/>
      </c>
      <c r="AB440" t="str">
        <f t="shared" si="94"/>
        <v/>
      </c>
      <c r="AC440">
        <f t="shared" si="84"/>
        <v>0</v>
      </c>
    </row>
    <row r="441" spans="1:29" x14ac:dyDescent="0.35">
      <c r="A441">
        <v>436</v>
      </c>
      <c r="B441" t="s">
        <v>12</v>
      </c>
      <c r="C441" t="s">
        <v>325</v>
      </c>
      <c r="D441" t="s">
        <v>326</v>
      </c>
      <c r="E441" t="s">
        <v>324</v>
      </c>
      <c r="F441" t="s">
        <v>315</v>
      </c>
      <c r="G441" t="s">
        <v>9</v>
      </c>
      <c r="H441">
        <v>1.9750000000000001</v>
      </c>
      <c r="I441">
        <v>2.7149999999999999</v>
      </c>
      <c r="J441" t="s">
        <v>6</v>
      </c>
      <c r="K441" t="str">
        <f t="shared" si="93"/>
        <v/>
      </c>
      <c r="L441" t="str">
        <f t="shared" si="93"/>
        <v/>
      </c>
      <c r="M441" t="str">
        <f t="shared" si="93"/>
        <v/>
      </c>
      <c r="N441" t="str">
        <f t="shared" si="93"/>
        <v/>
      </c>
      <c r="O441" t="str">
        <f t="shared" si="93"/>
        <v/>
      </c>
      <c r="P441" t="str">
        <f t="shared" si="93"/>
        <v/>
      </c>
      <c r="Q441" t="str">
        <f t="shared" si="93"/>
        <v/>
      </c>
      <c r="R441" t="str">
        <f t="shared" si="93"/>
        <v/>
      </c>
      <c r="S441" t="str">
        <f t="shared" si="93"/>
        <v/>
      </c>
      <c r="T441" t="str">
        <f t="shared" si="93"/>
        <v/>
      </c>
      <c r="U441" t="str">
        <f t="shared" si="94"/>
        <v/>
      </c>
      <c r="V441" t="str">
        <f t="shared" si="94"/>
        <v/>
      </c>
      <c r="W441" t="str">
        <f t="shared" si="94"/>
        <v/>
      </c>
      <c r="X441" t="str">
        <f t="shared" si="94"/>
        <v/>
      </c>
      <c r="Y441" t="str">
        <f t="shared" si="94"/>
        <v/>
      </c>
      <c r="Z441" t="str">
        <f t="shared" si="94"/>
        <v/>
      </c>
      <c r="AA441" t="str">
        <f t="shared" si="94"/>
        <v/>
      </c>
      <c r="AB441" t="str">
        <f t="shared" si="94"/>
        <v/>
      </c>
      <c r="AC441">
        <f t="shared" si="84"/>
        <v>0</v>
      </c>
    </row>
    <row r="442" spans="1:29" x14ac:dyDescent="0.35">
      <c r="A442">
        <v>437</v>
      </c>
      <c r="B442" t="s">
        <v>12</v>
      </c>
      <c r="C442" t="s">
        <v>327</v>
      </c>
      <c r="D442" t="s">
        <v>328</v>
      </c>
      <c r="E442" t="s">
        <v>26</v>
      </c>
      <c r="F442" t="s">
        <v>315</v>
      </c>
      <c r="G442" t="s">
        <v>9</v>
      </c>
      <c r="H442">
        <v>1.9750000000000001</v>
      </c>
      <c r="I442">
        <v>2.7149999999999999</v>
      </c>
      <c r="J442" t="s">
        <v>6</v>
      </c>
      <c r="K442" t="str">
        <f t="shared" si="93"/>
        <v/>
      </c>
      <c r="L442" t="str">
        <f t="shared" si="93"/>
        <v/>
      </c>
      <c r="M442" t="str">
        <f t="shared" si="93"/>
        <v/>
      </c>
      <c r="N442" t="str">
        <f t="shared" si="93"/>
        <v/>
      </c>
      <c r="O442" t="str">
        <f t="shared" si="93"/>
        <v/>
      </c>
      <c r="P442" t="str">
        <f t="shared" si="93"/>
        <v/>
      </c>
      <c r="Q442" t="str">
        <f t="shared" si="93"/>
        <v/>
      </c>
      <c r="R442" t="str">
        <f t="shared" si="93"/>
        <v/>
      </c>
      <c r="S442" t="str">
        <f t="shared" si="93"/>
        <v/>
      </c>
      <c r="T442" t="str">
        <f t="shared" si="93"/>
        <v/>
      </c>
      <c r="U442" t="str">
        <f t="shared" si="94"/>
        <v/>
      </c>
      <c r="V442" t="str">
        <f t="shared" si="94"/>
        <v/>
      </c>
      <c r="W442" t="str">
        <f t="shared" si="94"/>
        <v/>
      </c>
      <c r="X442" t="str">
        <f t="shared" si="94"/>
        <v/>
      </c>
      <c r="Y442" t="str">
        <f t="shared" si="94"/>
        <v/>
      </c>
      <c r="Z442" t="str">
        <f t="shared" si="94"/>
        <v/>
      </c>
      <c r="AA442" t="str">
        <f t="shared" si="94"/>
        <v/>
      </c>
      <c r="AB442" t="str">
        <f t="shared" si="94"/>
        <v/>
      </c>
      <c r="AC442">
        <f t="shared" si="84"/>
        <v>0</v>
      </c>
    </row>
    <row r="443" spans="1:29" x14ac:dyDescent="0.35">
      <c r="A443">
        <v>438</v>
      </c>
      <c r="B443" t="s">
        <v>12</v>
      </c>
      <c r="C443" t="s">
        <v>329</v>
      </c>
      <c r="D443" t="s">
        <v>330</v>
      </c>
      <c r="E443" t="s">
        <v>115</v>
      </c>
      <c r="F443" t="s">
        <v>315</v>
      </c>
      <c r="G443" t="s">
        <v>9</v>
      </c>
      <c r="H443">
        <v>1.9750000000000001</v>
      </c>
      <c r="I443">
        <v>2.7149999999999999</v>
      </c>
      <c r="J443" t="s">
        <v>6</v>
      </c>
      <c r="K443" t="str">
        <f t="shared" si="93"/>
        <v/>
      </c>
      <c r="L443" t="str">
        <f t="shared" si="93"/>
        <v/>
      </c>
      <c r="M443" t="str">
        <f t="shared" si="93"/>
        <v/>
      </c>
      <c r="N443" t="str">
        <f t="shared" si="93"/>
        <v/>
      </c>
      <c r="O443" t="str">
        <f t="shared" si="93"/>
        <v/>
      </c>
      <c r="P443" t="str">
        <f t="shared" si="93"/>
        <v/>
      </c>
      <c r="Q443" t="str">
        <f t="shared" si="93"/>
        <v/>
      </c>
      <c r="R443" t="str">
        <f t="shared" si="93"/>
        <v/>
      </c>
      <c r="S443" t="str">
        <f t="shared" si="93"/>
        <v/>
      </c>
      <c r="T443" t="str">
        <f t="shared" si="93"/>
        <v/>
      </c>
      <c r="U443" t="str">
        <f t="shared" si="94"/>
        <v/>
      </c>
      <c r="V443" t="str">
        <f t="shared" si="94"/>
        <v/>
      </c>
      <c r="W443" t="str">
        <f t="shared" si="94"/>
        <v/>
      </c>
      <c r="X443" t="str">
        <f t="shared" si="94"/>
        <v/>
      </c>
      <c r="Y443" t="str">
        <f t="shared" si="94"/>
        <v/>
      </c>
      <c r="Z443" t="str">
        <f t="shared" si="94"/>
        <v/>
      </c>
      <c r="AA443" t="str">
        <f t="shared" si="94"/>
        <v/>
      </c>
      <c r="AB443" t="str">
        <f t="shared" si="94"/>
        <v/>
      </c>
      <c r="AC443">
        <f t="shared" si="84"/>
        <v>0</v>
      </c>
    </row>
    <row r="444" spans="1:29" x14ac:dyDescent="0.35">
      <c r="A444">
        <v>439</v>
      </c>
      <c r="B444" t="s">
        <v>12</v>
      </c>
      <c r="C444" t="s">
        <v>370</v>
      </c>
      <c r="D444" t="s">
        <v>371</v>
      </c>
      <c r="E444" t="s">
        <v>116</v>
      </c>
      <c r="F444" t="s">
        <v>315</v>
      </c>
      <c r="G444" t="s">
        <v>9</v>
      </c>
      <c r="H444">
        <v>1.9750000000000001</v>
      </c>
      <c r="I444">
        <v>2.7149999999999999</v>
      </c>
      <c r="J444" t="s">
        <v>6</v>
      </c>
      <c r="K444" t="str">
        <f t="shared" si="93"/>
        <v/>
      </c>
      <c r="L444" t="str">
        <f t="shared" si="93"/>
        <v/>
      </c>
      <c r="M444" t="str">
        <f t="shared" si="93"/>
        <v/>
      </c>
      <c r="N444" t="str">
        <f t="shared" si="93"/>
        <v/>
      </c>
      <c r="O444" t="str">
        <f t="shared" si="93"/>
        <v/>
      </c>
      <c r="P444" t="str">
        <f t="shared" si="93"/>
        <v/>
      </c>
      <c r="Q444" t="str">
        <f t="shared" si="93"/>
        <v/>
      </c>
      <c r="R444" t="str">
        <f t="shared" si="93"/>
        <v/>
      </c>
      <c r="S444" t="str">
        <f t="shared" si="93"/>
        <v/>
      </c>
      <c r="T444" t="str">
        <f t="shared" si="93"/>
        <v/>
      </c>
      <c r="U444" t="str">
        <f t="shared" si="94"/>
        <v/>
      </c>
      <c r="V444" t="str">
        <f t="shared" si="94"/>
        <v/>
      </c>
      <c r="W444" t="str">
        <f t="shared" si="94"/>
        <v/>
      </c>
      <c r="X444" t="str">
        <f t="shared" si="94"/>
        <v/>
      </c>
      <c r="Y444" t="str">
        <f t="shared" si="94"/>
        <v/>
      </c>
      <c r="Z444" t="str">
        <f t="shared" si="94"/>
        <v/>
      </c>
      <c r="AA444" t="str">
        <f t="shared" si="94"/>
        <v/>
      </c>
      <c r="AB444" t="str">
        <f t="shared" si="94"/>
        <v/>
      </c>
      <c r="AC444">
        <f t="shared" si="84"/>
        <v>0</v>
      </c>
    </row>
    <row r="445" spans="1:29" x14ac:dyDescent="0.35">
      <c r="A445">
        <v>440</v>
      </c>
      <c r="B445" t="s">
        <v>12</v>
      </c>
      <c r="C445" t="s">
        <v>395</v>
      </c>
      <c r="D445" t="s">
        <v>396</v>
      </c>
      <c r="E445" t="s">
        <v>397</v>
      </c>
      <c r="F445" t="s">
        <v>315</v>
      </c>
      <c r="G445" t="s">
        <v>9</v>
      </c>
      <c r="H445">
        <v>1.9750000000000001</v>
      </c>
      <c r="I445">
        <v>3</v>
      </c>
      <c r="J445" t="s">
        <v>6</v>
      </c>
      <c r="K445" t="str">
        <f t="shared" si="93"/>
        <v/>
      </c>
      <c r="L445" t="str">
        <f t="shared" si="93"/>
        <v/>
      </c>
      <c r="M445" t="str">
        <f t="shared" si="93"/>
        <v/>
      </c>
      <c r="N445" t="str">
        <f t="shared" si="93"/>
        <v/>
      </c>
      <c r="O445" t="str">
        <f t="shared" si="93"/>
        <v/>
      </c>
      <c r="P445" t="str">
        <f t="shared" si="93"/>
        <v/>
      </c>
      <c r="Q445" t="str">
        <f t="shared" si="93"/>
        <v/>
      </c>
      <c r="R445" t="str">
        <f t="shared" si="93"/>
        <v/>
      </c>
      <c r="S445" t="str">
        <f t="shared" si="93"/>
        <v/>
      </c>
      <c r="T445" t="str">
        <f t="shared" si="93"/>
        <v/>
      </c>
      <c r="U445" t="str">
        <f t="shared" si="94"/>
        <v/>
      </c>
      <c r="V445" t="str">
        <f t="shared" si="94"/>
        <v/>
      </c>
      <c r="W445" t="str">
        <f t="shared" si="94"/>
        <v/>
      </c>
      <c r="X445" t="str">
        <f t="shared" si="94"/>
        <v/>
      </c>
      <c r="Y445" t="str">
        <f t="shared" si="94"/>
        <v/>
      </c>
      <c r="Z445" t="str">
        <f t="shared" si="94"/>
        <v/>
      </c>
      <c r="AA445" t="str">
        <f t="shared" si="94"/>
        <v/>
      </c>
      <c r="AB445" t="str">
        <f t="shared" si="94"/>
        <v/>
      </c>
      <c r="AC445">
        <f t="shared" si="84"/>
        <v>0</v>
      </c>
    </row>
    <row r="446" spans="1:29" x14ac:dyDescent="0.35">
      <c r="A446">
        <v>441</v>
      </c>
      <c r="B446" t="s">
        <v>12</v>
      </c>
      <c r="C446" t="s">
        <v>398</v>
      </c>
      <c r="D446" t="s">
        <v>399</v>
      </c>
      <c r="E446" t="s">
        <v>400</v>
      </c>
      <c r="F446" t="s">
        <v>315</v>
      </c>
      <c r="G446" t="s">
        <v>9</v>
      </c>
      <c r="H446">
        <v>1.9750000000000001</v>
      </c>
      <c r="I446">
        <v>3</v>
      </c>
      <c r="J446" t="s">
        <v>6</v>
      </c>
      <c r="K446" t="str">
        <f t="shared" ref="K446:T455" si="95">IFERROR(IFERROR(IF(K$5=$K$1,VLOOKUP($A446,dormitorios,2,0),IF(K$5=$L$1,VLOOKUP($A446,comedor,2,0),IF(K$5=$M$1,VLOOKUP($A446,alojamiento,2,0),IF(K$5=$N$1,VLOOKUP($A446,sanidad,2,0),IF(K$5=$O$1,VLOOKUP($A446,servicios,2,0),IF(K$5=$P$1,VLOOKUP($A446,comyaloj,2,0),IF(K$5=$Q$1,VLOOKUP($A446,comandancia,2,0),IF(K$5=$R$1,VLOOKUP($A446,mantenimiento,2,0),IF(K$5=$S$1,VLOOKUP($A446,serestatal,2,0),IF(K$5=$T$1,VLOOKUP($A446,conferencias,2,0),"")))))))))),"")*K$3,"")</f>
        <v/>
      </c>
      <c r="L446" t="str">
        <f t="shared" si="95"/>
        <v/>
      </c>
      <c r="M446" t="str">
        <f t="shared" si="95"/>
        <v/>
      </c>
      <c r="N446" t="str">
        <f t="shared" si="95"/>
        <v/>
      </c>
      <c r="O446" t="str">
        <f t="shared" si="95"/>
        <v/>
      </c>
      <c r="P446" t="str">
        <f t="shared" si="95"/>
        <v/>
      </c>
      <c r="Q446" t="str">
        <f t="shared" si="95"/>
        <v/>
      </c>
      <c r="R446" t="str">
        <f t="shared" si="95"/>
        <v/>
      </c>
      <c r="S446" t="str">
        <f t="shared" si="95"/>
        <v/>
      </c>
      <c r="T446" t="str">
        <f t="shared" si="95"/>
        <v/>
      </c>
      <c r="U446" t="str">
        <f t="shared" ref="U446:AB455" si="96">IFERROR(IFERROR(IF(U$5=$K$1,VLOOKUP($A446,dormitorios,2,0),IF(U$5=$L$1,VLOOKUP($A446,comedor,2,0),IF(U$5=$M$1,VLOOKUP($A446,alojamiento,2,0),IF(U$5=$N$1,VLOOKUP($A446,sanidad,2,0),IF(U$5=$O$1,VLOOKUP($A446,servicios,2,0),IF(U$5=$P$1,VLOOKUP($A446,comyaloj,2,0),IF(U$5=$Q$1,VLOOKUP($A446,comandancia,2,0),IF(U$5=$R$1,VLOOKUP($A446,mantenimiento,2,0),IF(U$5=$S$1,VLOOKUP($A446,serestatal,2,0),IF(U$5=$T$1,VLOOKUP($A446,conferencias,2,0),"")))))))))),"")*U$3,"")</f>
        <v/>
      </c>
      <c r="V446" t="str">
        <f t="shared" si="96"/>
        <v/>
      </c>
      <c r="W446" t="str">
        <f t="shared" si="96"/>
        <v/>
      </c>
      <c r="X446" t="str">
        <f t="shared" si="96"/>
        <v/>
      </c>
      <c r="Y446" t="str">
        <f t="shared" si="96"/>
        <v/>
      </c>
      <c r="Z446" t="str">
        <f t="shared" si="96"/>
        <v/>
      </c>
      <c r="AA446" t="str">
        <f t="shared" si="96"/>
        <v/>
      </c>
      <c r="AB446" t="str">
        <f t="shared" si="96"/>
        <v/>
      </c>
      <c r="AC446">
        <f t="shared" si="84"/>
        <v>0</v>
      </c>
    </row>
    <row r="447" spans="1:29" x14ac:dyDescent="0.35">
      <c r="A447">
        <v>442</v>
      </c>
      <c r="B447" t="s">
        <v>12</v>
      </c>
      <c r="C447" t="s">
        <v>401</v>
      </c>
      <c r="D447" t="s">
        <v>402</v>
      </c>
      <c r="E447" t="s">
        <v>403</v>
      </c>
      <c r="F447" t="s">
        <v>315</v>
      </c>
      <c r="G447" t="s">
        <v>9</v>
      </c>
      <c r="H447">
        <v>1.9750000000000001</v>
      </c>
      <c r="I447">
        <v>2.7149999999999999</v>
      </c>
      <c r="J447" t="s">
        <v>6</v>
      </c>
      <c r="K447" t="str">
        <f t="shared" si="95"/>
        <v/>
      </c>
      <c r="L447" t="str">
        <f t="shared" si="95"/>
        <v/>
      </c>
      <c r="M447" t="str">
        <f t="shared" si="95"/>
        <v/>
      </c>
      <c r="N447" t="str">
        <f t="shared" si="95"/>
        <v/>
      </c>
      <c r="O447" t="str">
        <f t="shared" si="95"/>
        <v/>
      </c>
      <c r="P447" t="str">
        <f t="shared" si="95"/>
        <v/>
      </c>
      <c r="Q447" t="str">
        <f t="shared" si="95"/>
        <v/>
      </c>
      <c r="R447" t="str">
        <f t="shared" si="95"/>
        <v/>
      </c>
      <c r="S447" t="str">
        <f t="shared" si="95"/>
        <v/>
      </c>
      <c r="T447" t="str">
        <f t="shared" si="95"/>
        <v/>
      </c>
      <c r="U447" t="str">
        <f t="shared" si="96"/>
        <v/>
      </c>
      <c r="V447" t="str">
        <f t="shared" si="96"/>
        <v/>
      </c>
      <c r="W447" t="str">
        <f t="shared" si="96"/>
        <v/>
      </c>
      <c r="X447" t="str">
        <f t="shared" si="96"/>
        <v/>
      </c>
      <c r="Y447" t="str">
        <f t="shared" si="96"/>
        <v/>
      </c>
      <c r="Z447" t="str">
        <f t="shared" si="96"/>
        <v/>
      </c>
      <c r="AA447" t="str">
        <f t="shared" si="96"/>
        <v/>
      </c>
      <c r="AB447" t="str">
        <f t="shared" si="96"/>
        <v/>
      </c>
      <c r="AC447">
        <f t="shared" si="84"/>
        <v>0</v>
      </c>
    </row>
    <row r="448" spans="1:29" x14ac:dyDescent="0.35">
      <c r="A448">
        <v>443</v>
      </c>
      <c r="B448" t="s">
        <v>12</v>
      </c>
      <c r="C448" t="s">
        <v>404</v>
      </c>
      <c r="D448" t="s">
        <v>405</v>
      </c>
      <c r="E448" t="s">
        <v>406</v>
      </c>
      <c r="F448" t="s">
        <v>315</v>
      </c>
      <c r="G448" t="s">
        <v>9</v>
      </c>
      <c r="H448">
        <v>1.9750000000000001</v>
      </c>
      <c r="I448">
        <v>3.5</v>
      </c>
      <c r="J448" t="s">
        <v>6</v>
      </c>
      <c r="K448" t="str">
        <f t="shared" si="95"/>
        <v/>
      </c>
      <c r="L448" t="str">
        <f t="shared" si="95"/>
        <v/>
      </c>
      <c r="M448" t="str">
        <f t="shared" si="95"/>
        <v/>
      </c>
      <c r="N448" t="str">
        <f t="shared" si="95"/>
        <v/>
      </c>
      <c r="O448" t="str">
        <f t="shared" si="95"/>
        <v/>
      </c>
      <c r="P448" t="str">
        <f t="shared" si="95"/>
        <v/>
      </c>
      <c r="Q448" t="str">
        <f t="shared" si="95"/>
        <v/>
      </c>
      <c r="R448" t="str">
        <f t="shared" si="95"/>
        <v/>
      </c>
      <c r="S448" t="str">
        <f t="shared" si="95"/>
        <v/>
      </c>
      <c r="T448" t="str">
        <f t="shared" si="95"/>
        <v/>
      </c>
      <c r="U448" t="str">
        <f t="shared" si="96"/>
        <v/>
      </c>
      <c r="V448" t="str">
        <f t="shared" si="96"/>
        <v/>
      </c>
      <c r="W448" t="str">
        <f t="shared" si="96"/>
        <v/>
      </c>
      <c r="X448" t="str">
        <f t="shared" si="96"/>
        <v/>
      </c>
      <c r="Y448" t="str">
        <f t="shared" si="96"/>
        <v/>
      </c>
      <c r="Z448" t="str">
        <f t="shared" si="96"/>
        <v/>
      </c>
      <c r="AA448" t="str">
        <f t="shared" si="96"/>
        <v/>
      </c>
      <c r="AB448" t="str">
        <f t="shared" si="96"/>
        <v/>
      </c>
      <c r="AC448">
        <f t="shared" si="84"/>
        <v>0</v>
      </c>
    </row>
    <row r="449" spans="1:29" x14ac:dyDescent="0.35">
      <c r="A449">
        <v>444</v>
      </c>
      <c r="B449" t="s">
        <v>12</v>
      </c>
      <c r="C449" t="s">
        <v>407</v>
      </c>
      <c r="D449" t="s">
        <v>408</v>
      </c>
      <c r="E449" t="s">
        <v>409</v>
      </c>
      <c r="F449" t="s">
        <v>315</v>
      </c>
      <c r="G449" t="s">
        <v>9</v>
      </c>
      <c r="H449">
        <v>1.9750000000000001</v>
      </c>
      <c r="I449">
        <v>3.5</v>
      </c>
      <c r="J449" t="s">
        <v>6</v>
      </c>
      <c r="K449" t="str">
        <f t="shared" si="95"/>
        <v/>
      </c>
      <c r="L449" t="str">
        <f t="shared" si="95"/>
        <v/>
      </c>
      <c r="M449" t="str">
        <f t="shared" si="95"/>
        <v/>
      </c>
      <c r="N449" t="str">
        <f t="shared" si="95"/>
        <v/>
      </c>
      <c r="O449" t="str">
        <f t="shared" si="95"/>
        <v/>
      </c>
      <c r="P449" t="str">
        <f t="shared" si="95"/>
        <v/>
      </c>
      <c r="Q449" t="str">
        <f t="shared" si="95"/>
        <v/>
      </c>
      <c r="R449" t="str">
        <f t="shared" si="95"/>
        <v/>
      </c>
      <c r="S449" t="str">
        <f t="shared" si="95"/>
        <v/>
      </c>
      <c r="T449" t="str">
        <f t="shared" si="95"/>
        <v/>
      </c>
      <c r="U449" t="str">
        <f t="shared" si="96"/>
        <v/>
      </c>
      <c r="V449" t="str">
        <f t="shared" si="96"/>
        <v/>
      </c>
      <c r="W449" t="str">
        <f t="shared" si="96"/>
        <v/>
      </c>
      <c r="X449" t="str">
        <f t="shared" si="96"/>
        <v/>
      </c>
      <c r="Y449" t="str">
        <f t="shared" si="96"/>
        <v/>
      </c>
      <c r="Z449" t="str">
        <f t="shared" si="96"/>
        <v/>
      </c>
      <c r="AA449" t="str">
        <f t="shared" si="96"/>
        <v/>
      </c>
      <c r="AB449" t="str">
        <f t="shared" si="96"/>
        <v/>
      </c>
      <c r="AC449">
        <f t="shared" si="84"/>
        <v>0</v>
      </c>
    </row>
    <row r="450" spans="1:29" x14ac:dyDescent="0.35">
      <c r="A450">
        <v>445</v>
      </c>
      <c r="B450" t="s">
        <v>12</v>
      </c>
      <c r="C450" t="s">
        <v>502</v>
      </c>
      <c r="D450" t="s">
        <v>503</v>
      </c>
      <c r="E450" t="s">
        <v>504</v>
      </c>
      <c r="F450" t="s">
        <v>315</v>
      </c>
      <c r="G450" t="s">
        <v>9</v>
      </c>
      <c r="H450">
        <v>1.9750000000000001</v>
      </c>
      <c r="I450">
        <v>3.5</v>
      </c>
      <c r="J450" t="s">
        <v>6</v>
      </c>
      <c r="K450" t="str">
        <f t="shared" si="95"/>
        <v/>
      </c>
      <c r="L450" t="str">
        <f t="shared" si="95"/>
        <v/>
      </c>
      <c r="M450" t="str">
        <f t="shared" si="95"/>
        <v/>
      </c>
      <c r="N450" t="str">
        <f t="shared" si="95"/>
        <v/>
      </c>
      <c r="O450" t="str">
        <f t="shared" si="95"/>
        <v/>
      </c>
      <c r="P450" t="str">
        <f t="shared" si="95"/>
        <v/>
      </c>
      <c r="Q450" t="str">
        <f t="shared" si="95"/>
        <v/>
      </c>
      <c r="R450" t="str">
        <f t="shared" si="95"/>
        <v/>
      </c>
      <c r="S450" t="str">
        <f t="shared" si="95"/>
        <v/>
      </c>
      <c r="T450" t="str">
        <f t="shared" si="95"/>
        <v/>
      </c>
      <c r="U450" t="str">
        <f t="shared" si="96"/>
        <v/>
      </c>
      <c r="V450" t="str">
        <f t="shared" si="96"/>
        <v/>
      </c>
      <c r="W450" t="str">
        <f t="shared" si="96"/>
        <v/>
      </c>
      <c r="X450" t="str">
        <f t="shared" si="96"/>
        <v/>
      </c>
      <c r="Y450" t="str">
        <f t="shared" si="96"/>
        <v/>
      </c>
      <c r="Z450" t="str">
        <f t="shared" si="96"/>
        <v/>
      </c>
      <c r="AA450" t="str">
        <f t="shared" si="96"/>
        <v/>
      </c>
      <c r="AB450" t="str">
        <f t="shared" si="96"/>
        <v/>
      </c>
      <c r="AC450">
        <f t="shared" si="84"/>
        <v>0</v>
      </c>
    </row>
    <row r="451" spans="1:29" x14ac:dyDescent="0.35">
      <c r="A451">
        <v>446</v>
      </c>
      <c r="B451" t="s">
        <v>12</v>
      </c>
      <c r="C451" t="s">
        <v>331</v>
      </c>
      <c r="D451" t="s">
        <v>332</v>
      </c>
      <c r="E451" t="s">
        <v>117</v>
      </c>
      <c r="F451" t="s">
        <v>315</v>
      </c>
      <c r="G451" t="s">
        <v>9</v>
      </c>
      <c r="H451">
        <v>1.9750000000000001</v>
      </c>
      <c r="I451">
        <v>2.7149999999999999</v>
      </c>
      <c r="J451" t="s">
        <v>6</v>
      </c>
      <c r="K451" t="str">
        <f t="shared" si="95"/>
        <v/>
      </c>
      <c r="L451" t="str">
        <f t="shared" si="95"/>
        <v/>
      </c>
      <c r="M451" t="str">
        <f t="shared" si="95"/>
        <v/>
      </c>
      <c r="N451" t="str">
        <f t="shared" si="95"/>
        <v/>
      </c>
      <c r="O451" t="str">
        <f t="shared" si="95"/>
        <v/>
      </c>
      <c r="P451" t="str">
        <f t="shared" si="95"/>
        <v/>
      </c>
      <c r="Q451" t="str">
        <f t="shared" si="95"/>
        <v/>
      </c>
      <c r="R451" t="str">
        <f t="shared" si="95"/>
        <v/>
      </c>
      <c r="S451" t="str">
        <f t="shared" si="95"/>
        <v/>
      </c>
      <c r="T451" t="str">
        <f t="shared" si="95"/>
        <v/>
      </c>
      <c r="U451" t="str">
        <f t="shared" si="96"/>
        <v/>
      </c>
      <c r="V451" t="str">
        <f t="shared" si="96"/>
        <v/>
      </c>
      <c r="W451" t="str">
        <f t="shared" si="96"/>
        <v/>
      </c>
      <c r="X451" t="str">
        <f t="shared" si="96"/>
        <v/>
      </c>
      <c r="Y451" t="str">
        <f t="shared" si="96"/>
        <v/>
      </c>
      <c r="Z451" t="str">
        <f t="shared" si="96"/>
        <v/>
      </c>
      <c r="AA451" t="str">
        <f t="shared" si="96"/>
        <v/>
      </c>
      <c r="AB451" t="str">
        <f t="shared" si="96"/>
        <v/>
      </c>
      <c r="AC451">
        <f t="shared" si="84"/>
        <v>0</v>
      </c>
    </row>
    <row r="452" spans="1:29" x14ac:dyDescent="0.35">
      <c r="A452">
        <v>447</v>
      </c>
      <c r="B452" t="s">
        <v>12</v>
      </c>
      <c r="C452" t="s">
        <v>333</v>
      </c>
      <c r="D452" t="s">
        <v>334</v>
      </c>
      <c r="E452" t="s">
        <v>118</v>
      </c>
      <c r="F452" t="s">
        <v>315</v>
      </c>
      <c r="G452" t="s">
        <v>9</v>
      </c>
      <c r="H452">
        <v>1.9750000000000001</v>
      </c>
      <c r="I452">
        <v>2.7149999999999999</v>
      </c>
      <c r="J452" t="s">
        <v>6</v>
      </c>
      <c r="K452" t="str">
        <f t="shared" si="95"/>
        <v/>
      </c>
      <c r="L452" t="str">
        <f t="shared" si="95"/>
        <v/>
      </c>
      <c r="M452" t="str">
        <f t="shared" si="95"/>
        <v/>
      </c>
      <c r="N452" t="str">
        <f t="shared" si="95"/>
        <v/>
      </c>
      <c r="O452" t="str">
        <f t="shared" si="95"/>
        <v/>
      </c>
      <c r="P452" t="str">
        <f t="shared" si="95"/>
        <v/>
      </c>
      <c r="Q452" t="str">
        <f t="shared" si="95"/>
        <v/>
      </c>
      <c r="R452" t="str">
        <f t="shared" si="95"/>
        <v/>
      </c>
      <c r="S452" t="str">
        <f t="shared" si="95"/>
        <v/>
      </c>
      <c r="T452" t="str">
        <f t="shared" si="95"/>
        <v/>
      </c>
      <c r="U452" t="str">
        <f t="shared" si="96"/>
        <v/>
      </c>
      <c r="V452" t="str">
        <f t="shared" si="96"/>
        <v/>
      </c>
      <c r="W452" t="str">
        <f t="shared" si="96"/>
        <v/>
      </c>
      <c r="X452" t="str">
        <f t="shared" si="96"/>
        <v/>
      </c>
      <c r="Y452" t="str">
        <f t="shared" si="96"/>
        <v/>
      </c>
      <c r="Z452" t="str">
        <f t="shared" si="96"/>
        <v/>
      </c>
      <c r="AA452" t="str">
        <f t="shared" si="96"/>
        <v/>
      </c>
      <c r="AB452" t="str">
        <f t="shared" si="96"/>
        <v/>
      </c>
      <c r="AC452">
        <f t="shared" si="84"/>
        <v>0</v>
      </c>
    </row>
    <row r="453" spans="1:29" x14ac:dyDescent="0.35">
      <c r="A453">
        <v>448</v>
      </c>
      <c r="B453" t="s">
        <v>12</v>
      </c>
      <c r="C453" t="s">
        <v>335</v>
      </c>
      <c r="D453" t="s">
        <v>336</v>
      </c>
      <c r="E453" t="s">
        <v>337</v>
      </c>
      <c r="F453" t="s">
        <v>315</v>
      </c>
      <c r="G453" t="s">
        <v>9</v>
      </c>
      <c r="H453">
        <v>1.9750000000000001</v>
      </c>
      <c r="I453">
        <v>2.7149999999999999</v>
      </c>
      <c r="J453" t="s">
        <v>6</v>
      </c>
      <c r="K453" t="str">
        <f t="shared" si="95"/>
        <v/>
      </c>
      <c r="L453" t="str">
        <f t="shared" si="95"/>
        <v/>
      </c>
      <c r="M453" t="str">
        <f t="shared" si="95"/>
        <v/>
      </c>
      <c r="N453" t="str">
        <f t="shared" si="95"/>
        <v/>
      </c>
      <c r="O453" t="str">
        <f t="shared" si="95"/>
        <v/>
      </c>
      <c r="P453" t="str">
        <f t="shared" si="95"/>
        <v/>
      </c>
      <c r="Q453" t="str">
        <f t="shared" si="95"/>
        <v/>
      </c>
      <c r="R453" t="str">
        <f t="shared" si="95"/>
        <v/>
      </c>
      <c r="S453" t="str">
        <f t="shared" si="95"/>
        <v/>
      </c>
      <c r="T453" t="str">
        <f t="shared" si="95"/>
        <v/>
      </c>
      <c r="U453" t="str">
        <f t="shared" si="96"/>
        <v/>
      </c>
      <c r="V453" t="str">
        <f t="shared" si="96"/>
        <v/>
      </c>
      <c r="W453" t="str">
        <f t="shared" si="96"/>
        <v/>
      </c>
      <c r="X453" t="str">
        <f t="shared" si="96"/>
        <v/>
      </c>
      <c r="Y453" t="str">
        <f t="shared" si="96"/>
        <v/>
      </c>
      <c r="Z453" t="str">
        <f t="shared" si="96"/>
        <v/>
      </c>
      <c r="AA453" t="str">
        <f t="shared" si="96"/>
        <v/>
      </c>
      <c r="AB453" t="str">
        <f t="shared" si="96"/>
        <v/>
      </c>
      <c r="AC453">
        <f t="shared" si="84"/>
        <v>0</v>
      </c>
    </row>
    <row r="454" spans="1:29" x14ac:dyDescent="0.35">
      <c r="A454">
        <v>449</v>
      </c>
      <c r="B454" t="s">
        <v>12</v>
      </c>
      <c r="C454" t="s">
        <v>338</v>
      </c>
      <c r="D454" t="s">
        <v>339</v>
      </c>
      <c r="E454" t="s">
        <v>340</v>
      </c>
      <c r="F454" t="s">
        <v>315</v>
      </c>
      <c r="G454" t="s">
        <v>9</v>
      </c>
      <c r="H454">
        <v>1.9750000000000001</v>
      </c>
      <c r="I454">
        <v>2.7149999999999999</v>
      </c>
      <c r="J454" t="s">
        <v>6</v>
      </c>
      <c r="K454" t="str">
        <f t="shared" si="95"/>
        <v/>
      </c>
      <c r="L454" t="str">
        <f t="shared" si="95"/>
        <v/>
      </c>
      <c r="M454" t="str">
        <f t="shared" si="95"/>
        <v/>
      </c>
      <c r="N454" t="str">
        <f t="shared" si="95"/>
        <v/>
      </c>
      <c r="O454" t="str">
        <f t="shared" si="95"/>
        <v/>
      </c>
      <c r="P454" t="str">
        <f t="shared" si="95"/>
        <v/>
      </c>
      <c r="Q454" t="str">
        <f t="shared" si="95"/>
        <v/>
      </c>
      <c r="R454" t="str">
        <f t="shared" si="95"/>
        <v/>
      </c>
      <c r="S454" t="str">
        <f t="shared" si="95"/>
        <v/>
      </c>
      <c r="T454" t="str">
        <f t="shared" si="95"/>
        <v/>
      </c>
      <c r="U454" t="str">
        <f t="shared" si="96"/>
        <v/>
      </c>
      <c r="V454" t="str">
        <f t="shared" si="96"/>
        <v/>
      </c>
      <c r="W454" t="str">
        <f t="shared" si="96"/>
        <v/>
      </c>
      <c r="X454" t="str">
        <f t="shared" si="96"/>
        <v/>
      </c>
      <c r="Y454" t="str">
        <f t="shared" si="96"/>
        <v/>
      </c>
      <c r="Z454" t="str">
        <f t="shared" si="96"/>
        <v/>
      </c>
      <c r="AA454" t="str">
        <f t="shared" si="96"/>
        <v/>
      </c>
      <c r="AB454" t="str">
        <f t="shared" si="96"/>
        <v/>
      </c>
      <c r="AC454">
        <f t="shared" ref="AC454:AC500" si="97">SUM(K454:AB454)</f>
        <v>0</v>
      </c>
    </row>
    <row r="455" spans="1:29" x14ac:dyDescent="0.35">
      <c r="A455">
        <v>450</v>
      </c>
      <c r="B455" t="s">
        <v>12</v>
      </c>
      <c r="C455" t="s">
        <v>341</v>
      </c>
      <c r="D455" t="s">
        <v>342</v>
      </c>
      <c r="E455" t="s">
        <v>343</v>
      </c>
      <c r="F455" t="s">
        <v>315</v>
      </c>
      <c r="G455" t="s">
        <v>9</v>
      </c>
      <c r="H455">
        <v>1.9750000000000001</v>
      </c>
      <c r="I455">
        <v>3</v>
      </c>
      <c r="J455" t="s">
        <v>6</v>
      </c>
      <c r="K455" t="str">
        <f t="shared" si="95"/>
        <v/>
      </c>
      <c r="L455" t="str">
        <f t="shared" si="95"/>
        <v/>
      </c>
      <c r="M455" t="str">
        <f t="shared" si="95"/>
        <v/>
      </c>
      <c r="N455" t="str">
        <f t="shared" si="95"/>
        <v/>
      </c>
      <c r="O455" t="str">
        <f t="shared" si="95"/>
        <v/>
      </c>
      <c r="P455" t="str">
        <f t="shared" si="95"/>
        <v/>
      </c>
      <c r="Q455" t="str">
        <f t="shared" si="95"/>
        <v/>
      </c>
      <c r="R455" t="str">
        <f t="shared" si="95"/>
        <v/>
      </c>
      <c r="S455" t="str">
        <f t="shared" si="95"/>
        <v/>
      </c>
      <c r="T455" t="str">
        <f t="shared" si="95"/>
        <v/>
      </c>
      <c r="U455" t="str">
        <f t="shared" si="96"/>
        <v/>
      </c>
      <c r="V455" t="str">
        <f t="shared" si="96"/>
        <v/>
      </c>
      <c r="W455" t="str">
        <f t="shared" si="96"/>
        <v/>
      </c>
      <c r="X455" t="str">
        <f t="shared" si="96"/>
        <v/>
      </c>
      <c r="Y455" t="str">
        <f t="shared" si="96"/>
        <v/>
      </c>
      <c r="Z455" t="str">
        <f t="shared" si="96"/>
        <v/>
      </c>
      <c r="AA455" t="str">
        <f t="shared" si="96"/>
        <v/>
      </c>
      <c r="AB455" t="str">
        <f t="shared" si="96"/>
        <v/>
      </c>
      <c r="AC455">
        <f t="shared" si="97"/>
        <v>0</v>
      </c>
    </row>
    <row r="456" spans="1:29" x14ac:dyDescent="0.35">
      <c r="A456">
        <v>451</v>
      </c>
      <c r="B456" t="s">
        <v>12</v>
      </c>
      <c r="C456" t="s">
        <v>364</v>
      </c>
      <c r="D456" t="s">
        <v>365</v>
      </c>
      <c r="E456" t="s">
        <v>410</v>
      </c>
      <c r="F456" t="s">
        <v>315</v>
      </c>
      <c r="G456" t="s">
        <v>9</v>
      </c>
      <c r="H456">
        <v>1.9750000000000001</v>
      </c>
      <c r="I456">
        <v>3.5</v>
      </c>
      <c r="J456" t="s">
        <v>6</v>
      </c>
      <c r="K456" t="str">
        <f t="shared" ref="K456:T465" si="98">IFERROR(IFERROR(IF(K$5=$K$1,VLOOKUP($A456,dormitorios,2,0),IF(K$5=$L$1,VLOOKUP($A456,comedor,2,0),IF(K$5=$M$1,VLOOKUP($A456,alojamiento,2,0),IF(K$5=$N$1,VLOOKUP($A456,sanidad,2,0),IF(K$5=$O$1,VLOOKUP($A456,servicios,2,0),IF(K$5=$P$1,VLOOKUP($A456,comyaloj,2,0),IF(K$5=$Q$1,VLOOKUP($A456,comandancia,2,0),IF(K$5=$R$1,VLOOKUP($A456,mantenimiento,2,0),IF(K$5=$S$1,VLOOKUP($A456,serestatal,2,0),IF(K$5=$T$1,VLOOKUP($A456,conferencias,2,0),"")))))))))),"")*K$3,"")</f>
        <v/>
      </c>
      <c r="L456" t="str">
        <f t="shared" si="98"/>
        <v/>
      </c>
      <c r="M456" t="str">
        <f t="shared" si="98"/>
        <v/>
      </c>
      <c r="N456" t="str">
        <f t="shared" si="98"/>
        <v/>
      </c>
      <c r="O456" t="str">
        <f t="shared" si="98"/>
        <v/>
      </c>
      <c r="P456" t="str">
        <f t="shared" si="98"/>
        <v/>
      </c>
      <c r="Q456" t="str">
        <f t="shared" si="98"/>
        <v/>
      </c>
      <c r="R456" t="str">
        <f t="shared" si="98"/>
        <v/>
      </c>
      <c r="S456" t="str">
        <f t="shared" si="98"/>
        <v/>
      </c>
      <c r="T456" t="str">
        <f t="shared" si="98"/>
        <v/>
      </c>
      <c r="U456" t="str">
        <f t="shared" ref="U456:AB465" si="99">IFERROR(IFERROR(IF(U$5=$K$1,VLOOKUP($A456,dormitorios,2,0),IF(U$5=$L$1,VLOOKUP($A456,comedor,2,0),IF(U$5=$M$1,VLOOKUP($A456,alojamiento,2,0),IF(U$5=$N$1,VLOOKUP($A456,sanidad,2,0),IF(U$5=$O$1,VLOOKUP($A456,servicios,2,0),IF(U$5=$P$1,VLOOKUP($A456,comyaloj,2,0),IF(U$5=$Q$1,VLOOKUP($A456,comandancia,2,0),IF(U$5=$R$1,VLOOKUP($A456,mantenimiento,2,0),IF(U$5=$S$1,VLOOKUP($A456,serestatal,2,0),IF(U$5=$T$1,VLOOKUP($A456,conferencias,2,0),"")))))))))),"")*U$3,"")</f>
        <v/>
      </c>
      <c r="V456" t="str">
        <f t="shared" si="99"/>
        <v/>
      </c>
      <c r="W456" t="str">
        <f t="shared" si="99"/>
        <v/>
      </c>
      <c r="X456" t="str">
        <f t="shared" si="99"/>
        <v/>
      </c>
      <c r="Y456" t="str">
        <f t="shared" si="99"/>
        <v/>
      </c>
      <c r="Z456" t="str">
        <f t="shared" si="99"/>
        <v/>
      </c>
      <c r="AA456" t="str">
        <f t="shared" si="99"/>
        <v/>
      </c>
      <c r="AB456" t="str">
        <f t="shared" si="99"/>
        <v/>
      </c>
      <c r="AC456">
        <f t="shared" si="97"/>
        <v>0</v>
      </c>
    </row>
    <row r="457" spans="1:29" x14ac:dyDescent="0.35">
      <c r="A457">
        <v>452</v>
      </c>
      <c r="B457" t="s">
        <v>12</v>
      </c>
      <c r="C457" t="s">
        <v>366</v>
      </c>
      <c r="D457" t="s">
        <v>367</v>
      </c>
      <c r="E457" t="s">
        <v>411</v>
      </c>
      <c r="F457" t="s">
        <v>315</v>
      </c>
      <c r="G457" t="s">
        <v>9</v>
      </c>
      <c r="H457">
        <v>1.9750000000000001</v>
      </c>
      <c r="I457">
        <v>3.5</v>
      </c>
      <c r="J457" t="s">
        <v>6</v>
      </c>
      <c r="K457" t="str">
        <f t="shared" si="98"/>
        <v/>
      </c>
      <c r="L457" t="str">
        <f t="shared" si="98"/>
        <v/>
      </c>
      <c r="M457" t="str">
        <f t="shared" si="98"/>
        <v/>
      </c>
      <c r="N457" t="str">
        <f t="shared" si="98"/>
        <v/>
      </c>
      <c r="O457" t="str">
        <f t="shared" si="98"/>
        <v/>
      </c>
      <c r="P457" t="str">
        <f t="shared" si="98"/>
        <v/>
      </c>
      <c r="Q457" t="str">
        <f t="shared" si="98"/>
        <v/>
      </c>
      <c r="R457" t="str">
        <f t="shared" si="98"/>
        <v/>
      </c>
      <c r="S457" t="str">
        <f t="shared" si="98"/>
        <v/>
      </c>
      <c r="T457" t="str">
        <f t="shared" si="98"/>
        <v/>
      </c>
      <c r="U457" t="str">
        <f t="shared" si="99"/>
        <v/>
      </c>
      <c r="V457" t="str">
        <f t="shared" si="99"/>
        <v/>
      </c>
      <c r="W457" t="str">
        <f t="shared" si="99"/>
        <v/>
      </c>
      <c r="X457" t="str">
        <f t="shared" si="99"/>
        <v/>
      </c>
      <c r="Y457" t="str">
        <f t="shared" si="99"/>
        <v/>
      </c>
      <c r="Z457" t="str">
        <f t="shared" si="99"/>
        <v/>
      </c>
      <c r="AA457" t="str">
        <f t="shared" si="99"/>
        <v/>
      </c>
      <c r="AB457" t="str">
        <f t="shared" si="99"/>
        <v/>
      </c>
      <c r="AC457">
        <f t="shared" si="97"/>
        <v>0</v>
      </c>
    </row>
    <row r="458" spans="1:29" x14ac:dyDescent="0.35">
      <c r="A458">
        <v>453</v>
      </c>
      <c r="B458" t="s">
        <v>12</v>
      </c>
      <c r="C458" t="s">
        <v>368</v>
      </c>
      <c r="D458" t="s">
        <v>369</v>
      </c>
      <c r="E458" t="s">
        <v>412</v>
      </c>
      <c r="F458" t="s">
        <v>315</v>
      </c>
      <c r="G458" t="s">
        <v>9</v>
      </c>
      <c r="H458">
        <v>1.9750000000000001</v>
      </c>
      <c r="I458">
        <v>3.5</v>
      </c>
      <c r="J458" t="s">
        <v>6</v>
      </c>
      <c r="K458" t="str">
        <f t="shared" si="98"/>
        <v/>
      </c>
      <c r="L458" t="str">
        <f t="shared" si="98"/>
        <v/>
      </c>
      <c r="M458" t="str">
        <f t="shared" si="98"/>
        <v/>
      </c>
      <c r="N458" t="str">
        <f t="shared" si="98"/>
        <v/>
      </c>
      <c r="O458" t="str">
        <f t="shared" si="98"/>
        <v/>
      </c>
      <c r="P458" t="str">
        <f t="shared" si="98"/>
        <v/>
      </c>
      <c r="Q458" t="str">
        <f t="shared" si="98"/>
        <v/>
      </c>
      <c r="R458" t="str">
        <f t="shared" si="98"/>
        <v/>
      </c>
      <c r="S458" t="str">
        <f t="shared" si="98"/>
        <v/>
      </c>
      <c r="T458" t="str">
        <f t="shared" si="98"/>
        <v/>
      </c>
      <c r="U458" t="str">
        <f t="shared" si="99"/>
        <v/>
      </c>
      <c r="V458" t="str">
        <f t="shared" si="99"/>
        <v/>
      </c>
      <c r="W458" t="str">
        <f t="shared" si="99"/>
        <v/>
      </c>
      <c r="X458" t="str">
        <f t="shared" si="99"/>
        <v/>
      </c>
      <c r="Y458" t="str">
        <f t="shared" si="99"/>
        <v/>
      </c>
      <c r="Z458" t="str">
        <f t="shared" si="99"/>
        <v/>
      </c>
      <c r="AA458" t="str">
        <f t="shared" si="99"/>
        <v/>
      </c>
      <c r="AB458" t="str">
        <f t="shared" si="99"/>
        <v/>
      </c>
      <c r="AC458">
        <f t="shared" si="97"/>
        <v>0</v>
      </c>
    </row>
    <row r="459" spans="1:29" x14ac:dyDescent="0.35">
      <c r="A459">
        <v>454</v>
      </c>
      <c r="B459" t="s">
        <v>12</v>
      </c>
      <c r="C459" t="s">
        <v>505</v>
      </c>
      <c r="D459" t="s">
        <v>506</v>
      </c>
      <c r="E459" t="s">
        <v>507</v>
      </c>
      <c r="F459" t="s">
        <v>315</v>
      </c>
      <c r="G459" t="s">
        <v>9</v>
      </c>
      <c r="H459">
        <v>1.9750000000000001</v>
      </c>
      <c r="I459">
        <v>3.5</v>
      </c>
      <c r="J459" t="s">
        <v>6</v>
      </c>
      <c r="K459" t="str">
        <f t="shared" si="98"/>
        <v/>
      </c>
      <c r="L459" t="str">
        <f t="shared" si="98"/>
        <v/>
      </c>
      <c r="M459" t="str">
        <f t="shared" si="98"/>
        <v/>
      </c>
      <c r="N459" t="str">
        <f t="shared" si="98"/>
        <v/>
      </c>
      <c r="O459" t="str">
        <f t="shared" si="98"/>
        <v/>
      </c>
      <c r="P459" t="str">
        <f t="shared" si="98"/>
        <v/>
      </c>
      <c r="Q459" t="str">
        <f t="shared" si="98"/>
        <v/>
      </c>
      <c r="R459" t="str">
        <f t="shared" si="98"/>
        <v/>
      </c>
      <c r="S459" t="str">
        <f t="shared" si="98"/>
        <v/>
      </c>
      <c r="T459" t="str">
        <f t="shared" si="98"/>
        <v/>
      </c>
      <c r="U459" t="str">
        <f t="shared" si="99"/>
        <v/>
      </c>
      <c r="V459" t="str">
        <f t="shared" si="99"/>
        <v/>
      </c>
      <c r="W459" t="str">
        <f t="shared" si="99"/>
        <v/>
      </c>
      <c r="X459" t="str">
        <f t="shared" si="99"/>
        <v/>
      </c>
      <c r="Y459" t="str">
        <f t="shared" si="99"/>
        <v/>
      </c>
      <c r="Z459" t="str">
        <f t="shared" si="99"/>
        <v/>
      </c>
      <c r="AA459" t="str">
        <f t="shared" si="99"/>
        <v/>
      </c>
      <c r="AB459" t="str">
        <f t="shared" si="99"/>
        <v/>
      </c>
      <c r="AC459">
        <f t="shared" si="97"/>
        <v>0</v>
      </c>
    </row>
    <row r="460" spans="1:29" x14ac:dyDescent="0.35">
      <c r="A460">
        <v>455</v>
      </c>
      <c r="B460" t="s">
        <v>12</v>
      </c>
      <c r="C460" t="s">
        <v>508</v>
      </c>
      <c r="D460" t="s">
        <v>509</v>
      </c>
      <c r="E460" t="s">
        <v>510</v>
      </c>
      <c r="F460" t="s">
        <v>315</v>
      </c>
      <c r="G460" t="s">
        <v>9</v>
      </c>
      <c r="H460">
        <v>1.9750000000000001</v>
      </c>
      <c r="I460">
        <v>3.5</v>
      </c>
      <c r="J460" t="s">
        <v>6</v>
      </c>
      <c r="K460" t="str">
        <f t="shared" si="98"/>
        <v/>
      </c>
      <c r="L460" t="str">
        <f t="shared" si="98"/>
        <v/>
      </c>
      <c r="M460" t="str">
        <f t="shared" si="98"/>
        <v/>
      </c>
      <c r="N460" t="str">
        <f t="shared" si="98"/>
        <v/>
      </c>
      <c r="O460" t="str">
        <f t="shared" si="98"/>
        <v/>
      </c>
      <c r="P460" t="str">
        <f t="shared" si="98"/>
        <v/>
      </c>
      <c r="Q460" t="str">
        <f t="shared" si="98"/>
        <v/>
      </c>
      <c r="R460" t="str">
        <f t="shared" si="98"/>
        <v/>
      </c>
      <c r="S460" t="str">
        <f t="shared" si="98"/>
        <v/>
      </c>
      <c r="T460" t="str">
        <f t="shared" si="98"/>
        <v/>
      </c>
      <c r="U460" t="str">
        <f t="shared" si="99"/>
        <v/>
      </c>
      <c r="V460" t="str">
        <f t="shared" si="99"/>
        <v/>
      </c>
      <c r="W460" t="str">
        <f t="shared" si="99"/>
        <v/>
      </c>
      <c r="X460" t="str">
        <f t="shared" si="99"/>
        <v/>
      </c>
      <c r="Y460" t="str">
        <f t="shared" si="99"/>
        <v/>
      </c>
      <c r="Z460" t="str">
        <f t="shared" si="99"/>
        <v/>
      </c>
      <c r="AA460" t="str">
        <f t="shared" si="99"/>
        <v/>
      </c>
      <c r="AB460" t="str">
        <f t="shared" si="99"/>
        <v/>
      </c>
      <c r="AC460">
        <f t="shared" si="97"/>
        <v>0</v>
      </c>
    </row>
    <row r="461" spans="1:29" x14ac:dyDescent="0.35">
      <c r="A461">
        <v>456</v>
      </c>
      <c r="B461" t="s">
        <v>12</v>
      </c>
      <c r="C461" t="s">
        <v>528</v>
      </c>
      <c r="D461" t="s">
        <v>529</v>
      </c>
      <c r="E461" t="s">
        <v>530</v>
      </c>
      <c r="F461" t="s">
        <v>315</v>
      </c>
      <c r="G461" t="s">
        <v>9</v>
      </c>
      <c r="H461">
        <v>1.9750000000000001</v>
      </c>
      <c r="I461">
        <v>2.7149999999999999</v>
      </c>
      <c r="J461" t="s">
        <v>6</v>
      </c>
      <c r="K461" t="str">
        <f t="shared" si="98"/>
        <v/>
      </c>
      <c r="L461" t="str">
        <f t="shared" si="98"/>
        <v/>
      </c>
      <c r="M461" t="str">
        <f t="shared" si="98"/>
        <v/>
      </c>
      <c r="N461" t="str">
        <f t="shared" si="98"/>
        <v/>
      </c>
      <c r="O461" t="str">
        <f t="shared" si="98"/>
        <v/>
      </c>
      <c r="P461" t="str">
        <f t="shared" si="98"/>
        <v/>
      </c>
      <c r="Q461" t="str">
        <f t="shared" si="98"/>
        <v/>
      </c>
      <c r="R461" t="str">
        <f t="shared" si="98"/>
        <v/>
      </c>
      <c r="S461" t="str">
        <f t="shared" si="98"/>
        <v/>
      </c>
      <c r="T461" t="str">
        <f t="shared" si="98"/>
        <v/>
      </c>
      <c r="U461" t="str">
        <f t="shared" si="99"/>
        <v/>
      </c>
      <c r="V461" t="str">
        <f t="shared" si="99"/>
        <v/>
      </c>
      <c r="W461" t="str">
        <f t="shared" si="99"/>
        <v/>
      </c>
      <c r="X461" t="str">
        <f t="shared" si="99"/>
        <v/>
      </c>
      <c r="Y461" t="str">
        <f t="shared" si="99"/>
        <v/>
      </c>
      <c r="Z461" t="str">
        <f t="shared" si="99"/>
        <v/>
      </c>
      <c r="AA461" t="str">
        <f t="shared" si="99"/>
        <v/>
      </c>
      <c r="AB461" t="str">
        <f t="shared" si="99"/>
        <v/>
      </c>
      <c r="AC461">
        <f t="shared" si="97"/>
        <v>0</v>
      </c>
    </row>
    <row r="462" spans="1:29" x14ac:dyDescent="0.35">
      <c r="A462">
        <v>457</v>
      </c>
      <c r="B462" t="s">
        <v>12</v>
      </c>
      <c r="C462" t="s">
        <v>531</v>
      </c>
      <c r="D462" t="s">
        <v>532</v>
      </c>
      <c r="E462" t="s">
        <v>533</v>
      </c>
      <c r="F462" t="s">
        <v>315</v>
      </c>
      <c r="G462" t="s">
        <v>9</v>
      </c>
      <c r="H462">
        <v>1.9750000000000001</v>
      </c>
      <c r="I462">
        <v>2.7149999999999999</v>
      </c>
      <c r="J462" t="s">
        <v>6</v>
      </c>
      <c r="K462" t="str">
        <f t="shared" si="98"/>
        <v/>
      </c>
      <c r="L462" t="str">
        <f t="shared" si="98"/>
        <v/>
      </c>
      <c r="M462" t="str">
        <f t="shared" si="98"/>
        <v/>
      </c>
      <c r="N462" t="str">
        <f t="shared" si="98"/>
        <v/>
      </c>
      <c r="O462" t="str">
        <f t="shared" si="98"/>
        <v/>
      </c>
      <c r="P462" t="str">
        <f t="shared" si="98"/>
        <v/>
      </c>
      <c r="Q462" t="str">
        <f t="shared" si="98"/>
        <v/>
      </c>
      <c r="R462" t="str">
        <f t="shared" si="98"/>
        <v/>
      </c>
      <c r="S462" t="str">
        <f t="shared" si="98"/>
        <v/>
      </c>
      <c r="T462" t="str">
        <f t="shared" si="98"/>
        <v/>
      </c>
      <c r="U462" t="str">
        <f t="shared" si="99"/>
        <v/>
      </c>
      <c r="V462" t="str">
        <f t="shared" si="99"/>
        <v/>
      </c>
      <c r="W462" t="str">
        <f t="shared" si="99"/>
        <v/>
      </c>
      <c r="X462" t="str">
        <f t="shared" si="99"/>
        <v/>
      </c>
      <c r="Y462" t="str">
        <f t="shared" si="99"/>
        <v/>
      </c>
      <c r="Z462" t="str">
        <f t="shared" si="99"/>
        <v/>
      </c>
      <c r="AA462" t="str">
        <f t="shared" si="99"/>
        <v/>
      </c>
      <c r="AB462" t="str">
        <f t="shared" si="99"/>
        <v/>
      </c>
      <c r="AC462">
        <f t="shared" si="97"/>
        <v>0</v>
      </c>
    </row>
    <row r="463" spans="1:29" x14ac:dyDescent="0.35">
      <c r="A463">
        <v>458</v>
      </c>
      <c r="B463" t="s">
        <v>12</v>
      </c>
      <c r="C463" t="s">
        <v>344</v>
      </c>
      <c r="D463" t="s">
        <v>345</v>
      </c>
      <c r="E463" t="s">
        <v>389</v>
      </c>
      <c r="F463" t="s">
        <v>315</v>
      </c>
      <c r="G463" t="s">
        <v>9</v>
      </c>
      <c r="H463">
        <v>1.9750000000000001</v>
      </c>
      <c r="I463">
        <v>2.7149999999999999</v>
      </c>
      <c r="J463" t="s">
        <v>6</v>
      </c>
      <c r="K463" t="str">
        <f t="shared" si="98"/>
        <v/>
      </c>
      <c r="L463" t="str">
        <f t="shared" si="98"/>
        <v/>
      </c>
      <c r="M463" t="str">
        <f t="shared" si="98"/>
        <v/>
      </c>
      <c r="N463" t="str">
        <f t="shared" si="98"/>
        <v/>
      </c>
      <c r="O463" t="str">
        <f t="shared" si="98"/>
        <v/>
      </c>
      <c r="P463" t="str">
        <f t="shared" si="98"/>
        <v/>
      </c>
      <c r="Q463" t="str">
        <f t="shared" si="98"/>
        <v/>
      </c>
      <c r="R463" t="str">
        <f t="shared" si="98"/>
        <v/>
      </c>
      <c r="S463" t="str">
        <f t="shared" si="98"/>
        <v/>
      </c>
      <c r="T463" t="str">
        <f t="shared" si="98"/>
        <v/>
      </c>
      <c r="U463" t="str">
        <f t="shared" si="99"/>
        <v/>
      </c>
      <c r="V463" t="str">
        <f t="shared" si="99"/>
        <v/>
      </c>
      <c r="W463" t="str">
        <f t="shared" si="99"/>
        <v/>
      </c>
      <c r="X463" t="str">
        <f t="shared" si="99"/>
        <v/>
      </c>
      <c r="Y463" t="str">
        <f t="shared" si="99"/>
        <v/>
      </c>
      <c r="Z463" t="str">
        <f t="shared" si="99"/>
        <v/>
      </c>
      <c r="AA463" t="str">
        <f t="shared" si="99"/>
        <v/>
      </c>
      <c r="AB463" t="str">
        <f t="shared" si="99"/>
        <v/>
      </c>
      <c r="AC463">
        <f t="shared" si="97"/>
        <v>0</v>
      </c>
    </row>
    <row r="464" spans="1:29" x14ac:dyDescent="0.35">
      <c r="A464">
        <v>459</v>
      </c>
      <c r="B464" t="s">
        <v>12</v>
      </c>
      <c r="C464" t="s">
        <v>346</v>
      </c>
      <c r="D464" t="s">
        <v>347</v>
      </c>
      <c r="E464" t="s">
        <v>390</v>
      </c>
      <c r="F464" t="s">
        <v>315</v>
      </c>
      <c r="G464" t="s">
        <v>9</v>
      </c>
      <c r="H464">
        <v>1.9750000000000001</v>
      </c>
      <c r="I464">
        <v>2.7149999999999999</v>
      </c>
      <c r="J464" t="s">
        <v>6</v>
      </c>
      <c r="K464" t="str">
        <f t="shared" si="98"/>
        <v/>
      </c>
      <c r="L464" t="str">
        <f t="shared" si="98"/>
        <v/>
      </c>
      <c r="M464" t="str">
        <f t="shared" si="98"/>
        <v/>
      </c>
      <c r="N464" t="str">
        <f t="shared" si="98"/>
        <v/>
      </c>
      <c r="O464" t="str">
        <f t="shared" si="98"/>
        <v/>
      </c>
      <c r="P464" t="str">
        <f t="shared" si="98"/>
        <v/>
      </c>
      <c r="Q464" t="str">
        <f t="shared" si="98"/>
        <v/>
      </c>
      <c r="R464" t="str">
        <f t="shared" si="98"/>
        <v/>
      </c>
      <c r="S464" t="str">
        <f t="shared" si="98"/>
        <v/>
      </c>
      <c r="T464" t="str">
        <f t="shared" si="98"/>
        <v/>
      </c>
      <c r="U464" t="str">
        <f t="shared" si="99"/>
        <v/>
      </c>
      <c r="V464" t="str">
        <f t="shared" si="99"/>
        <v/>
      </c>
      <c r="W464" t="str">
        <f t="shared" si="99"/>
        <v/>
      </c>
      <c r="X464" t="str">
        <f t="shared" si="99"/>
        <v/>
      </c>
      <c r="Y464" t="str">
        <f t="shared" si="99"/>
        <v/>
      </c>
      <c r="Z464" t="str">
        <f t="shared" si="99"/>
        <v/>
      </c>
      <c r="AA464" t="str">
        <f t="shared" si="99"/>
        <v/>
      </c>
      <c r="AB464" t="str">
        <f t="shared" si="99"/>
        <v/>
      </c>
      <c r="AC464">
        <f t="shared" si="97"/>
        <v>0</v>
      </c>
    </row>
    <row r="465" spans="1:29" x14ac:dyDescent="0.35">
      <c r="A465">
        <v>460</v>
      </c>
      <c r="B465" t="s">
        <v>12</v>
      </c>
      <c r="C465" t="s">
        <v>464</v>
      </c>
      <c r="D465" t="s">
        <v>465</v>
      </c>
      <c r="E465" t="s">
        <v>466</v>
      </c>
      <c r="F465" t="s">
        <v>315</v>
      </c>
      <c r="G465" t="s">
        <v>9</v>
      </c>
      <c r="H465">
        <v>1.9750000000000001</v>
      </c>
      <c r="I465">
        <v>2.7149999999999999</v>
      </c>
      <c r="J465" t="s">
        <v>6</v>
      </c>
      <c r="K465" t="str">
        <f t="shared" si="98"/>
        <v/>
      </c>
      <c r="L465" t="str">
        <f t="shared" si="98"/>
        <v/>
      </c>
      <c r="M465" t="str">
        <f t="shared" si="98"/>
        <v/>
      </c>
      <c r="N465" t="str">
        <f t="shared" si="98"/>
        <v/>
      </c>
      <c r="O465" t="str">
        <f t="shared" si="98"/>
        <v/>
      </c>
      <c r="P465" t="str">
        <f t="shared" si="98"/>
        <v/>
      </c>
      <c r="Q465" t="str">
        <f t="shared" si="98"/>
        <v/>
      </c>
      <c r="R465" t="str">
        <f t="shared" si="98"/>
        <v/>
      </c>
      <c r="S465" t="str">
        <f t="shared" si="98"/>
        <v/>
      </c>
      <c r="T465" t="str">
        <f t="shared" si="98"/>
        <v/>
      </c>
      <c r="U465" t="str">
        <f t="shared" si="99"/>
        <v/>
      </c>
      <c r="V465" t="str">
        <f t="shared" si="99"/>
        <v/>
      </c>
      <c r="W465" t="str">
        <f t="shared" si="99"/>
        <v/>
      </c>
      <c r="X465" t="str">
        <f t="shared" si="99"/>
        <v/>
      </c>
      <c r="Y465" t="str">
        <f t="shared" si="99"/>
        <v/>
      </c>
      <c r="Z465" t="str">
        <f t="shared" si="99"/>
        <v/>
      </c>
      <c r="AA465" t="str">
        <f t="shared" si="99"/>
        <v/>
      </c>
      <c r="AB465" t="str">
        <f t="shared" si="99"/>
        <v/>
      </c>
      <c r="AC465">
        <f t="shared" si="97"/>
        <v>0</v>
      </c>
    </row>
    <row r="466" spans="1:29" x14ac:dyDescent="0.35">
      <c r="A466">
        <v>461</v>
      </c>
      <c r="B466" t="s">
        <v>12</v>
      </c>
      <c r="C466" t="s">
        <v>467</v>
      </c>
      <c r="D466" t="s">
        <v>468</v>
      </c>
      <c r="E466" t="s">
        <v>469</v>
      </c>
      <c r="F466" t="s">
        <v>315</v>
      </c>
      <c r="G466" t="s">
        <v>9</v>
      </c>
      <c r="H466">
        <v>1.9750000000000001</v>
      </c>
      <c r="I466">
        <v>2.7149999999999999</v>
      </c>
      <c r="J466" t="s">
        <v>6</v>
      </c>
      <c r="K466" t="str">
        <f t="shared" ref="K466:T475" si="100">IFERROR(IFERROR(IF(K$5=$K$1,VLOOKUP($A466,dormitorios,2,0),IF(K$5=$L$1,VLOOKUP($A466,comedor,2,0),IF(K$5=$M$1,VLOOKUP($A466,alojamiento,2,0),IF(K$5=$N$1,VLOOKUP($A466,sanidad,2,0),IF(K$5=$O$1,VLOOKUP($A466,servicios,2,0),IF(K$5=$P$1,VLOOKUP($A466,comyaloj,2,0),IF(K$5=$Q$1,VLOOKUP($A466,comandancia,2,0),IF(K$5=$R$1,VLOOKUP($A466,mantenimiento,2,0),IF(K$5=$S$1,VLOOKUP($A466,serestatal,2,0),IF(K$5=$T$1,VLOOKUP($A466,conferencias,2,0),"")))))))))),"")*K$3,"")</f>
        <v/>
      </c>
      <c r="L466" t="str">
        <f t="shared" si="100"/>
        <v/>
      </c>
      <c r="M466" t="str">
        <f t="shared" si="100"/>
        <v/>
      </c>
      <c r="N466" t="str">
        <f t="shared" si="100"/>
        <v/>
      </c>
      <c r="O466" t="str">
        <f t="shared" si="100"/>
        <v/>
      </c>
      <c r="P466" t="str">
        <f t="shared" si="100"/>
        <v/>
      </c>
      <c r="Q466" t="str">
        <f t="shared" si="100"/>
        <v/>
      </c>
      <c r="R466" t="str">
        <f t="shared" si="100"/>
        <v/>
      </c>
      <c r="S466" t="str">
        <f t="shared" si="100"/>
        <v/>
      </c>
      <c r="T466" t="str">
        <f t="shared" si="100"/>
        <v/>
      </c>
      <c r="U466" t="str">
        <f t="shared" ref="U466:AB475" si="101">IFERROR(IFERROR(IF(U$5=$K$1,VLOOKUP($A466,dormitorios,2,0),IF(U$5=$L$1,VLOOKUP($A466,comedor,2,0),IF(U$5=$M$1,VLOOKUP($A466,alojamiento,2,0),IF(U$5=$N$1,VLOOKUP($A466,sanidad,2,0),IF(U$5=$O$1,VLOOKUP($A466,servicios,2,0),IF(U$5=$P$1,VLOOKUP($A466,comyaloj,2,0),IF(U$5=$Q$1,VLOOKUP($A466,comandancia,2,0),IF(U$5=$R$1,VLOOKUP($A466,mantenimiento,2,0),IF(U$5=$S$1,VLOOKUP($A466,serestatal,2,0),IF(U$5=$T$1,VLOOKUP($A466,conferencias,2,0),"")))))))))),"")*U$3,"")</f>
        <v/>
      </c>
      <c r="V466" t="str">
        <f t="shared" si="101"/>
        <v/>
      </c>
      <c r="W466" t="str">
        <f t="shared" si="101"/>
        <v/>
      </c>
      <c r="X466" t="str">
        <f t="shared" si="101"/>
        <v/>
      </c>
      <c r="Y466" t="str">
        <f t="shared" si="101"/>
        <v/>
      </c>
      <c r="Z466" t="str">
        <f t="shared" si="101"/>
        <v/>
      </c>
      <c r="AA466" t="str">
        <f t="shared" si="101"/>
        <v/>
      </c>
      <c r="AB466" t="str">
        <f t="shared" si="101"/>
        <v/>
      </c>
      <c r="AC466">
        <f t="shared" si="97"/>
        <v>0</v>
      </c>
    </row>
    <row r="467" spans="1:29" x14ac:dyDescent="0.35">
      <c r="A467">
        <v>462</v>
      </c>
      <c r="B467" t="s">
        <v>12</v>
      </c>
      <c r="C467" t="s">
        <v>134</v>
      </c>
      <c r="D467" t="s">
        <v>268</v>
      </c>
      <c r="E467" t="s">
        <v>1</v>
      </c>
      <c r="F467" t="s">
        <v>135</v>
      </c>
      <c r="G467" t="s">
        <v>9</v>
      </c>
      <c r="H467">
        <v>1.9750000000000001</v>
      </c>
      <c r="I467">
        <v>2.7149999999999999</v>
      </c>
      <c r="J467" t="s">
        <v>6</v>
      </c>
      <c r="K467" t="str">
        <f t="shared" si="100"/>
        <v/>
      </c>
      <c r="L467" t="str">
        <f t="shared" si="100"/>
        <v/>
      </c>
      <c r="M467" t="str">
        <f t="shared" si="100"/>
        <v/>
      </c>
      <c r="N467" t="str">
        <f t="shared" si="100"/>
        <v/>
      </c>
      <c r="O467" t="str">
        <f t="shared" si="100"/>
        <v/>
      </c>
      <c r="P467" t="str">
        <f t="shared" si="100"/>
        <v/>
      </c>
      <c r="Q467" t="str">
        <f t="shared" si="100"/>
        <v/>
      </c>
      <c r="R467" t="str">
        <f t="shared" si="100"/>
        <v/>
      </c>
      <c r="S467" t="str">
        <f t="shared" si="100"/>
        <v/>
      </c>
      <c r="T467" t="str">
        <f t="shared" si="100"/>
        <v/>
      </c>
      <c r="U467" t="str">
        <f t="shared" si="101"/>
        <v/>
      </c>
      <c r="V467" t="str">
        <f t="shared" si="101"/>
        <v/>
      </c>
      <c r="W467" t="str">
        <f t="shared" si="101"/>
        <v/>
      </c>
      <c r="X467" t="str">
        <f t="shared" si="101"/>
        <v/>
      </c>
      <c r="Y467" t="str">
        <f t="shared" si="101"/>
        <v/>
      </c>
      <c r="Z467" t="str">
        <f t="shared" si="101"/>
        <v/>
      </c>
      <c r="AA467" t="str">
        <f t="shared" si="101"/>
        <v/>
      </c>
      <c r="AB467" t="str">
        <f t="shared" si="101"/>
        <v/>
      </c>
      <c r="AC467">
        <f t="shared" si="97"/>
        <v>0</v>
      </c>
    </row>
    <row r="468" spans="1:29" x14ac:dyDescent="0.35">
      <c r="A468">
        <v>463</v>
      </c>
      <c r="B468" t="s">
        <v>12</v>
      </c>
      <c r="C468" t="s">
        <v>1137</v>
      </c>
      <c r="D468" t="s">
        <v>1136</v>
      </c>
      <c r="E468" t="s">
        <v>1</v>
      </c>
      <c r="F468" t="s">
        <v>135</v>
      </c>
      <c r="G468" t="s">
        <v>9</v>
      </c>
      <c r="H468">
        <v>1.875</v>
      </c>
      <c r="I468">
        <v>4.3179999999999996</v>
      </c>
      <c r="J468" t="s">
        <v>6</v>
      </c>
      <c r="K468" t="str">
        <f t="shared" si="100"/>
        <v/>
      </c>
      <c r="L468" t="str">
        <f t="shared" si="100"/>
        <v/>
      </c>
      <c r="M468" t="str">
        <f t="shared" si="100"/>
        <v/>
      </c>
      <c r="N468" t="str">
        <f t="shared" si="100"/>
        <v/>
      </c>
      <c r="O468" t="str">
        <f t="shared" si="100"/>
        <v/>
      </c>
      <c r="P468" t="str">
        <f t="shared" si="100"/>
        <v/>
      </c>
      <c r="Q468" t="str">
        <f t="shared" si="100"/>
        <v/>
      </c>
      <c r="R468" t="str">
        <f t="shared" si="100"/>
        <v/>
      </c>
      <c r="S468" t="str">
        <f t="shared" si="100"/>
        <v/>
      </c>
      <c r="T468" t="str">
        <f t="shared" si="100"/>
        <v/>
      </c>
      <c r="U468" t="str">
        <f t="shared" si="101"/>
        <v/>
      </c>
      <c r="V468" t="str">
        <f t="shared" si="101"/>
        <v/>
      </c>
      <c r="W468" t="str">
        <f t="shared" si="101"/>
        <v/>
      </c>
      <c r="X468" t="str">
        <f t="shared" si="101"/>
        <v/>
      </c>
      <c r="Y468" t="str">
        <f t="shared" si="101"/>
        <v/>
      </c>
      <c r="Z468" t="str">
        <f t="shared" si="101"/>
        <v/>
      </c>
      <c r="AA468" t="str">
        <f t="shared" si="101"/>
        <v/>
      </c>
      <c r="AB468" t="str">
        <f t="shared" si="101"/>
        <v/>
      </c>
      <c r="AC468">
        <f t="shared" si="97"/>
        <v>0</v>
      </c>
    </row>
    <row r="469" spans="1:29" x14ac:dyDescent="0.35">
      <c r="A469">
        <v>464</v>
      </c>
      <c r="B469" t="s">
        <v>12</v>
      </c>
      <c r="C469" t="s">
        <v>1138</v>
      </c>
      <c r="D469" t="s">
        <v>1139</v>
      </c>
      <c r="E469" t="s">
        <v>1</v>
      </c>
      <c r="F469" t="s">
        <v>135</v>
      </c>
      <c r="G469" t="s">
        <v>9</v>
      </c>
      <c r="H469">
        <v>1.9750000000000001</v>
      </c>
      <c r="I469">
        <v>4.3179999999999996</v>
      </c>
      <c r="J469" t="s">
        <v>6</v>
      </c>
      <c r="K469" t="str">
        <f t="shared" si="100"/>
        <v/>
      </c>
      <c r="L469" t="str">
        <f t="shared" si="100"/>
        <v/>
      </c>
      <c r="M469" t="str">
        <f t="shared" si="100"/>
        <v/>
      </c>
      <c r="N469" t="str">
        <f t="shared" si="100"/>
        <v/>
      </c>
      <c r="O469" t="str">
        <f t="shared" si="100"/>
        <v/>
      </c>
      <c r="P469" t="str">
        <f t="shared" si="100"/>
        <v/>
      </c>
      <c r="Q469" t="str">
        <f t="shared" si="100"/>
        <v/>
      </c>
      <c r="R469" t="str">
        <f t="shared" si="100"/>
        <v/>
      </c>
      <c r="S469" t="str">
        <f t="shared" si="100"/>
        <v/>
      </c>
      <c r="T469" t="str">
        <f t="shared" si="100"/>
        <v/>
      </c>
      <c r="U469" t="str">
        <f t="shared" si="101"/>
        <v/>
      </c>
      <c r="V469" t="str">
        <f t="shared" si="101"/>
        <v/>
      </c>
      <c r="W469" t="str">
        <f t="shared" si="101"/>
        <v/>
      </c>
      <c r="X469" t="str">
        <f t="shared" si="101"/>
        <v/>
      </c>
      <c r="Y469" t="str">
        <f t="shared" si="101"/>
        <v/>
      </c>
      <c r="Z469" t="str">
        <f t="shared" si="101"/>
        <v/>
      </c>
      <c r="AA469" t="str">
        <f t="shared" si="101"/>
        <v/>
      </c>
      <c r="AB469" t="str">
        <f t="shared" si="101"/>
        <v/>
      </c>
      <c r="AC469">
        <f t="shared" si="97"/>
        <v>0</v>
      </c>
    </row>
    <row r="470" spans="1:29" x14ac:dyDescent="0.35">
      <c r="A470">
        <v>465</v>
      </c>
      <c r="B470" t="s">
        <v>12</v>
      </c>
      <c r="C470" t="s">
        <v>1140</v>
      </c>
      <c r="D470" t="s">
        <v>1141</v>
      </c>
      <c r="E470" t="s">
        <v>1</v>
      </c>
      <c r="F470" t="s">
        <v>135</v>
      </c>
      <c r="G470" t="s">
        <v>9</v>
      </c>
      <c r="H470">
        <v>2</v>
      </c>
      <c r="I470">
        <v>4.3179999999999996</v>
      </c>
      <c r="J470" t="s">
        <v>6</v>
      </c>
      <c r="K470" t="str">
        <f t="shared" si="100"/>
        <v/>
      </c>
      <c r="L470" t="str">
        <f t="shared" si="100"/>
        <v/>
      </c>
      <c r="M470" t="str">
        <f t="shared" si="100"/>
        <v/>
      </c>
      <c r="N470" t="str">
        <f t="shared" si="100"/>
        <v/>
      </c>
      <c r="O470" t="str">
        <f t="shared" si="100"/>
        <v/>
      </c>
      <c r="P470" t="str">
        <f t="shared" si="100"/>
        <v/>
      </c>
      <c r="Q470" t="str">
        <f t="shared" si="100"/>
        <v/>
      </c>
      <c r="R470" t="str">
        <f t="shared" si="100"/>
        <v/>
      </c>
      <c r="S470" t="str">
        <f t="shared" si="100"/>
        <v/>
      </c>
      <c r="T470" t="str">
        <f t="shared" si="100"/>
        <v/>
      </c>
      <c r="U470" t="str">
        <f t="shared" si="101"/>
        <v/>
      </c>
      <c r="V470" t="str">
        <f t="shared" si="101"/>
        <v/>
      </c>
      <c r="W470" t="str">
        <f t="shared" si="101"/>
        <v/>
      </c>
      <c r="X470" t="str">
        <f t="shared" si="101"/>
        <v/>
      </c>
      <c r="Y470" t="str">
        <f t="shared" si="101"/>
        <v/>
      </c>
      <c r="Z470" t="str">
        <f t="shared" si="101"/>
        <v/>
      </c>
      <c r="AA470" t="str">
        <f t="shared" si="101"/>
        <v/>
      </c>
      <c r="AB470" t="str">
        <f t="shared" si="101"/>
        <v/>
      </c>
      <c r="AC470">
        <f t="shared" si="97"/>
        <v>0</v>
      </c>
    </row>
    <row r="471" spans="1:29" x14ac:dyDescent="0.35">
      <c r="A471">
        <v>466</v>
      </c>
      <c r="B471" t="s">
        <v>12</v>
      </c>
      <c r="C471" t="s">
        <v>136</v>
      </c>
      <c r="D471" t="s">
        <v>276</v>
      </c>
      <c r="E471" t="s">
        <v>424</v>
      </c>
      <c r="F471" t="s">
        <v>135</v>
      </c>
      <c r="G471" t="s">
        <v>9</v>
      </c>
      <c r="H471">
        <v>1.9750000000000001</v>
      </c>
      <c r="I471">
        <v>2.7149999999999999</v>
      </c>
      <c r="J471" t="s">
        <v>6</v>
      </c>
      <c r="K471" t="str">
        <f t="shared" si="100"/>
        <v/>
      </c>
      <c r="L471" t="str">
        <f t="shared" si="100"/>
        <v/>
      </c>
      <c r="M471" t="str">
        <f t="shared" si="100"/>
        <v/>
      </c>
      <c r="N471" t="str">
        <f t="shared" si="100"/>
        <v/>
      </c>
      <c r="O471" t="str">
        <f t="shared" si="100"/>
        <v/>
      </c>
      <c r="P471" t="str">
        <f t="shared" si="100"/>
        <v/>
      </c>
      <c r="Q471" t="str">
        <f t="shared" si="100"/>
        <v/>
      </c>
      <c r="R471" t="str">
        <f t="shared" si="100"/>
        <v/>
      </c>
      <c r="S471" t="str">
        <f t="shared" si="100"/>
        <v/>
      </c>
      <c r="T471" t="str">
        <f t="shared" si="100"/>
        <v/>
      </c>
      <c r="U471" t="str">
        <f t="shared" si="101"/>
        <v/>
      </c>
      <c r="V471" t="str">
        <f t="shared" si="101"/>
        <v/>
      </c>
      <c r="W471" t="str">
        <f t="shared" si="101"/>
        <v/>
      </c>
      <c r="X471" t="str">
        <f t="shared" si="101"/>
        <v/>
      </c>
      <c r="Y471" t="str">
        <f t="shared" si="101"/>
        <v/>
      </c>
      <c r="Z471" t="str">
        <f t="shared" si="101"/>
        <v/>
      </c>
      <c r="AA471" t="str">
        <f t="shared" si="101"/>
        <v/>
      </c>
      <c r="AB471" t="str">
        <f t="shared" si="101"/>
        <v/>
      </c>
      <c r="AC471">
        <f t="shared" si="97"/>
        <v>0</v>
      </c>
    </row>
    <row r="472" spans="1:29" x14ac:dyDescent="0.35">
      <c r="A472">
        <v>467</v>
      </c>
      <c r="B472" t="s">
        <v>12</v>
      </c>
      <c r="C472" t="s">
        <v>413</v>
      </c>
      <c r="D472" t="s">
        <v>414</v>
      </c>
      <c r="E472" t="s">
        <v>305</v>
      </c>
      <c r="F472" t="s">
        <v>135</v>
      </c>
      <c r="G472" t="s">
        <v>9</v>
      </c>
      <c r="H472">
        <v>1.9750000000000001</v>
      </c>
      <c r="I472">
        <v>2.7149999999999999</v>
      </c>
      <c r="J472" t="s">
        <v>6</v>
      </c>
      <c r="K472" t="str">
        <f t="shared" si="100"/>
        <v/>
      </c>
      <c r="L472" t="str">
        <f t="shared" si="100"/>
        <v/>
      </c>
      <c r="M472" t="str">
        <f t="shared" si="100"/>
        <v/>
      </c>
      <c r="N472" t="str">
        <f t="shared" si="100"/>
        <v/>
      </c>
      <c r="O472" t="str">
        <f t="shared" si="100"/>
        <v/>
      </c>
      <c r="P472" t="str">
        <f t="shared" si="100"/>
        <v/>
      </c>
      <c r="Q472" t="str">
        <f t="shared" si="100"/>
        <v/>
      </c>
      <c r="R472" t="str">
        <f t="shared" si="100"/>
        <v/>
      </c>
      <c r="S472" t="str">
        <f t="shared" si="100"/>
        <v/>
      </c>
      <c r="T472" t="str">
        <f t="shared" si="100"/>
        <v/>
      </c>
      <c r="U472" t="str">
        <f t="shared" si="101"/>
        <v/>
      </c>
      <c r="V472" t="str">
        <f t="shared" si="101"/>
        <v/>
      </c>
      <c r="W472" t="str">
        <f t="shared" si="101"/>
        <v/>
      </c>
      <c r="X472" t="str">
        <f t="shared" si="101"/>
        <v/>
      </c>
      <c r="Y472" t="str">
        <f t="shared" si="101"/>
        <v/>
      </c>
      <c r="Z472" t="str">
        <f t="shared" si="101"/>
        <v/>
      </c>
      <c r="AA472" t="str">
        <f t="shared" si="101"/>
        <v/>
      </c>
      <c r="AB472" t="str">
        <f t="shared" si="101"/>
        <v/>
      </c>
      <c r="AC472">
        <f t="shared" si="97"/>
        <v>0</v>
      </c>
    </row>
    <row r="473" spans="1:29" x14ac:dyDescent="0.35">
      <c r="A473">
        <v>468</v>
      </c>
      <c r="B473" t="s">
        <v>12</v>
      </c>
      <c r="C473" t="s">
        <v>537</v>
      </c>
      <c r="D473" t="s">
        <v>538</v>
      </c>
      <c r="E473" t="s">
        <v>403</v>
      </c>
      <c r="F473" t="s">
        <v>135</v>
      </c>
      <c r="G473" t="s">
        <v>9</v>
      </c>
      <c r="H473">
        <v>1.9750000000000001</v>
      </c>
      <c r="I473">
        <v>2.7149999999999999</v>
      </c>
      <c r="J473" t="s">
        <v>6</v>
      </c>
      <c r="K473" t="str">
        <f t="shared" si="100"/>
        <v/>
      </c>
      <c r="L473" t="str">
        <f t="shared" si="100"/>
        <v/>
      </c>
      <c r="M473" t="str">
        <f t="shared" si="100"/>
        <v/>
      </c>
      <c r="N473" t="str">
        <f t="shared" si="100"/>
        <v/>
      </c>
      <c r="O473" t="str">
        <f t="shared" si="100"/>
        <v/>
      </c>
      <c r="P473" t="str">
        <f t="shared" si="100"/>
        <v/>
      </c>
      <c r="Q473" t="str">
        <f t="shared" si="100"/>
        <v/>
      </c>
      <c r="R473" t="str">
        <f t="shared" si="100"/>
        <v/>
      </c>
      <c r="S473" t="str">
        <f t="shared" si="100"/>
        <v/>
      </c>
      <c r="T473" t="str">
        <f t="shared" si="100"/>
        <v/>
      </c>
      <c r="U473" t="str">
        <f t="shared" si="101"/>
        <v/>
      </c>
      <c r="V473" t="str">
        <f t="shared" si="101"/>
        <v/>
      </c>
      <c r="W473" t="str">
        <f t="shared" si="101"/>
        <v/>
      </c>
      <c r="X473" t="str">
        <f t="shared" si="101"/>
        <v/>
      </c>
      <c r="Y473" t="str">
        <f t="shared" si="101"/>
        <v/>
      </c>
      <c r="Z473" t="str">
        <f t="shared" si="101"/>
        <v/>
      </c>
      <c r="AA473" t="str">
        <f t="shared" si="101"/>
        <v/>
      </c>
      <c r="AB473" t="str">
        <f t="shared" si="101"/>
        <v/>
      </c>
      <c r="AC473">
        <f t="shared" si="97"/>
        <v>0</v>
      </c>
    </row>
    <row r="474" spans="1:29" x14ac:dyDescent="0.35">
      <c r="A474">
        <v>469</v>
      </c>
      <c r="B474" t="s">
        <v>12</v>
      </c>
      <c r="C474" t="s">
        <v>539</v>
      </c>
      <c r="D474" t="s">
        <v>540</v>
      </c>
      <c r="E474" t="s">
        <v>26</v>
      </c>
      <c r="F474" t="s">
        <v>135</v>
      </c>
      <c r="G474" t="s">
        <v>9</v>
      </c>
      <c r="H474">
        <v>1.9750000000000001</v>
      </c>
      <c r="I474">
        <v>2.7149999999999999</v>
      </c>
      <c r="J474" t="s">
        <v>6</v>
      </c>
      <c r="K474" t="str">
        <f t="shared" si="100"/>
        <v/>
      </c>
      <c r="L474" t="str">
        <f t="shared" si="100"/>
        <v/>
      </c>
      <c r="M474" t="str">
        <f t="shared" si="100"/>
        <v/>
      </c>
      <c r="N474" t="str">
        <f t="shared" si="100"/>
        <v/>
      </c>
      <c r="O474" t="str">
        <f t="shared" si="100"/>
        <v/>
      </c>
      <c r="P474" t="str">
        <f t="shared" si="100"/>
        <v/>
      </c>
      <c r="Q474" t="str">
        <f t="shared" si="100"/>
        <v/>
      </c>
      <c r="R474" t="str">
        <f t="shared" si="100"/>
        <v/>
      </c>
      <c r="S474" t="str">
        <f t="shared" si="100"/>
        <v/>
      </c>
      <c r="T474" t="str">
        <f t="shared" si="100"/>
        <v/>
      </c>
      <c r="U474" t="str">
        <f t="shared" si="101"/>
        <v/>
      </c>
      <c r="V474" t="str">
        <f t="shared" si="101"/>
        <v/>
      </c>
      <c r="W474" t="str">
        <f t="shared" si="101"/>
        <v/>
      </c>
      <c r="X474" t="str">
        <f t="shared" si="101"/>
        <v/>
      </c>
      <c r="Y474" t="str">
        <f t="shared" si="101"/>
        <v/>
      </c>
      <c r="Z474" t="str">
        <f t="shared" si="101"/>
        <v/>
      </c>
      <c r="AA474" t="str">
        <f t="shared" si="101"/>
        <v/>
      </c>
      <c r="AB474" t="str">
        <f t="shared" si="101"/>
        <v/>
      </c>
      <c r="AC474">
        <f t="shared" si="97"/>
        <v>0</v>
      </c>
    </row>
    <row r="475" spans="1:29" x14ac:dyDescent="0.35">
      <c r="A475">
        <v>470</v>
      </c>
      <c r="B475" t="s">
        <v>12</v>
      </c>
      <c r="C475" t="s">
        <v>421</v>
      </c>
      <c r="D475" t="s">
        <v>415</v>
      </c>
      <c r="E475" t="s">
        <v>416</v>
      </c>
      <c r="F475" t="s">
        <v>135</v>
      </c>
      <c r="G475" t="s">
        <v>9</v>
      </c>
      <c r="H475">
        <v>1.9750000000000001</v>
      </c>
      <c r="I475">
        <v>2.7149999999999999</v>
      </c>
      <c r="J475" t="s">
        <v>6</v>
      </c>
      <c r="K475" t="str">
        <f t="shared" si="100"/>
        <v/>
      </c>
      <c r="L475" t="str">
        <f t="shared" si="100"/>
        <v/>
      </c>
      <c r="M475" t="str">
        <f t="shared" si="100"/>
        <v/>
      </c>
      <c r="N475" t="str">
        <f t="shared" si="100"/>
        <v/>
      </c>
      <c r="O475" t="str">
        <f t="shared" si="100"/>
        <v/>
      </c>
      <c r="P475" t="str">
        <f t="shared" si="100"/>
        <v/>
      </c>
      <c r="Q475" t="str">
        <f t="shared" si="100"/>
        <v/>
      </c>
      <c r="R475" t="str">
        <f t="shared" si="100"/>
        <v/>
      </c>
      <c r="S475" t="str">
        <f t="shared" si="100"/>
        <v/>
      </c>
      <c r="T475" t="str">
        <f t="shared" si="100"/>
        <v/>
      </c>
      <c r="U475" t="str">
        <f t="shared" si="101"/>
        <v/>
      </c>
      <c r="V475" t="str">
        <f t="shared" si="101"/>
        <v/>
      </c>
      <c r="W475" t="str">
        <f t="shared" si="101"/>
        <v/>
      </c>
      <c r="X475" t="str">
        <f t="shared" si="101"/>
        <v/>
      </c>
      <c r="Y475" t="str">
        <f t="shared" si="101"/>
        <v/>
      </c>
      <c r="Z475" t="str">
        <f t="shared" si="101"/>
        <v/>
      </c>
      <c r="AA475" t="str">
        <f t="shared" si="101"/>
        <v/>
      </c>
      <c r="AB475" t="str">
        <f t="shared" si="101"/>
        <v/>
      </c>
      <c r="AC475">
        <f t="shared" si="97"/>
        <v>0</v>
      </c>
    </row>
    <row r="476" spans="1:29" x14ac:dyDescent="0.35">
      <c r="A476">
        <v>471</v>
      </c>
      <c r="B476" t="s">
        <v>12</v>
      </c>
      <c r="C476" t="s">
        <v>422</v>
      </c>
      <c r="D476" t="s">
        <v>417</v>
      </c>
      <c r="E476" t="s">
        <v>418</v>
      </c>
      <c r="F476" t="s">
        <v>135</v>
      </c>
      <c r="G476" t="s">
        <v>9</v>
      </c>
      <c r="H476">
        <v>1.9750000000000001</v>
      </c>
      <c r="I476">
        <v>2.7149999999999999</v>
      </c>
      <c r="J476" t="s">
        <v>6</v>
      </c>
      <c r="K476" t="str">
        <f t="shared" ref="K476:T485" si="102">IFERROR(IFERROR(IF(K$5=$K$1,VLOOKUP($A476,dormitorios,2,0),IF(K$5=$L$1,VLOOKUP($A476,comedor,2,0),IF(K$5=$M$1,VLOOKUP($A476,alojamiento,2,0),IF(K$5=$N$1,VLOOKUP($A476,sanidad,2,0),IF(K$5=$O$1,VLOOKUP($A476,servicios,2,0),IF(K$5=$P$1,VLOOKUP($A476,comyaloj,2,0),IF(K$5=$Q$1,VLOOKUP($A476,comandancia,2,0),IF(K$5=$R$1,VLOOKUP($A476,mantenimiento,2,0),IF(K$5=$S$1,VLOOKUP($A476,serestatal,2,0),IF(K$5=$T$1,VLOOKUP($A476,conferencias,2,0),"")))))))))),"")*K$3,"")</f>
        <v/>
      </c>
      <c r="L476" t="str">
        <f t="shared" si="102"/>
        <v/>
      </c>
      <c r="M476" t="str">
        <f t="shared" si="102"/>
        <v/>
      </c>
      <c r="N476" t="str">
        <f t="shared" si="102"/>
        <v/>
      </c>
      <c r="O476" t="str">
        <f t="shared" si="102"/>
        <v/>
      </c>
      <c r="P476" t="str">
        <f t="shared" si="102"/>
        <v/>
      </c>
      <c r="Q476" t="str">
        <f t="shared" si="102"/>
        <v/>
      </c>
      <c r="R476" t="str">
        <f t="shared" si="102"/>
        <v/>
      </c>
      <c r="S476" t="str">
        <f t="shared" si="102"/>
        <v/>
      </c>
      <c r="T476" t="str">
        <f t="shared" si="102"/>
        <v/>
      </c>
      <c r="U476" t="str">
        <f t="shared" ref="U476:AB485" si="103">IFERROR(IFERROR(IF(U$5=$K$1,VLOOKUP($A476,dormitorios,2,0),IF(U$5=$L$1,VLOOKUP($A476,comedor,2,0),IF(U$5=$M$1,VLOOKUP($A476,alojamiento,2,0),IF(U$5=$N$1,VLOOKUP($A476,sanidad,2,0),IF(U$5=$O$1,VLOOKUP($A476,servicios,2,0),IF(U$5=$P$1,VLOOKUP($A476,comyaloj,2,0),IF(U$5=$Q$1,VLOOKUP($A476,comandancia,2,0),IF(U$5=$R$1,VLOOKUP($A476,mantenimiento,2,0),IF(U$5=$S$1,VLOOKUP($A476,serestatal,2,0),IF(U$5=$T$1,VLOOKUP($A476,conferencias,2,0),"")))))))))),"")*U$3,"")</f>
        <v/>
      </c>
      <c r="V476" t="str">
        <f t="shared" si="103"/>
        <v/>
      </c>
      <c r="W476" t="str">
        <f t="shared" si="103"/>
        <v/>
      </c>
      <c r="X476" t="str">
        <f t="shared" si="103"/>
        <v/>
      </c>
      <c r="Y476" t="str">
        <f t="shared" si="103"/>
        <v/>
      </c>
      <c r="Z476" t="str">
        <f t="shared" si="103"/>
        <v/>
      </c>
      <c r="AA476" t="str">
        <f t="shared" si="103"/>
        <v/>
      </c>
      <c r="AB476" t="str">
        <f t="shared" si="103"/>
        <v/>
      </c>
      <c r="AC476">
        <f t="shared" si="97"/>
        <v>0</v>
      </c>
    </row>
    <row r="477" spans="1:29" x14ac:dyDescent="0.35">
      <c r="A477">
        <v>472</v>
      </c>
      <c r="B477" t="s">
        <v>12</v>
      </c>
      <c r="C477" t="s">
        <v>541</v>
      </c>
      <c r="D477" t="s">
        <v>542</v>
      </c>
      <c r="E477" t="s">
        <v>543</v>
      </c>
      <c r="F477" t="s">
        <v>135</v>
      </c>
      <c r="G477" t="s">
        <v>9</v>
      </c>
      <c r="H477">
        <v>1.9750000000000001</v>
      </c>
      <c r="I477">
        <v>2.7149999999999999</v>
      </c>
      <c r="J477" t="s">
        <v>6</v>
      </c>
      <c r="K477" t="str">
        <f t="shared" si="102"/>
        <v/>
      </c>
      <c r="L477" t="str">
        <f t="shared" si="102"/>
        <v/>
      </c>
      <c r="M477" t="str">
        <f t="shared" si="102"/>
        <v/>
      </c>
      <c r="N477" t="str">
        <f t="shared" si="102"/>
        <v/>
      </c>
      <c r="O477" t="str">
        <f t="shared" si="102"/>
        <v/>
      </c>
      <c r="P477" t="str">
        <f t="shared" si="102"/>
        <v/>
      </c>
      <c r="Q477" t="str">
        <f t="shared" si="102"/>
        <v/>
      </c>
      <c r="R477" t="str">
        <f t="shared" si="102"/>
        <v/>
      </c>
      <c r="S477" t="str">
        <f t="shared" si="102"/>
        <v/>
      </c>
      <c r="T477" t="str">
        <f t="shared" si="102"/>
        <v/>
      </c>
      <c r="U477" t="str">
        <f t="shared" si="103"/>
        <v/>
      </c>
      <c r="V477" t="str">
        <f t="shared" si="103"/>
        <v/>
      </c>
      <c r="W477" t="str">
        <f t="shared" si="103"/>
        <v/>
      </c>
      <c r="X477" t="str">
        <f t="shared" si="103"/>
        <v/>
      </c>
      <c r="Y477" t="str">
        <f t="shared" si="103"/>
        <v/>
      </c>
      <c r="Z477" t="str">
        <f t="shared" si="103"/>
        <v/>
      </c>
      <c r="AA477" t="str">
        <f t="shared" si="103"/>
        <v/>
      </c>
      <c r="AB477" t="str">
        <f t="shared" si="103"/>
        <v/>
      </c>
      <c r="AC477">
        <f t="shared" si="97"/>
        <v>0</v>
      </c>
    </row>
    <row r="478" spans="1:29" x14ac:dyDescent="0.35">
      <c r="A478">
        <v>473</v>
      </c>
      <c r="B478" t="s">
        <v>12</v>
      </c>
      <c r="C478" t="s">
        <v>1073</v>
      </c>
      <c r="D478" t="s">
        <v>1072</v>
      </c>
      <c r="E478" t="s">
        <v>1074</v>
      </c>
      <c r="F478" t="s">
        <v>135</v>
      </c>
      <c r="G478" t="s">
        <v>9</v>
      </c>
      <c r="H478">
        <v>1.9750000000000001</v>
      </c>
      <c r="I478">
        <v>2.7149999999999999</v>
      </c>
      <c r="J478" t="s">
        <v>6</v>
      </c>
      <c r="K478" t="str">
        <f t="shared" si="102"/>
        <v/>
      </c>
      <c r="L478" t="str">
        <f t="shared" si="102"/>
        <v/>
      </c>
      <c r="M478" t="str">
        <f t="shared" si="102"/>
        <v/>
      </c>
      <c r="N478" t="str">
        <f t="shared" si="102"/>
        <v/>
      </c>
      <c r="O478" t="str">
        <f t="shared" si="102"/>
        <v/>
      </c>
      <c r="P478" t="str">
        <f t="shared" si="102"/>
        <v/>
      </c>
      <c r="Q478" t="str">
        <f t="shared" si="102"/>
        <v/>
      </c>
      <c r="R478" t="str">
        <f t="shared" si="102"/>
        <v/>
      </c>
      <c r="S478" t="str">
        <f t="shared" si="102"/>
        <v/>
      </c>
      <c r="T478" t="str">
        <f t="shared" si="102"/>
        <v/>
      </c>
      <c r="U478" t="str">
        <f t="shared" si="103"/>
        <v/>
      </c>
      <c r="V478" t="str">
        <f t="shared" si="103"/>
        <v/>
      </c>
      <c r="W478" t="str">
        <f t="shared" si="103"/>
        <v/>
      </c>
      <c r="X478" t="str">
        <f t="shared" si="103"/>
        <v/>
      </c>
      <c r="Y478" t="str">
        <f t="shared" si="103"/>
        <v/>
      </c>
      <c r="Z478" t="str">
        <f t="shared" si="103"/>
        <v/>
      </c>
      <c r="AA478" t="str">
        <f t="shared" si="103"/>
        <v/>
      </c>
      <c r="AB478" t="str">
        <f t="shared" si="103"/>
        <v/>
      </c>
      <c r="AC478">
        <f t="shared" si="97"/>
        <v>0</v>
      </c>
    </row>
    <row r="479" spans="1:29" x14ac:dyDescent="0.35">
      <c r="A479">
        <v>474</v>
      </c>
      <c r="B479" t="s">
        <v>12</v>
      </c>
      <c r="C479" t="s">
        <v>544</v>
      </c>
      <c r="D479" t="s">
        <v>545</v>
      </c>
      <c r="E479" t="s">
        <v>389</v>
      </c>
      <c r="F479" t="s">
        <v>135</v>
      </c>
      <c r="G479" t="s">
        <v>9</v>
      </c>
      <c r="H479">
        <v>1.9750000000000001</v>
      </c>
      <c r="I479">
        <v>2.7149999999999999</v>
      </c>
      <c r="J479" t="s">
        <v>6</v>
      </c>
      <c r="K479" t="str">
        <f t="shared" si="102"/>
        <v/>
      </c>
      <c r="L479" t="str">
        <f t="shared" si="102"/>
        <v/>
      </c>
      <c r="M479" t="str">
        <f t="shared" si="102"/>
        <v/>
      </c>
      <c r="N479" t="str">
        <f t="shared" si="102"/>
        <v/>
      </c>
      <c r="O479" t="str">
        <f t="shared" si="102"/>
        <v/>
      </c>
      <c r="P479" t="str">
        <f t="shared" si="102"/>
        <v/>
      </c>
      <c r="Q479" t="str">
        <f t="shared" si="102"/>
        <v/>
      </c>
      <c r="R479" t="str">
        <f t="shared" si="102"/>
        <v/>
      </c>
      <c r="S479" t="str">
        <f t="shared" si="102"/>
        <v/>
      </c>
      <c r="T479" t="str">
        <f t="shared" si="102"/>
        <v/>
      </c>
      <c r="U479" t="str">
        <f t="shared" si="103"/>
        <v/>
      </c>
      <c r="V479" t="str">
        <f t="shared" si="103"/>
        <v/>
      </c>
      <c r="W479" t="str">
        <f t="shared" si="103"/>
        <v/>
      </c>
      <c r="X479" t="str">
        <f t="shared" si="103"/>
        <v/>
      </c>
      <c r="Y479" t="str">
        <f t="shared" si="103"/>
        <v/>
      </c>
      <c r="Z479" t="str">
        <f t="shared" si="103"/>
        <v/>
      </c>
      <c r="AA479" t="str">
        <f t="shared" si="103"/>
        <v/>
      </c>
      <c r="AB479" t="str">
        <f t="shared" si="103"/>
        <v/>
      </c>
      <c r="AC479">
        <f t="shared" si="97"/>
        <v>0</v>
      </c>
    </row>
    <row r="480" spans="1:29" x14ac:dyDescent="0.35">
      <c r="A480">
        <v>475</v>
      </c>
      <c r="B480" t="s">
        <v>12</v>
      </c>
      <c r="C480" t="s">
        <v>546</v>
      </c>
      <c r="D480" t="s">
        <v>547</v>
      </c>
      <c r="E480" t="s">
        <v>390</v>
      </c>
      <c r="F480" t="s">
        <v>135</v>
      </c>
      <c r="G480" t="s">
        <v>9</v>
      </c>
      <c r="H480">
        <v>1.9750000000000001</v>
      </c>
      <c r="I480">
        <v>2.7149999999999999</v>
      </c>
      <c r="J480" t="s">
        <v>6</v>
      </c>
      <c r="K480" t="str">
        <f t="shared" si="102"/>
        <v/>
      </c>
      <c r="L480" t="str">
        <f t="shared" si="102"/>
        <v/>
      </c>
      <c r="M480" t="str">
        <f t="shared" si="102"/>
        <v/>
      </c>
      <c r="N480" t="str">
        <f t="shared" si="102"/>
        <v/>
      </c>
      <c r="O480" t="str">
        <f t="shared" si="102"/>
        <v/>
      </c>
      <c r="P480" t="str">
        <f t="shared" si="102"/>
        <v/>
      </c>
      <c r="Q480" t="str">
        <f t="shared" si="102"/>
        <v/>
      </c>
      <c r="R480" t="str">
        <f t="shared" si="102"/>
        <v/>
      </c>
      <c r="S480" t="str">
        <f t="shared" si="102"/>
        <v/>
      </c>
      <c r="T480" t="str">
        <f t="shared" si="102"/>
        <v/>
      </c>
      <c r="U480" t="str">
        <f t="shared" si="103"/>
        <v/>
      </c>
      <c r="V480" t="str">
        <f t="shared" si="103"/>
        <v/>
      </c>
      <c r="W480" t="str">
        <f t="shared" si="103"/>
        <v/>
      </c>
      <c r="X480" t="str">
        <f t="shared" si="103"/>
        <v/>
      </c>
      <c r="Y480" t="str">
        <f t="shared" si="103"/>
        <v/>
      </c>
      <c r="Z480" t="str">
        <f t="shared" si="103"/>
        <v/>
      </c>
      <c r="AA480" t="str">
        <f t="shared" si="103"/>
        <v/>
      </c>
      <c r="AB480" t="str">
        <f t="shared" si="103"/>
        <v/>
      </c>
      <c r="AC480">
        <f t="shared" si="97"/>
        <v>0</v>
      </c>
    </row>
    <row r="481" spans="1:29" x14ac:dyDescent="0.35">
      <c r="A481">
        <v>476</v>
      </c>
      <c r="B481" t="s">
        <v>12</v>
      </c>
      <c r="C481" t="s">
        <v>1204</v>
      </c>
      <c r="D481" t="s">
        <v>1199</v>
      </c>
      <c r="E481" t="s">
        <v>1</v>
      </c>
      <c r="F481" t="s">
        <v>1135</v>
      </c>
      <c r="G481" t="s">
        <v>9</v>
      </c>
      <c r="H481">
        <v>1.9750000000000001</v>
      </c>
      <c r="I481">
        <v>2.7149999999999999</v>
      </c>
      <c r="J481" t="s">
        <v>6</v>
      </c>
      <c r="K481" t="str">
        <f t="shared" si="102"/>
        <v/>
      </c>
      <c r="L481" t="str">
        <f t="shared" si="102"/>
        <v/>
      </c>
      <c r="M481" t="str">
        <f t="shared" si="102"/>
        <v/>
      </c>
      <c r="N481" t="str">
        <f t="shared" si="102"/>
        <v/>
      </c>
      <c r="O481" t="str">
        <f t="shared" si="102"/>
        <v/>
      </c>
      <c r="P481" t="str">
        <f t="shared" si="102"/>
        <v/>
      </c>
      <c r="Q481" t="str">
        <f t="shared" si="102"/>
        <v/>
      </c>
      <c r="R481" t="str">
        <f t="shared" si="102"/>
        <v/>
      </c>
      <c r="S481" t="str">
        <f t="shared" si="102"/>
        <v/>
      </c>
      <c r="T481" t="str">
        <f t="shared" si="102"/>
        <v/>
      </c>
      <c r="U481" t="str">
        <f t="shared" si="103"/>
        <v/>
      </c>
      <c r="V481" t="str">
        <f t="shared" si="103"/>
        <v/>
      </c>
      <c r="W481" t="str">
        <f t="shared" si="103"/>
        <v/>
      </c>
      <c r="X481" t="str">
        <f t="shared" si="103"/>
        <v/>
      </c>
      <c r="Y481" t="str">
        <f t="shared" si="103"/>
        <v/>
      </c>
      <c r="Z481" t="str">
        <f t="shared" si="103"/>
        <v/>
      </c>
      <c r="AA481" t="str">
        <f t="shared" si="103"/>
        <v/>
      </c>
      <c r="AB481" t="str">
        <f t="shared" si="103"/>
        <v/>
      </c>
      <c r="AC481">
        <f t="shared" si="97"/>
        <v>0</v>
      </c>
    </row>
    <row r="482" spans="1:29" x14ac:dyDescent="0.35">
      <c r="A482">
        <v>477</v>
      </c>
      <c r="B482" t="s">
        <v>12</v>
      </c>
      <c r="C482" t="s">
        <v>1203</v>
      </c>
      <c r="D482" t="s">
        <v>1200</v>
      </c>
      <c r="E482" t="s">
        <v>1</v>
      </c>
      <c r="F482" t="s">
        <v>1135</v>
      </c>
      <c r="G482" t="s">
        <v>9</v>
      </c>
      <c r="H482">
        <v>1.05</v>
      </c>
      <c r="I482">
        <v>2.7149999999999999</v>
      </c>
      <c r="J482" t="s">
        <v>6</v>
      </c>
      <c r="K482" t="str">
        <f t="shared" si="102"/>
        <v/>
      </c>
      <c r="L482" t="str">
        <f t="shared" si="102"/>
        <v/>
      </c>
      <c r="M482" t="str">
        <f t="shared" si="102"/>
        <v/>
      </c>
      <c r="N482" t="str">
        <f t="shared" si="102"/>
        <v/>
      </c>
      <c r="O482" t="str">
        <f t="shared" si="102"/>
        <v/>
      </c>
      <c r="P482" t="str">
        <f t="shared" si="102"/>
        <v/>
      </c>
      <c r="Q482" t="str">
        <f t="shared" si="102"/>
        <v/>
      </c>
      <c r="R482" t="str">
        <f t="shared" si="102"/>
        <v/>
      </c>
      <c r="S482" t="str">
        <f t="shared" si="102"/>
        <v/>
      </c>
      <c r="T482" t="str">
        <f t="shared" si="102"/>
        <v/>
      </c>
      <c r="U482" t="str">
        <f t="shared" si="103"/>
        <v/>
      </c>
      <c r="V482" t="str">
        <f t="shared" si="103"/>
        <v/>
      </c>
      <c r="W482" t="str">
        <f t="shared" si="103"/>
        <v/>
      </c>
      <c r="X482" t="str">
        <f t="shared" si="103"/>
        <v/>
      </c>
      <c r="Y482" t="str">
        <f t="shared" si="103"/>
        <v/>
      </c>
      <c r="Z482" t="str">
        <f t="shared" si="103"/>
        <v/>
      </c>
      <c r="AA482" t="str">
        <f t="shared" si="103"/>
        <v/>
      </c>
      <c r="AB482" t="str">
        <f t="shared" si="103"/>
        <v/>
      </c>
      <c r="AC482">
        <f t="shared" si="97"/>
        <v>0</v>
      </c>
    </row>
    <row r="483" spans="1:29" x14ac:dyDescent="0.35">
      <c r="A483">
        <v>478</v>
      </c>
      <c r="B483" t="s">
        <v>12</v>
      </c>
      <c r="C483" t="s">
        <v>1202</v>
      </c>
      <c r="D483" t="s">
        <v>1201</v>
      </c>
      <c r="E483" t="s">
        <v>1</v>
      </c>
      <c r="F483" t="s">
        <v>1135</v>
      </c>
      <c r="G483" t="s">
        <v>9</v>
      </c>
      <c r="H483">
        <v>1.9750000000000001</v>
      </c>
      <c r="I483">
        <v>2.7149999999999999</v>
      </c>
      <c r="J483" t="s">
        <v>6</v>
      </c>
      <c r="K483" t="str">
        <f t="shared" si="102"/>
        <v/>
      </c>
      <c r="L483" t="str">
        <f t="shared" si="102"/>
        <v/>
      </c>
      <c r="M483" t="str">
        <f t="shared" si="102"/>
        <v/>
      </c>
      <c r="N483" t="str">
        <f t="shared" si="102"/>
        <v/>
      </c>
      <c r="O483" t="str">
        <f t="shared" si="102"/>
        <v/>
      </c>
      <c r="P483" t="str">
        <f t="shared" si="102"/>
        <v/>
      </c>
      <c r="Q483" t="str">
        <f t="shared" si="102"/>
        <v/>
      </c>
      <c r="R483" t="str">
        <f t="shared" si="102"/>
        <v/>
      </c>
      <c r="S483" t="str">
        <f t="shared" si="102"/>
        <v/>
      </c>
      <c r="T483" t="str">
        <f t="shared" si="102"/>
        <v/>
      </c>
      <c r="U483" t="str">
        <f t="shared" si="103"/>
        <v/>
      </c>
      <c r="V483" t="str">
        <f t="shared" si="103"/>
        <v/>
      </c>
      <c r="W483" t="str">
        <f t="shared" si="103"/>
        <v/>
      </c>
      <c r="X483" t="str">
        <f t="shared" si="103"/>
        <v/>
      </c>
      <c r="Y483" t="str">
        <f t="shared" si="103"/>
        <v/>
      </c>
      <c r="Z483" t="str">
        <f t="shared" si="103"/>
        <v/>
      </c>
      <c r="AA483" t="str">
        <f t="shared" si="103"/>
        <v/>
      </c>
      <c r="AB483" t="str">
        <f t="shared" si="103"/>
        <v/>
      </c>
      <c r="AC483">
        <f t="shared" si="97"/>
        <v>0</v>
      </c>
    </row>
    <row r="484" spans="1:29" x14ac:dyDescent="0.35">
      <c r="A484">
        <v>479</v>
      </c>
      <c r="B484" t="s">
        <v>12</v>
      </c>
      <c r="C484" t="s">
        <v>1217</v>
      </c>
      <c r="D484" t="s">
        <v>1218</v>
      </c>
      <c r="E484" t="s">
        <v>1</v>
      </c>
      <c r="F484" t="s">
        <v>1135</v>
      </c>
      <c r="G484" t="s">
        <v>9</v>
      </c>
      <c r="H484">
        <v>1.9750000000000001</v>
      </c>
      <c r="I484">
        <v>3</v>
      </c>
      <c r="J484" t="s">
        <v>6</v>
      </c>
      <c r="K484" t="str">
        <f t="shared" si="102"/>
        <v/>
      </c>
      <c r="L484" t="str">
        <f t="shared" si="102"/>
        <v/>
      </c>
      <c r="M484" t="str">
        <f t="shared" si="102"/>
        <v/>
      </c>
      <c r="N484" t="str">
        <f t="shared" si="102"/>
        <v/>
      </c>
      <c r="O484" t="str">
        <f t="shared" si="102"/>
        <v/>
      </c>
      <c r="P484" t="str">
        <f t="shared" si="102"/>
        <v/>
      </c>
      <c r="Q484" t="str">
        <f t="shared" si="102"/>
        <v/>
      </c>
      <c r="R484" t="str">
        <f t="shared" si="102"/>
        <v/>
      </c>
      <c r="S484" t="str">
        <f t="shared" si="102"/>
        <v/>
      </c>
      <c r="T484" t="str">
        <f t="shared" si="102"/>
        <v/>
      </c>
      <c r="U484" t="str">
        <f t="shared" si="103"/>
        <v/>
      </c>
      <c r="V484" t="str">
        <f t="shared" si="103"/>
        <v/>
      </c>
      <c r="W484" t="str">
        <f t="shared" si="103"/>
        <v/>
      </c>
      <c r="X484" t="str">
        <f t="shared" si="103"/>
        <v/>
      </c>
      <c r="Y484" t="str">
        <f t="shared" si="103"/>
        <v/>
      </c>
      <c r="Z484" t="str">
        <f t="shared" si="103"/>
        <v/>
      </c>
      <c r="AA484" t="str">
        <f t="shared" si="103"/>
        <v/>
      </c>
      <c r="AB484" t="str">
        <f t="shared" si="103"/>
        <v/>
      </c>
      <c r="AC484">
        <f t="shared" si="97"/>
        <v>0</v>
      </c>
    </row>
    <row r="485" spans="1:29" x14ac:dyDescent="0.35">
      <c r="A485">
        <v>480</v>
      </c>
      <c r="B485" t="s">
        <v>12</v>
      </c>
      <c r="C485" t="s">
        <v>1208</v>
      </c>
      <c r="D485" t="s">
        <v>1205</v>
      </c>
      <c r="E485" t="s">
        <v>1206</v>
      </c>
      <c r="F485" t="s">
        <v>1135</v>
      </c>
      <c r="G485" t="s">
        <v>9</v>
      </c>
      <c r="H485">
        <v>1.9750000000000001</v>
      </c>
      <c r="I485">
        <v>2.7149999999999999</v>
      </c>
      <c r="J485" t="s">
        <v>6</v>
      </c>
      <c r="K485" t="str">
        <f t="shared" si="102"/>
        <v/>
      </c>
      <c r="L485" t="str">
        <f t="shared" si="102"/>
        <v/>
      </c>
      <c r="M485" t="str">
        <f t="shared" si="102"/>
        <v/>
      </c>
      <c r="N485" t="str">
        <f t="shared" si="102"/>
        <v/>
      </c>
      <c r="O485" t="str">
        <f t="shared" si="102"/>
        <v/>
      </c>
      <c r="P485" t="str">
        <f t="shared" si="102"/>
        <v/>
      </c>
      <c r="Q485" t="str">
        <f t="shared" si="102"/>
        <v/>
      </c>
      <c r="R485" t="str">
        <f t="shared" si="102"/>
        <v/>
      </c>
      <c r="S485" t="str">
        <f t="shared" si="102"/>
        <v/>
      </c>
      <c r="T485" t="str">
        <f t="shared" si="102"/>
        <v/>
      </c>
      <c r="U485" t="str">
        <f t="shared" si="103"/>
        <v/>
      </c>
      <c r="V485" t="str">
        <f t="shared" si="103"/>
        <v/>
      </c>
      <c r="W485" t="str">
        <f t="shared" si="103"/>
        <v/>
      </c>
      <c r="X485" t="str">
        <f t="shared" si="103"/>
        <v/>
      </c>
      <c r="Y485" t="str">
        <f t="shared" si="103"/>
        <v/>
      </c>
      <c r="Z485" t="str">
        <f t="shared" si="103"/>
        <v/>
      </c>
      <c r="AA485" t="str">
        <f t="shared" si="103"/>
        <v/>
      </c>
      <c r="AB485" t="str">
        <f t="shared" si="103"/>
        <v/>
      </c>
      <c r="AC485">
        <f t="shared" si="97"/>
        <v>0</v>
      </c>
    </row>
    <row r="486" spans="1:29" x14ac:dyDescent="0.35">
      <c r="A486">
        <v>481</v>
      </c>
      <c r="B486" t="s">
        <v>12</v>
      </c>
      <c r="C486" t="s">
        <v>1209</v>
      </c>
      <c r="D486" t="s">
        <v>1207</v>
      </c>
      <c r="E486" t="s">
        <v>1210</v>
      </c>
      <c r="F486" t="s">
        <v>1135</v>
      </c>
      <c r="G486" t="s">
        <v>9</v>
      </c>
      <c r="H486">
        <v>1.9750000000000001</v>
      </c>
      <c r="I486">
        <v>2.7149999999999999</v>
      </c>
      <c r="J486" t="s">
        <v>6</v>
      </c>
      <c r="K486" t="str">
        <f t="shared" ref="K486:T492" si="104">IFERROR(IFERROR(IF(K$5=$K$1,VLOOKUP($A486,dormitorios,2,0),IF(K$5=$L$1,VLOOKUP($A486,comedor,2,0),IF(K$5=$M$1,VLOOKUP($A486,alojamiento,2,0),IF(K$5=$N$1,VLOOKUP($A486,sanidad,2,0),IF(K$5=$O$1,VLOOKUP($A486,servicios,2,0),IF(K$5=$P$1,VLOOKUP($A486,comyaloj,2,0),IF(K$5=$Q$1,VLOOKUP($A486,comandancia,2,0),IF(K$5=$R$1,VLOOKUP($A486,mantenimiento,2,0),IF(K$5=$S$1,VLOOKUP($A486,serestatal,2,0),IF(K$5=$T$1,VLOOKUP($A486,conferencias,2,0),"")))))))))),"")*K$3,"")</f>
        <v/>
      </c>
      <c r="L486" t="str">
        <f t="shared" si="104"/>
        <v/>
      </c>
      <c r="M486" t="str">
        <f t="shared" si="104"/>
        <v/>
      </c>
      <c r="N486" t="str">
        <f t="shared" si="104"/>
        <v/>
      </c>
      <c r="O486" t="str">
        <f t="shared" si="104"/>
        <v/>
      </c>
      <c r="P486" t="str">
        <f t="shared" si="104"/>
        <v/>
      </c>
      <c r="Q486" t="str">
        <f t="shared" si="104"/>
        <v/>
      </c>
      <c r="R486" t="str">
        <f t="shared" si="104"/>
        <v/>
      </c>
      <c r="S486" t="str">
        <f t="shared" si="104"/>
        <v/>
      </c>
      <c r="T486" t="str">
        <f t="shared" si="104"/>
        <v/>
      </c>
      <c r="U486" t="str">
        <f t="shared" ref="U486:AB492" si="105">IFERROR(IFERROR(IF(U$5=$K$1,VLOOKUP($A486,dormitorios,2,0),IF(U$5=$L$1,VLOOKUP($A486,comedor,2,0),IF(U$5=$M$1,VLOOKUP($A486,alojamiento,2,0),IF(U$5=$N$1,VLOOKUP($A486,sanidad,2,0),IF(U$5=$O$1,VLOOKUP($A486,servicios,2,0),IF(U$5=$P$1,VLOOKUP($A486,comyaloj,2,0),IF(U$5=$Q$1,VLOOKUP($A486,comandancia,2,0),IF(U$5=$R$1,VLOOKUP($A486,mantenimiento,2,0),IF(U$5=$S$1,VLOOKUP($A486,serestatal,2,0),IF(U$5=$T$1,VLOOKUP($A486,conferencias,2,0),"")))))))))),"")*U$3,"")</f>
        <v/>
      </c>
      <c r="V486" t="str">
        <f t="shared" si="105"/>
        <v/>
      </c>
      <c r="W486" t="str">
        <f t="shared" si="105"/>
        <v/>
      </c>
      <c r="X486" t="str">
        <f t="shared" si="105"/>
        <v/>
      </c>
      <c r="Y486" t="str">
        <f t="shared" si="105"/>
        <v/>
      </c>
      <c r="Z486" t="str">
        <f t="shared" si="105"/>
        <v/>
      </c>
      <c r="AA486" t="str">
        <f t="shared" si="105"/>
        <v/>
      </c>
      <c r="AB486" t="str">
        <f t="shared" si="105"/>
        <v/>
      </c>
      <c r="AC486">
        <f t="shared" si="97"/>
        <v>0</v>
      </c>
    </row>
    <row r="487" spans="1:29" x14ac:dyDescent="0.35">
      <c r="A487">
        <v>482</v>
      </c>
      <c r="B487" t="s">
        <v>12</v>
      </c>
      <c r="C487" t="s">
        <v>1211</v>
      </c>
      <c r="D487" t="s">
        <v>1212</v>
      </c>
      <c r="E487" t="s">
        <v>1213</v>
      </c>
      <c r="F487" t="s">
        <v>1135</v>
      </c>
      <c r="G487" t="s">
        <v>9</v>
      </c>
      <c r="H487">
        <v>1.9750000000000001</v>
      </c>
      <c r="I487">
        <v>2.7149999999999999</v>
      </c>
      <c r="J487" t="s">
        <v>6</v>
      </c>
      <c r="K487" t="str">
        <f t="shared" si="104"/>
        <v/>
      </c>
      <c r="L487" t="str">
        <f t="shared" si="104"/>
        <v/>
      </c>
      <c r="M487" t="str">
        <f t="shared" si="104"/>
        <v/>
      </c>
      <c r="N487" t="str">
        <f t="shared" si="104"/>
        <v/>
      </c>
      <c r="O487" t="str">
        <f t="shared" si="104"/>
        <v/>
      </c>
      <c r="P487" t="str">
        <f t="shared" si="104"/>
        <v/>
      </c>
      <c r="Q487" t="str">
        <f t="shared" si="104"/>
        <v/>
      </c>
      <c r="R487" t="str">
        <f t="shared" si="104"/>
        <v/>
      </c>
      <c r="S487" t="str">
        <f t="shared" si="104"/>
        <v/>
      </c>
      <c r="T487" t="str">
        <f t="shared" si="104"/>
        <v/>
      </c>
      <c r="U487" t="str">
        <f t="shared" si="105"/>
        <v/>
      </c>
      <c r="V487" t="str">
        <f t="shared" si="105"/>
        <v/>
      </c>
      <c r="W487" t="str">
        <f t="shared" si="105"/>
        <v/>
      </c>
      <c r="X487" t="str">
        <f t="shared" si="105"/>
        <v/>
      </c>
      <c r="Y487" t="str">
        <f t="shared" si="105"/>
        <v/>
      </c>
      <c r="Z487" t="str">
        <f t="shared" si="105"/>
        <v/>
      </c>
      <c r="AA487" t="str">
        <f t="shared" si="105"/>
        <v/>
      </c>
      <c r="AB487" t="str">
        <f t="shared" si="105"/>
        <v/>
      </c>
      <c r="AC487">
        <f t="shared" si="97"/>
        <v>0</v>
      </c>
    </row>
    <row r="488" spans="1:29" x14ac:dyDescent="0.35">
      <c r="A488">
        <v>483</v>
      </c>
      <c r="B488" t="s">
        <v>12</v>
      </c>
      <c r="C488" t="s">
        <v>1219</v>
      </c>
      <c r="D488" t="s">
        <v>1222</v>
      </c>
      <c r="E488" t="s">
        <v>1206</v>
      </c>
      <c r="F488" t="s">
        <v>1135</v>
      </c>
      <c r="G488" t="s">
        <v>9</v>
      </c>
      <c r="H488">
        <v>1.9750000000000001</v>
      </c>
      <c r="I488">
        <v>3</v>
      </c>
      <c r="J488" t="s">
        <v>6</v>
      </c>
      <c r="K488" t="str">
        <f t="shared" si="104"/>
        <v/>
      </c>
      <c r="L488" t="str">
        <f t="shared" si="104"/>
        <v/>
      </c>
      <c r="M488" t="str">
        <f t="shared" si="104"/>
        <v/>
      </c>
      <c r="N488" t="str">
        <f t="shared" si="104"/>
        <v/>
      </c>
      <c r="O488" t="str">
        <f t="shared" si="104"/>
        <v/>
      </c>
      <c r="P488" t="str">
        <f t="shared" si="104"/>
        <v/>
      </c>
      <c r="Q488" t="str">
        <f t="shared" si="104"/>
        <v/>
      </c>
      <c r="R488" t="str">
        <f t="shared" si="104"/>
        <v/>
      </c>
      <c r="S488" t="str">
        <f t="shared" si="104"/>
        <v/>
      </c>
      <c r="T488" t="str">
        <f t="shared" si="104"/>
        <v/>
      </c>
      <c r="U488" t="str">
        <f t="shared" si="105"/>
        <v/>
      </c>
      <c r="V488" t="str">
        <f t="shared" si="105"/>
        <v/>
      </c>
      <c r="W488" t="str">
        <f t="shared" si="105"/>
        <v/>
      </c>
      <c r="X488" t="str">
        <f t="shared" si="105"/>
        <v/>
      </c>
      <c r="Y488" t="str">
        <f t="shared" si="105"/>
        <v/>
      </c>
      <c r="Z488" t="str">
        <f t="shared" si="105"/>
        <v/>
      </c>
      <c r="AA488" t="str">
        <f t="shared" si="105"/>
        <v/>
      </c>
      <c r="AB488" t="str">
        <f t="shared" si="105"/>
        <v/>
      </c>
      <c r="AC488">
        <f t="shared" si="97"/>
        <v>0</v>
      </c>
    </row>
    <row r="489" spans="1:29" x14ac:dyDescent="0.35">
      <c r="A489">
        <v>484</v>
      </c>
      <c r="B489" t="s">
        <v>12</v>
      </c>
      <c r="C489" t="s">
        <v>1220</v>
      </c>
      <c r="D489" t="s">
        <v>1223</v>
      </c>
      <c r="E489" t="s">
        <v>1210</v>
      </c>
      <c r="F489" t="s">
        <v>1135</v>
      </c>
      <c r="G489" t="s">
        <v>9</v>
      </c>
      <c r="H489">
        <v>1.9750000000000001</v>
      </c>
      <c r="I489">
        <v>3</v>
      </c>
      <c r="J489" t="s">
        <v>6</v>
      </c>
      <c r="K489" t="str">
        <f t="shared" si="104"/>
        <v/>
      </c>
      <c r="L489" t="str">
        <f t="shared" si="104"/>
        <v/>
      </c>
      <c r="M489" t="str">
        <f t="shared" si="104"/>
        <v/>
      </c>
      <c r="N489" t="str">
        <f t="shared" si="104"/>
        <v/>
      </c>
      <c r="O489" t="str">
        <f t="shared" si="104"/>
        <v/>
      </c>
      <c r="P489" t="str">
        <f t="shared" si="104"/>
        <v/>
      </c>
      <c r="Q489" t="str">
        <f t="shared" si="104"/>
        <v/>
      </c>
      <c r="R489" t="str">
        <f t="shared" si="104"/>
        <v/>
      </c>
      <c r="S489" t="str">
        <f t="shared" si="104"/>
        <v/>
      </c>
      <c r="T489" t="str">
        <f t="shared" si="104"/>
        <v/>
      </c>
      <c r="U489" t="str">
        <f t="shared" si="105"/>
        <v/>
      </c>
      <c r="V489" t="str">
        <f t="shared" si="105"/>
        <v/>
      </c>
      <c r="W489" t="str">
        <f t="shared" si="105"/>
        <v/>
      </c>
      <c r="X489" t="str">
        <f t="shared" si="105"/>
        <v/>
      </c>
      <c r="Y489" t="str">
        <f t="shared" si="105"/>
        <v/>
      </c>
      <c r="Z489" t="str">
        <f t="shared" si="105"/>
        <v/>
      </c>
      <c r="AA489" t="str">
        <f t="shared" si="105"/>
        <v/>
      </c>
      <c r="AB489" t="str">
        <f t="shared" si="105"/>
        <v/>
      </c>
      <c r="AC489">
        <f t="shared" si="97"/>
        <v>0</v>
      </c>
    </row>
    <row r="490" spans="1:29" x14ac:dyDescent="0.35">
      <c r="A490">
        <v>485</v>
      </c>
      <c r="B490" t="s">
        <v>12</v>
      </c>
      <c r="C490" t="s">
        <v>1221</v>
      </c>
      <c r="D490" t="s">
        <v>1224</v>
      </c>
      <c r="E490" t="s">
        <v>1213</v>
      </c>
      <c r="F490" t="s">
        <v>1135</v>
      </c>
      <c r="G490" t="s">
        <v>9</v>
      </c>
      <c r="H490">
        <v>1.9750000000000001</v>
      </c>
      <c r="I490">
        <v>3</v>
      </c>
      <c r="J490" t="s">
        <v>6</v>
      </c>
      <c r="K490" t="str">
        <f t="shared" si="104"/>
        <v/>
      </c>
      <c r="L490" t="str">
        <f t="shared" si="104"/>
        <v/>
      </c>
      <c r="M490" t="str">
        <f t="shared" si="104"/>
        <v/>
      </c>
      <c r="N490" t="str">
        <f t="shared" si="104"/>
        <v/>
      </c>
      <c r="O490" t="str">
        <f t="shared" si="104"/>
        <v/>
      </c>
      <c r="P490" t="str">
        <f t="shared" si="104"/>
        <v/>
      </c>
      <c r="Q490" t="str">
        <f t="shared" si="104"/>
        <v/>
      </c>
      <c r="R490" t="str">
        <f t="shared" si="104"/>
        <v/>
      </c>
      <c r="S490" t="str">
        <f t="shared" si="104"/>
        <v/>
      </c>
      <c r="T490" t="str">
        <f t="shared" si="104"/>
        <v/>
      </c>
      <c r="U490" t="str">
        <f t="shared" si="105"/>
        <v/>
      </c>
      <c r="V490" t="str">
        <f t="shared" si="105"/>
        <v/>
      </c>
      <c r="W490" t="str">
        <f t="shared" si="105"/>
        <v/>
      </c>
      <c r="X490" t="str">
        <f t="shared" si="105"/>
        <v/>
      </c>
      <c r="Y490" t="str">
        <f t="shared" si="105"/>
        <v/>
      </c>
      <c r="Z490" t="str">
        <f t="shared" si="105"/>
        <v/>
      </c>
      <c r="AA490" t="str">
        <f t="shared" si="105"/>
        <v/>
      </c>
      <c r="AB490" t="str">
        <f t="shared" si="105"/>
        <v/>
      </c>
      <c r="AC490">
        <f t="shared" si="97"/>
        <v>0</v>
      </c>
    </row>
    <row r="491" spans="1:29" x14ac:dyDescent="0.35">
      <c r="A491">
        <v>486</v>
      </c>
      <c r="B491" t="s">
        <v>12</v>
      </c>
      <c r="C491" t="s">
        <v>1214</v>
      </c>
      <c r="D491" t="s">
        <v>1215</v>
      </c>
      <c r="E491" t="s">
        <v>1216</v>
      </c>
      <c r="F491" t="s">
        <v>1135</v>
      </c>
      <c r="G491" t="s">
        <v>9</v>
      </c>
      <c r="H491">
        <v>1.9750000000000001</v>
      </c>
      <c r="I491">
        <v>2.7149999999999999</v>
      </c>
      <c r="J491" t="s">
        <v>6</v>
      </c>
      <c r="K491" t="str">
        <f t="shared" si="104"/>
        <v/>
      </c>
      <c r="L491" t="str">
        <f t="shared" si="104"/>
        <v/>
      </c>
      <c r="M491" t="str">
        <f t="shared" si="104"/>
        <v/>
      </c>
      <c r="N491" t="str">
        <f t="shared" si="104"/>
        <v/>
      </c>
      <c r="O491" t="str">
        <f t="shared" si="104"/>
        <v/>
      </c>
      <c r="P491" t="str">
        <f t="shared" si="104"/>
        <v/>
      </c>
      <c r="Q491" t="str">
        <f t="shared" si="104"/>
        <v/>
      </c>
      <c r="R491" t="str">
        <f t="shared" si="104"/>
        <v/>
      </c>
      <c r="S491" t="str">
        <f t="shared" si="104"/>
        <v/>
      </c>
      <c r="T491" t="str">
        <f t="shared" si="104"/>
        <v/>
      </c>
      <c r="U491" t="str">
        <f t="shared" si="105"/>
        <v/>
      </c>
      <c r="V491" t="str">
        <f t="shared" si="105"/>
        <v/>
      </c>
      <c r="W491" t="str">
        <f t="shared" si="105"/>
        <v/>
      </c>
      <c r="X491" t="str">
        <f t="shared" si="105"/>
        <v/>
      </c>
      <c r="Y491" t="str">
        <f t="shared" si="105"/>
        <v/>
      </c>
      <c r="Z491" t="str">
        <f t="shared" si="105"/>
        <v/>
      </c>
      <c r="AA491" t="str">
        <f t="shared" si="105"/>
        <v/>
      </c>
      <c r="AB491" t="str">
        <f t="shared" si="105"/>
        <v/>
      </c>
      <c r="AC491">
        <f t="shared" si="97"/>
        <v>0</v>
      </c>
    </row>
    <row r="492" spans="1:29" x14ac:dyDescent="0.35">
      <c r="A492">
        <v>487</v>
      </c>
      <c r="B492" t="s">
        <v>12</v>
      </c>
      <c r="C492" t="s">
        <v>1225</v>
      </c>
      <c r="D492" t="s">
        <v>1226</v>
      </c>
      <c r="E492" t="s">
        <v>1216</v>
      </c>
      <c r="F492" t="s">
        <v>1135</v>
      </c>
      <c r="G492" t="s">
        <v>9</v>
      </c>
      <c r="H492">
        <v>1.9750000000000001</v>
      </c>
      <c r="I492">
        <v>3</v>
      </c>
      <c r="J492" t="s">
        <v>6</v>
      </c>
      <c r="K492" t="str">
        <f t="shared" si="104"/>
        <v/>
      </c>
      <c r="L492" t="str">
        <f t="shared" si="104"/>
        <v/>
      </c>
      <c r="M492" t="str">
        <f t="shared" si="104"/>
        <v/>
      </c>
      <c r="N492" t="str">
        <f t="shared" si="104"/>
        <v/>
      </c>
      <c r="O492" t="str">
        <f t="shared" si="104"/>
        <v/>
      </c>
      <c r="P492" t="str">
        <f t="shared" si="104"/>
        <v/>
      </c>
      <c r="Q492" t="str">
        <f t="shared" si="104"/>
        <v/>
      </c>
      <c r="R492" t="str">
        <f t="shared" si="104"/>
        <v/>
      </c>
      <c r="S492" t="str">
        <f t="shared" si="104"/>
        <v/>
      </c>
      <c r="T492" t="str">
        <f t="shared" si="104"/>
        <v/>
      </c>
      <c r="U492" t="str">
        <f t="shared" si="105"/>
        <v/>
      </c>
      <c r="V492" t="str">
        <f t="shared" si="105"/>
        <v/>
      </c>
      <c r="W492" t="str">
        <f t="shared" si="105"/>
        <v/>
      </c>
      <c r="X492" t="str">
        <f t="shared" si="105"/>
        <v/>
      </c>
      <c r="Y492" t="str">
        <f t="shared" si="105"/>
        <v/>
      </c>
      <c r="Z492" t="str">
        <f t="shared" si="105"/>
        <v/>
      </c>
      <c r="AA492" t="str">
        <f t="shared" si="105"/>
        <v/>
      </c>
      <c r="AB492" t="str">
        <f t="shared" si="105"/>
        <v/>
      </c>
      <c r="AC492">
        <f t="shared" si="97"/>
        <v>0</v>
      </c>
    </row>
    <row r="496" spans="1:29" x14ac:dyDescent="0.35">
      <c r="B496" t="s">
        <v>13</v>
      </c>
      <c r="K496">
        <f t="shared" ref="K496:T496" si="106">SUM(K6:K480)</f>
        <v>408</v>
      </c>
      <c r="L496">
        <f t="shared" si="106"/>
        <v>198</v>
      </c>
      <c r="M496">
        <f t="shared" si="106"/>
        <v>412</v>
      </c>
      <c r="N496">
        <f t="shared" si="106"/>
        <v>0</v>
      </c>
      <c r="O496">
        <f t="shared" si="106"/>
        <v>0</v>
      </c>
      <c r="P496">
        <f t="shared" si="106"/>
        <v>0</v>
      </c>
      <c r="Q496">
        <f t="shared" si="106"/>
        <v>0</v>
      </c>
      <c r="R496">
        <f t="shared" si="106"/>
        <v>0</v>
      </c>
      <c r="S496">
        <f t="shared" si="106"/>
        <v>0</v>
      </c>
      <c r="T496">
        <f t="shared" si="106"/>
        <v>0</v>
      </c>
      <c r="V496">
        <f>SUM(V6:V480)</f>
        <v>0</v>
      </c>
      <c r="W496">
        <f>SUM(W6:W480)</f>
        <v>0</v>
      </c>
      <c r="X496">
        <f>SUM(X6:X480)</f>
        <v>0</v>
      </c>
      <c r="Y496">
        <f>SUM(Y6:Y492)</f>
        <v>0</v>
      </c>
      <c r="Z496">
        <f>SUM(Z6:Z492)</f>
        <v>0</v>
      </c>
      <c r="AA496">
        <f>SUM(AA6:AA492)</f>
        <v>0</v>
      </c>
      <c r="AB496">
        <f>SUM(AB6:AB492)</f>
        <v>0</v>
      </c>
      <c r="AC496">
        <f t="shared" si="97"/>
        <v>1018</v>
      </c>
    </row>
    <row r="497" spans="2:29" x14ac:dyDescent="0.35">
      <c r="B497" t="s">
        <v>187</v>
      </c>
      <c r="K497">
        <f>SUM(K6:K363)</f>
        <v>174</v>
      </c>
      <c r="L497">
        <f t="shared" ref="L497:S497" si="107">SUM(L6:L360)</f>
        <v>72</v>
      </c>
      <c r="M497">
        <f t="shared" si="107"/>
        <v>204</v>
      </c>
      <c r="N497">
        <f t="shared" si="107"/>
        <v>0</v>
      </c>
      <c r="O497">
        <f t="shared" si="107"/>
        <v>0</v>
      </c>
      <c r="P497">
        <f t="shared" si="107"/>
        <v>0</v>
      </c>
      <c r="Q497">
        <f t="shared" si="107"/>
        <v>0</v>
      </c>
      <c r="R497">
        <f t="shared" si="107"/>
        <v>0</v>
      </c>
      <c r="S497">
        <f t="shared" si="107"/>
        <v>0</v>
      </c>
      <c r="T497">
        <f>SUM(T6:T363)</f>
        <v>0</v>
      </c>
      <c r="V497">
        <f>SUM(V6:V360)</f>
        <v>0</v>
      </c>
      <c r="W497">
        <f>SUM(W6:W367)</f>
        <v>0</v>
      </c>
      <c r="X497">
        <f>SUM(X6:X363)</f>
        <v>0</v>
      </c>
      <c r="Y497">
        <f>SUM(Y6:Y367)</f>
        <v>0</v>
      </c>
      <c r="Z497">
        <f>SUM(Z6:Z367)</f>
        <v>0</v>
      </c>
      <c r="AA497">
        <f>SUM(AA6:AA367)</f>
        <v>0</v>
      </c>
      <c r="AB497">
        <f>SUM(AB6:AB367)</f>
        <v>0</v>
      </c>
      <c r="AC497">
        <f t="shared" si="97"/>
        <v>450</v>
      </c>
    </row>
    <row r="498" spans="2:29" x14ac:dyDescent="0.35">
      <c r="B498" t="s">
        <v>188</v>
      </c>
      <c r="K498">
        <f t="shared" ref="K498:T498" si="108">SUM(K370:K480)</f>
        <v>234</v>
      </c>
      <c r="L498">
        <f t="shared" si="108"/>
        <v>120</v>
      </c>
      <c r="M498">
        <f t="shared" si="108"/>
        <v>200</v>
      </c>
      <c r="N498">
        <f t="shared" si="108"/>
        <v>0</v>
      </c>
      <c r="O498">
        <f t="shared" si="108"/>
        <v>0</v>
      </c>
      <c r="P498">
        <f t="shared" si="108"/>
        <v>0</v>
      </c>
      <c r="Q498">
        <f t="shared" si="108"/>
        <v>0</v>
      </c>
      <c r="R498">
        <f t="shared" si="108"/>
        <v>0</v>
      </c>
      <c r="S498">
        <f t="shared" si="108"/>
        <v>0</v>
      </c>
      <c r="T498">
        <f t="shared" si="108"/>
        <v>0</v>
      </c>
      <c r="V498">
        <f>SUM(V370:V480)</f>
        <v>0</v>
      </c>
      <c r="W498">
        <f>SUM(W370:W480)</f>
        <v>0</v>
      </c>
      <c r="X498">
        <f>SUM(X370:X480)</f>
        <v>0</v>
      </c>
      <c r="Y498">
        <f>SUM(Y370:Y492)</f>
        <v>0</v>
      </c>
      <c r="Z498">
        <f>SUM(Z370:Z492)</f>
        <v>0</v>
      </c>
      <c r="AA498">
        <f>SUM(AA370:AA492)</f>
        <v>0</v>
      </c>
      <c r="AB498">
        <f>SUM(AB370:AB492)</f>
        <v>0</v>
      </c>
      <c r="AC498">
        <f t="shared" si="97"/>
        <v>554</v>
      </c>
    </row>
    <row r="499" spans="2:29" x14ac:dyDescent="0.35">
      <c r="E499" t="s">
        <v>60</v>
      </c>
      <c r="J499" t="s">
        <v>6</v>
      </c>
      <c r="K499">
        <f t="shared" ref="K499:T499" si="109">208*K496</f>
        <v>84864</v>
      </c>
      <c r="L499">
        <f t="shared" si="109"/>
        <v>41184</v>
      </c>
      <c r="M499">
        <f t="shared" si="109"/>
        <v>85696</v>
      </c>
      <c r="N499">
        <f t="shared" si="109"/>
        <v>0</v>
      </c>
      <c r="O499">
        <f t="shared" si="109"/>
        <v>0</v>
      </c>
      <c r="P499">
        <f t="shared" si="109"/>
        <v>0</v>
      </c>
      <c r="Q499">
        <f t="shared" si="109"/>
        <v>0</v>
      </c>
      <c r="R499">
        <f t="shared" si="109"/>
        <v>0</v>
      </c>
      <c r="S499">
        <f t="shared" si="109"/>
        <v>0</v>
      </c>
      <c r="T499">
        <f t="shared" si="109"/>
        <v>0</v>
      </c>
      <c r="V499">
        <f t="shared" ref="V499:AB499" si="110">208*V496</f>
        <v>0</v>
      </c>
      <c r="W499">
        <f t="shared" si="110"/>
        <v>0</v>
      </c>
      <c r="X499">
        <f t="shared" si="110"/>
        <v>0</v>
      </c>
      <c r="Y499">
        <f t="shared" si="110"/>
        <v>0</v>
      </c>
      <c r="Z499">
        <f t="shared" si="110"/>
        <v>0</v>
      </c>
      <c r="AA499">
        <f t="shared" si="110"/>
        <v>0</v>
      </c>
      <c r="AB499">
        <f t="shared" si="110"/>
        <v>0</v>
      </c>
      <c r="AC499">
        <f t="shared" si="97"/>
        <v>211744</v>
      </c>
    </row>
    <row r="500" spans="2:29" x14ac:dyDescent="0.35">
      <c r="E500" t="s">
        <v>119</v>
      </c>
      <c r="J500" t="s">
        <v>6</v>
      </c>
      <c r="K500" t="e">
        <f t="shared" ref="K500:T500" si="111">60*K496+(19.55*K569)</f>
        <v>#REF!</v>
      </c>
      <c r="L500" t="e">
        <f t="shared" si="111"/>
        <v>#REF!</v>
      </c>
      <c r="M500" t="e">
        <f t="shared" si="111"/>
        <v>#REF!</v>
      </c>
      <c r="N500" t="e">
        <f t="shared" si="111"/>
        <v>#REF!</v>
      </c>
      <c r="O500" t="e">
        <f t="shared" si="111"/>
        <v>#REF!</v>
      </c>
      <c r="P500" t="e">
        <f t="shared" si="111"/>
        <v>#REF!</v>
      </c>
      <c r="Q500" t="e">
        <f t="shared" si="111"/>
        <v>#REF!</v>
      </c>
      <c r="R500" t="e">
        <f t="shared" si="111"/>
        <v>#REF!</v>
      </c>
      <c r="S500" t="e">
        <f t="shared" si="111"/>
        <v>#REF!</v>
      </c>
      <c r="T500" t="e">
        <f t="shared" si="111"/>
        <v>#REF!</v>
      </c>
      <c r="V500" t="e">
        <f t="shared" ref="V500:AB500" si="112">60*V496+(19.55*V569)</f>
        <v>#REF!</v>
      </c>
      <c r="W500" t="e">
        <f t="shared" si="112"/>
        <v>#REF!</v>
      </c>
      <c r="X500" t="e">
        <f t="shared" si="112"/>
        <v>#REF!</v>
      </c>
      <c r="Y500" t="e">
        <f t="shared" si="112"/>
        <v>#REF!</v>
      </c>
      <c r="Z500" t="e">
        <f t="shared" si="112"/>
        <v>#REF!</v>
      </c>
      <c r="AA500" t="e">
        <f t="shared" si="112"/>
        <v>#REF!</v>
      </c>
      <c r="AB500" t="e">
        <f t="shared" si="112"/>
        <v>#REF!</v>
      </c>
      <c r="AC500" t="e">
        <f t="shared" si="97"/>
        <v>#REF!</v>
      </c>
    </row>
    <row r="501" spans="2:29" x14ac:dyDescent="0.35">
      <c r="B501" t="s">
        <v>1062</v>
      </c>
      <c r="K501" t="s">
        <v>1066</v>
      </c>
      <c r="L501" t="s">
        <v>1063</v>
      </c>
      <c r="M501" t="s">
        <v>1063</v>
      </c>
      <c r="N501" t="s">
        <v>1063</v>
      </c>
      <c r="O501" t="s">
        <v>1063</v>
      </c>
      <c r="P501" t="s">
        <v>1063</v>
      </c>
      <c r="Q501" t="s">
        <v>1063</v>
      </c>
      <c r="R501" t="s">
        <v>1063</v>
      </c>
      <c r="S501" t="s">
        <v>1066</v>
      </c>
      <c r="T501" t="s">
        <v>1066</v>
      </c>
      <c r="U501" t="s">
        <v>1066</v>
      </c>
      <c r="V501" t="s">
        <v>1063</v>
      </c>
      <c r="W501" t="s">
        <v>1066</v>
      </c>
      <c r="X501" t="s">
        <v>1066</v>
      </c>
      <c r="Y501" t="s">
        <v>1066</v>
      </c>
      <c r="Z501" t="s">
        <v>1066</v>
      </c>
      <c r="AA501" t="s">
        <v>1066</v>
      </c>
      <c r="AB501" t="s">
        <v>1066</v>
      </c>
    </row>
    <row r="502" spans="2:29" x14ac:dyDescent="0.35">
      <c r="E502" t="s">
        <v>1065</v>
      </c>
      <c r="J502" t="s">
        <v>27</v>
      </c>
      <c r="K502">
        <v>56.612000000000002</v>
      </c>
      <c r="L502">
        <v>56.612000000000002</v>
      </c>
      <c r="M502">
        <v>56.612000000000002</v>
      </c>
      <c r="N502">
        <v>30.036000000000001</v>
      </c>
      <c r="O502">
        <v>6.2240000000000002</v>
      </c>
      <c r="P502">
        <v>19.074000000000002</v>
      </c>
      <c r="Q502">
        <v>13.33</v>
      </c>
      <c r="R502">
        <v>33.25</v>
      </c>
      <c r="S502">
        <v>13.73</v>
      </c>
      <c r="T502">
        <v>3.97</v>
      </c>
      <c r="U502">
        <f>3.948+1.877+3.922</f>
        <v>9.7469999999999999</v>
      </c>
      <c r="W502">
        <v>3.7559999999999998</v>
      </c>
      <c r="Y502">
        <f>12.75</f>
        <v>12.75</v>
      </c>
      <c r="Z502">
        <f>9.8</f>
        <v>9.8000000000000007</v>
      </c>
      <c r="AC502">
        <f>SUM(K502:AB502)</f>
        <v>325.50300000000004</v>
      </c>
    </row>
    <row r="503" spans="2:29" x14ac:dyDescent="0.35">
      <c r="E503" t="s">
        <v>1064</v>
      </c>
      <c r="K503">
        <v>52.500999999999998</v>
      </c>
      <c r="L503">
        <v>52.500999999999998</v>
      </c>
      <c r="M503">
        <v>52.500999999999998</v>
      </c>
      <c r="N503">
        <v>81.626599999999996</v>
      </c>
      <c r="O503">
        <v>13.18</v>
      </c>
      <c r="P503">
        <v>35.427999999999997</v>
      </c>
      <c r="Q503">
        <v>13.29</v>
      </c>
      <c r="R503">
        <v>38.14</v>
      </c>
      <c r="S503">
        <v>26.006</v>
      </c>
      <c r="T503">
        <v>7.83</v>
      </c>
      <c r="U503">
        <f>1.935+0.035+3.922+2.869+2.869+0.992+2.869+3.922+1.885</f>
        <v>21.298000000000002</v>
      </c>
      <c r="W503">
        <v>8.1910000000000007</v>
      </c>
      <c r="Y503">
        <v>27.5</v>
      </c>
      <c r="Z503">
        <f>19.36</f>
        <v>19.36</v>
      </c>
    </row>
    <row r="504" spans="2:29" x14ac:dyDescent="0.35">
      <c r="B504" t="s">
        <v>903</v>
      </c>
    </row>
    <row r="505" spans="2:29" x14ac:dyDescent="0.35">
      <c r="B505" t="s">
        <v>8</v>
      </c>
      <c r="E505" t="s">
        <v>145</v>
      </c>
      <c r="H505" t="s">
        <v>4</v>
      </c>
      <c r="I505" t="s">
        <v>3</v>
      </c>
      <c r="J505" t="s">
        <v>7</v>
      </c>
      <c r="K505" t="s">
        <v>10</v>
      </c>
      <c r="L505" t="s">
        <v>10</v>
      </c>
      <c r="M505" t="s">
        <v>10</v>
      </c>
      <c r="N505" t="s">
        <v>10</v>
      </c>
      <c r="O505" t="s">
        <v>10</v>
      </c>
      <c r="P505" t="s">
        <v>10</v>
      </c>
      <c r="Q505" t="s">
        <v>10</v>
      </c>
      <c r="R505" t="s">
        <v>10</v>
      </c>
      <c r="S505" t="s">
        <v>10</v>
      </c>
      <c r="T505" t="s">
        <v>10</v>
      </c>
    </row>
    <row r="506" spans="2:29" x14ac:dyDescent="0.35">
      <c r="B506" t="s">
        <v>16</v>
      </c>
      <c r="E506" t="s">
        <v>448</v>
      </c>
      <c r="H506">
        <v>2</v>
      </c>
      <c r="J506" t="s">
        <v>6</v>
      </c>
      <c r="K506">
        <v>4</v>
      </c>
      <c r="L506">
        <v>4</v>
      </c>
      <c r="M506">
        <v>4</v>
      </c>
      <c r="N506">
        <v>8</v>
      </c>
      <c r="O506">
        <v>2</v>
      </c>
      <c r="P506">
        <v>4</v>
      </c>
      <c r="Q506">
        <v>1</v>
      </c>
      <c r="R506">
        <v>0</v>
      </c>
      <c r="S506">
        <v>4</v>
      </c>
      <c r="T506">
        <v>2</v>
      </c>
      <c r="U506">
        <v>12</v>
      </c>
      <c r="V506">
        <v>2</v>
      </c>
      <c r="X506">
        <v>2</v>
      </c>
      <c r="Y506">
        <v>4</v>
      </c>
      <c r="Z506">
        <v>4</v>
      </c>
      <c r="AA506">
        <v>4</v>
      </c>
      <c r="AC506">
        <f t="shared" ref="AC506:AC522" si="113">SUM(K506:AB506)</f>
        <v>61</v>
      </c>
    </row>
    <row r="507" spans="2:29" x14ac:dyDescent="0.35">
      <c r="B507" t="s">
        <v>17</v>
      </c>
      <c r="E507" t="s">
        <v>449</v>
      </c>
      <c r="H507">
        <v>3.05</v>
      </c>
      <c r="J507" t="s">
        <v>6</v>
      </c>
      <c r="K507">
        <v>48</v>
      </c>
      <c r="L507">
        <v>48</v>
      </c>
      <c r="M507">
        <v>48</v>
      </c>
      <c r="N507">
        <v>29</v>
      </c>
      <c r="O507">
        <v>12</v>
      </c>
      <c r="P507">
        <v>21</v>
      </c>
      <c r="Q507">
        <v>16</v>
      </c>
      <c r="R507">
        <v>22</v>
      </c>
      <c r="S507">
        <v>32</v>
      </c>
      <c r="T507">
        <v>12</v>
      </c>
      <c r="U507">
        <v>26</v>
      </c>
      <c r="V507">
        <v>8</v>
      </c>
      <c r="X507">
        <v>14</v>
      </c>
      <c r="Y507">
        <v>26</v>
      </c>
      <c r="Z507">
        <v>16</v>
      </c>
      <c r="AA507">
        <v>10</v>
      </c>
      <c r="AC507">
        <f t="shared" si="113"/>
        <v>388</v>
      </c>
    </row>
    <row r="508" spans="2:29" x14ac:dyDescent="0.35">
      <c r="B508" t="s">
        <v>14</v>
      </c>
      <c r="E508" t="s">
        <v>450</v>
      </c>
      <c r="I508">
        <v>2.75</v>
      </c>
      <c r="J508" t="s">
        <v>6</v>
      </c>
      <c r="K508">
        <v>68</v>
      </c>
      <c r="L508">
        <v>68</v>
      </c>
      <c r="M508">
        <v>68</v>
      </c>
      <c r="N508">
        <v>24</v>
      </c>
      <c r="O508">
        <v>15</v>
      </c>
      <c r="P508">
        <v>13</v>
      </c>
      <c r="Q508">
        <v>20</v>
      </c>
      <c r="R508">
        <v>28</v>
      </c>
      <c r="S508">
        <v>44</v>
      </c>
      <c r="T508">
        <v>14</v>
      </c>
      <c r="U508">
        <v>22</v>
      </c>
      <c r="V508">
        <v>8</v>
      </c>
      <c r="W508">
        <v>20</v>
      </c>
      <c r="Y508">
        <v>26</v>
      </c>
      <c r="AA508">
        <v>12</v>
      </c>
      <c r="AC508">
        <f t="shared" si="113"/>
        <v>450</v>
      </c>
    </row>
    <row r="509" spans="2:29" x14ac:dyDescent="0.35">
      <c r="B509" t="s">
        <v>15</v>
      </c>
      <c r="E509" t="s">
        <v>451</v>
      </c>
      <c r="I509">
        <v>2.75</v>
      </c>
      <c r="J509" t="s">
        <v>6</v>
      </c>
      <c r="K509">
        <v>8</v>
      </c>
      <c r="L509">
        <v>8</v>
      </c>
      <c r="M509">
        <v>8</v>
      </c>
      <c r="N509">
        <v>14</v>
      </c>
      <c r="O509">
        <v>4</v>
      </c>
      <c r="P509">
        <v>8</v>
      </c>
      <c r="Q509">
        <v>4</v>
      </c>
      <c r="R509">
        <v>6</v>
      </c>
      <c r="S509">
        <v>8</v>
      </c>
      <c r="T509">
        <v>6</v>
      </c>
      <c r="U509">
        <v>8</v>
      </c>
      <c r="V509">
        <v>6</v>
      </c>
      <c r="W509">
        <v>6</v>
      </c>
      <c r="Y509">
        <v>18</v>
      </c>
      <c r="AA509">
        <v>6</v>
      </c>
      <c r="AC509">
        <f t="shared" si="113"/>
        <v>118</v>
      </c>
    </row>
    <row r="510" spans="2:29" x14ac:dyDescent="0.35">
      <c r="B510" t="s">
        <v>436</v>
      </c>
      <c r="E510" t="s">
        <v>452</v>
      </c>
      <c r="I510">
        <v>3.05</v>
      </c>
      <c r="J510" t="s">
        <v>6</v>
      </c>
      <c r="AC510">
        <f t="shared" si="113"/>
        <v>0</v>
      </c>
    </row>
    <row r="511" spans="2:29" x14ac:dyDescent="0.35">
      <c r="B511" t="s">
        <v>437</v>
      </c>
      <c r="E511" t="s">
        <v>453</v>
      </c>
      <c r="I511">
        <v>3.05</v>
      </c>
      <c r="J511" t="s">
        <v>6</v>
      </c>
      <c r="Z511">
        <v>28</v>
      </c>
      <c r="AC511">
        <f t="shared" si="113"/>
        <v>28</v>
      </c>
    </row>
    <row r="512" spans="2:29" x14ac:dyDescent="0.35">
      <c r="B512" t="s">
        <v>438</v>
      </c>
      <c r="E512" t="s">
        <v>454</v>
      </c>
      <c r="I512">
        <v>3.5350000000000001</v>
      </c>
      <c r="J512" t="s">
        <v>6</v>
      </c>
      <c r="AC512">
        <f t="shared" si="113"/>
        <v>0</v>
      </c>
    </row>
    <row r="513" spans="2:29" x14ac:dyDescent="0.35">
      <c r="B513" t="s">
        <v>439</v>
      </c>
      <c r="E513" t="s">
        <v>455</v>
      </c>
      <c r="I513">
        <v>3.5350000000000001</v>
      </c>
      <c r="J513" t="s">
        <v>6</v>
      </c>
      <c r="AC513">
        <f t="shared" si="113"/>
        <v>0</v>
      </c>
    </row>
    <row r="514" spans="2:29" x14ac:dyDescent="0.35">
      <c r="B514" t="s">
        <v>438</v>
      </c>
      <c r="E514" t="s">
        <v>1264</v>
      </c>
      <c r="I514">
        <v>4.3179999999999996</v>
      </c>
      <c r="J514" t="s">
        <v>6</v>
      </c>
      <c r="X514">
        <v>8</v>
      </c>
      <c r="AC514">
        <f t="shared" si="113"/>
        <v>8</v>
      </c>
    </row>
    <row r="515" spans="2:29" x14ac:dyDescent="0.35">
      <c r="B515" t="s">
        <v>439</v>
      </c>
      <c r="E515" t="s">
        <v>1265</v>
      </c>
      <c r="I515">
        <v>4.3179999999999996</v>
      </c>
      <c r="J515" t="s">
        <v>6</v>
      </c>
      <c r="X515">
        <v>6</v>
      </c>
      <c r="AC515">
        <f t="shared" si="113"/>
        <v>6</v>
      </c>
    </row>
    <row r="516" spans="2:29" x14ac:dyDescent="0.35">
      <c r="B516" t="s">
        <v>623</v>
      </c>
      <c r="E516" t="s">
        <v>625</v>
      </c>
      <c r="H516">
        <v>12.539</v>
      </c>
      <c r="J516" t="s">
        <v>6</v>
      </c>
      <c r="K516">
        <v>28</v>
      </c>
      <c r="L516">
        <v>28</v>
      </c>
      <c r="M516">
        <v>28</v>
      </c>
      <c r="R516">
        <v>0</v>
      </c>
      <c r="S516">
        <v>20</v>
      </c>
      <c r="T516">
        <v>5</v>
      </c>
      <c r="AC516">
        <f t="shared" si="113"/>
        <v>109</v>
      </c>
    </row>
    <row r="517" spans="2:29" x14ac:dyDescent="0.35">
      <c r="B517" t="s">
        <v>624</v>
      </c>
      <c r="E517" t="s">
        <v>626</v>
      </c>
      <c r="H517">
        <v>12.539</v>
      </c>
      <c r="J517" t="s">
        <v>6</v>
      </c>
      <c r="K517">
        <v>6</v>
      </c>
      <c r="L517">
        <v>6</v>
      </c>
      <c r="M517">
        <v>6</v>
      </c>
      <c r="R517">
        <v>14</v>
      </c>
      <c r="S517">
        <v>2</v>
      </c>
      <c r="T517">
        <v>2</v>
      </c>
      <c r="Y517">
        <v>13</v>
      </c>
      <c r="AC517">
        <f t="shared" si="113"/>
        <v>49</v>
      </c>
    </row>
    <row r="518" spans="2:29" x14ac:dyDescent="0.35">
      <c r="B518" t="s">
        <v>440</v>
      </c>
      <c r="E518" t="s">
        <v>456</v>
      </c>
      <c r="H518">
        <v>10.5</v>
      </c>
      <c r="J518" t="s">
        <v>6</v>
      </c>
      <c r="P518">
        <v>13</v>
      </c>
      <c r="Q518">
        <v>0</v>
      </c>
      <c r="R518">
        <v>0</v>
      </c>
      <c r="U518">
        <v>7</v>
      </c>
      <c r="V518">
        <v>2</v>
      </c>
      <c r="W518">
        <v>4</v>
      </c>
      <c r="X518">
        <v>6</v>
      </c>
      <c r="AC518">
        <f t="shared" si="113"/>
        <v>32</v>
      </c>
    </row>
    <row r="519" spans="2:29" x14ac:dyDescent="0.35">
      <c r="B519" t="s">
        <v>18</v>
      </c>
      <c r="E519" t="s">
        <v>457</v>
      </c>
      <c r="H519">
        <v>10.5</v>
      </c>
      <c r="J519" t="s">
        <v>6</v>
      </c>
      <c r="Q519">
        <v>0</v>
      </c>
      <c r="R519">
        <v>0</v>
      </c>
      <c r="U519">
        <v>14</v>
      </c>
      <c r="V519">
        <v>2</v>
      </c>
      <c r="W519">
        <v>6</v>
      </c>
      <c r="X519">
        <v>2</v>
      </c>
      <c r="AA519">
        <v>3</v>
      </c>
      <c r="AC519">
        <f t="shared" si="113"/>
        <v>27</v>
      </c>
    </row>
    <row r="520" spans="2:29" x14ac:dyDescent="0.35">
      <c r="B520" t="s">
        <v>441</v>
      </c>
      <c r="E520" t="s">
        <v>658</v>
      </c>
      <c r="H520">
        <v>8.5</v>
      </c>
      <c r="J520" t="s">
        <v>6</v>
      </c>
      <c r="O520">
        <v>4</v>
      </c>
      <c r="Q520">
        <v>5</v>
      </c>
      <c r="R520">
        <v>0</v>
      </c>
      <c r="AC520">
        <f t="shared" si="113"/>
        <v>9</v>
      </c>
    </row>
    <row r="521" spans="2:29" x14ac:dyDescent="0.35">
      <c r="B521" t="s">
        <v>442</v>
      </c>
      <c r="E521" t="s">
        <v>659</v>
      </c>
      <c r="H521">
        <v>8.5</v>
      </c>
      <c r="J521" t="s">
        <v>6</v>
      </c>
      <c r="O521">
        <v>4</v>
      </c>
      <c r="Q521">
        <v>5</v>
      </c>
      <c r="R521">
        <v>0</v>
      </c>
      <c r="AC521">
        <f t="shared" si="113"/>
        <v>9</v>
      </c>
    </row>
    <row r="522" spans="2:29" x14ac:dyDescent="0.35">
      <c r="B522" t="s">
        <v>1290</v>
      </c>
      <c r="E522" t="s">
        <v>1291</v>
      </c>
      <c r="H522">
        <v>5</v>
      </c>
      <c r="J522" t="s">
        <v>6</v>
      </c>
      <c r="AB522">
        <v>3</v>
      </c>
      <c r="AC522">
        <f t="shared" si="113"/>
        <v>3</v>
      </c>
    </row>
    <row r="523" spans="2:29" x14ac:dyDescent="0.35">
      <c r="B523" t="s">
        <v>18</v>
      </c>
      <c r="E523" t="s">
        <v>1292</v>
      </c>
      <c r="H523">
        <v>10.5</v>
      </c>
      <c r="J523" t="s">
        <v>6</v>
      </c>
      <c r="Z523">
        <v>11</v>
      </c>
      <c r="AC523">
        <v>11</v>
      </c>
    </row>
    <row r="524" spans="2:29" x14ac:dyDescent="0.35">
      <c r="B524" t="s">
        <v>624</v>
      </c>
      <c r="E524" t="s">
        <v>1293</v>
      </c>
      <c r="H524">
        <v>12.539</v>
      </c>
      <c r="J524" t="s">
        <v>6</v>
      </c>
      <c r="Y524">
        <v>5</v>
      </c>
      <c r="AC524">
        <v>5</v>
      </c>
    </row>
    <row r="525" spans="2:29" x14ac:dyDescent="0.35">
      <c r="B525" t="s">
        <v>55</v>
      </c>
      <c r="E525" t="s">
        <v>56</v>
      </c>
      <c r="J525" t="s">
        <v>6</v>
      </c>
      <c r="K525">
        <f t="shared" ref="K525:AA525" si="114">44*(K516+K517)+38*(K519+K518)+28*(K520+K521)</f>
        <v>1496</v>
      </c>
      <c r="L525">
        <f t="shared" si="114"/>
        <v>1496</v>
      </c>
      <c r="M525">
        <f t="shared" si="114"/>
        <v>1496</v>
      </c>
      <c r="N525">
        <f t="shared" si="114"/>
        <v>0</v>
      </c>
      <c r="O525">
        <f t="shared" si="114"/>
        <v>224</v>
      </c>
      <c r="P525">
        <f t="shared" si="114"/>
        <v>494</v>
      </c>
      <c r="Q525">
        <f t="shared" si="114"/>
        <v>280</v>
      </c>
      <c r="R525">
        <f t="shared" si="114"/>
        <v>616</v>
      </c>
      <c r="S525">
        <f t="shared" si="114"/>
        <v>968</v>
      </c>
      <c r="T525">
        <f t="shared" si="114"/>
        <v>308</v>
      </c>
      <c r="U525">
        <f t="shared" si="114"/>
        <v>798</v>
      </c>
      <c r="V525">
        <f t="shared" si="114"/>
        <v>152</v>
      </c>
      <c r="W525">
        <f t="shared" si="114"/>
        <v>380</v>
      </c>
      <c r="X525">
        <f t="shared" si="114"/>
        <v>304</v>
      </c>
      <c r="Y525">
        <f t="shared" si="114"/>
        <v>572</v>
      </c>
      <c r="Z525">
        <f t="shared" si="114"/>
        <v>0</v>
      </c>
      <c r="AA525">
        <f t="shared" si="114"/>
        <v>114</v>
      </c>
      <c r="AB525">
        <f>44*(AB516+AB517)+38*(AB519+AB518)+28*(AB520+AB521)+10*(AB522)</f>
        <v>30</v>
      </c>
      <c r="AC525">
        <f t="shared" ref="AC525:AC543" si="115">SUM(K525:AB525)</f>
        <v>9728</v>
      </c>
    </row>
    <row r="526" spans="2:29" x14ac:dyDescent="0.35">
      <c r="B526" t="s">
        <v>57</v>
      </c>
      <c r="E526" t="s">
        <v>146</v>
      </c>
      <c r="J526" t="s">
        <v>6</v>
      </c>
      <c r="K526">
        <f t="shared" ref="K526:AA526" si="116">42*(K516+K517)+36*(K519+K518)+26*(K520+K521)</f>
        <v>1428</v>
      </c>
      <c r="L526">
        <f t="shared" si="116"/>
        <v>1428</v>
      </c>
      <c r="M526">
        <f t="shared" si="116"/>
        <v>1428</v>
      </c>
      <c r="N526">
        <f t="shared" si="116"/>
        <v>0</v>
      </c>
      <c r="O526">
        <f t="shared" si="116"/>
        <v>208</v>
      </c>
      <c r="P526">
        <f t="shared" si="116"/>
        <v>468</v>
      </c>
      <c r="Q526">
        <f t="shared" si="116"/>
        <v>260</v>
      </c>
      <c r="R526">
        <f t="shared" si="116"/>
        <v>588</v>
      </c>
      <c r="S526">
        <f t="shared" si="116"/>
        <v>924</v>
      </c>
      <c r="T526">
        <f t="shared" si="116"/>
        <v>294</v>
      </c>
      <c r="U526">
        <f t="shared" si="116"/>
        <v>756</v>
      </c>
      <c r="V526">
        <f t="shared" si="116"/>
        <v>144</v>
      </c>
      <c r="W526">
        <f t="shared" si="116"/>
        <v>360</v>
      </c>
      <c r="X526">
        <f t="shared" si="116"/>
        <v>288</v>
      </c>
      <c r="Y526">
        <f t="shared" si="116"/>
        <v>546</v>
      </c>
      <c r="Z526">
        <f t="shared" si="116"/>
        <v>0</v>
      </c>
      <c r="AA526">
        <f t="shared" si="116"/>
        <v>108</v>
      </c>
      <c r="AB526">
        <f>42*(AB516+AB517)+36*(AB519+AB518)+26*(AB520+AB521)+10*AB522</f>
        <v>30</v>
      </c>
      <c r="AC526">
        <f t="shared" si="115"/>
        <v>9258</v>
      </c>
    </row>
    <row r="527" spans="2:29" x14ac:dyDescent="0.35">
      <c r="B527" t="s">
        <v>58</v>
      </c>
      <c r="E527" t="s">
        <v>147</v>
      </c>
      <c r="J527" t="s">
        <v>6</v>
      </c>
      <c r="K527">
        <f t="shared" ref="K527:AA527" si="117">2*(K516+K517)+2*(K519+K518)+2*(K520+K521)</f>
        <v>68</v>
      </c>
      <c r="L527">
        <f t="shared" si="117"/>
        <v>68</v>
      </c>
      <c r="M527">
        <f t="shared" si="117"/>
        <v>68</v>
      </c>
      <c r="N527">
        <f t="shared" si="117"/>
        <v>0</v>
      </c>
      <c r="O527">
        <f t="shared" si="117"/>
        <v>16</v>
      </c>
      <c r="P527">
        <f t="shared" si="117"/>
        <v>26</v>
      </c>
      <c r="Q527">
        <f t="shared" si="117"/>
        <v>20</v>
      </c>
      <c r="R527">
        <f t="shared" si="117"/>
        <v>28</v>
      </c>
      <c r="S527">
        <f t="shared" si="117"/>
        <v>44</v>
      </c>
      <c r="T527">
        <f t="shared" si="117"/>
        <v>14</v>
      </c>
      <c r="U527">
        <f t="shared" si="117"/>
        <v>42</v>
      </c>
      <c r="V527">
        <f t="shared" si="117"/>
        <v>8</v>
      </c>
      <c r="W527">
        <f t="shared" si="117"/>
        <v>20</v>
      </c>
      <c r="X527">
        <f t="shared" si="117"/>
        <v>16</v>
      </c>
      <c r="Y527">
        <f t="shared" si="117"/>
        <v>26</v>
      </c>
      <c r="Z527">
        <f t="shared" si="117"/>
        <v>0</v>
      </c>
      <c r="AA527">
        <f t="shared" si="117"/>
        <v>6</v>
      </c>
      <c r="AB527">
        <f>2*(AB516+AB517)+2*(AB519+AB518)+2*(AB520+AB521)+2*AB522</f>
        <v>6</v>
      </c>
      <c r="AC527">
        <f t="shared" si="115"/>
        <v>476</v>
      </c>
    </row>
    <row r="528" spans="2:29" x14ac:dyDescent="0.35">
      <c r="B528" t="s">
        <v>59</v>
      </c>
      <c r="E528" t="s">
        <v>148</v>
      </c>
      <c r="J528" t="s">
        <v>6</v>
      </c>
      <c r="K528">
        <f t="shared" ref="K528:AA528" si="118">46*(K516+K517)+38*(K519+K518)+28*(K520+K521)</f>
        <v>1564</v>
      </c>
      <c r="L528">
        <f t="shared" si="118"/>
        <v>1564</v>
      </c>
      <c r="M528">
        <f t="shared" si="118"/>
        <v>1564</v>
      </c>
      <c r="N528">
        <f t="shared" si="118"/>
        <v>0</v>
      </c>
      <c r="O528">
        <f t="shared" si="118"/>
        <v>224</v>
      </c>
      <c r="P528">
        <f t="shared" si="118"/>
        <v>494</v>
      </c>
      <c r="Q528">
        <f t="shared" si="118"/>
        <v>280</v>
      </c>
      <c r="R528">
        <f t="shared" si="118"/>
        <v>644</v>
      </c>
      <c r="S528">
        <f t="shared" si="118"/>
        <v>1012</v>
      </c>
      <c r="T528">
        <f t="shared" si="118"/>
        <v>322</v>
      </c>
      <c r="U528">
        <f t="shared" si="118"/>
        <v>798</v>
      </c>
      <c r="V528">
        <f t="shared" si="118"/>
        <v>152</v>
      </c>
      <c r="W528">
        <f t="shared" si="118"/>
        <v>380</v>
      </c>
      <c r="X528">
        <f t="shared" si="118"/>
        <v>304</v>
      </c>
      <c r="Y528">
        <f t="shared" si="118"/>
        <v>598</v>
      </c>
      <c r="Z528">
        <f t="shared" si="118"/>
        <v>0</v>
      </c>
      <c r="AA528">
        <f t="shared" si="118"/>
        <v>114</v>
      </c>
      <c r="AB528">
        <f>46*(AB516+AB517)+38*(AB519+AB518)+28*(AB520+AB521)+12*AB522</f>
        <v>36</v>
      </c>
      <c r="AC528">
        <f t="shared" si="115"/>
        <v>10050</v>
      </c>
    </row>
    <row r="529" spans="2:29" x14ac:dyDescent="0.35">
      <c r="E529" t="s">
        <v>149</v>
      </c>
      <c r="J529" t="s">
        <v>6</v>
      </c>
      <c r="K529">
        <f t="shared" ref="K529:AA529" si="119">10*(K516+K517)+8*(K518+K519)+6*(K520+K521)</f>
        <v>340</v>
      </c>
      <c r="L529">
        <f t="shared" si="119"/>
        <v>340</v>
      </c>
      <c r="M529">
        <f t="shared" si="119"/>
        <v>340</v>
      </c>
      <c r="N529">
        <f t="shared" si="119"/>
        <v>0</v>
      </c>
      <c r="O529">
        <f t="shared" si="119"/>
        <v>48</v>
      </c>
      <c r="P529">
        <f t="shared" si="119"/>
        <v>104</v>
      </c>
      <c r="Q529">
        <f t="shared" si="119"/>
        <v>60</v>
      </c>
      <c r="R529">
        <f t="shared" si="119"/>
        <v>140</v>
      </c>
      <c r="S529">
        <f t="shared" si="119"/>
        <v>220</v>
      </c>
      <c r="T529">
        <f t="shared" si="119"/>
        <v>70</v>
      </c>
      <c r="U529">
        <f t="shared" si="119"/>
        <v>168</v>
      </c>
      <c r="V529">
        <f t="shared" si="119"/>
        <v>32</v>
      </c>
      <c r="W529">
        <f t="shared" si="119"/>
        <v>80</v>
      </c>
      <c r="X529">
        <f t="shared" si="119"/>
        <v>64</v>
      </c>
      <c r="Y529">
        <f t="shared" si="119"/>
        <v>130</v>
      </c>
      <c r="Z529">
        <f t="shared" si="119"/>
        <v>0</v>
      </c>
      <c r="AA529">
        <f t="shared" si="119"/>
        <v>24</v>
      </c>
      <c r="AB529">
        <f>10*(AB516+AB517)+8*(AB518+AB519)+6*(AB520+AB521)+2*AB522</f>
        <v>6</v>
      </c>
      <c r="AC529">
        <f t="shared" si="115"/>
        <v>2166</v>
      </c>
    </row>
    <row r="530" spans="2:29" x14ac:dyDescent="0.35">
      <c r="E530" t="s">
        <v>150</v>
      </c>
      <c r="J530" t="s">
        <v>6</v>
      </c>
      <c r="K530">
        <f t="shared" ref="K530:AA530" si="120">11*(K516+K517)+9*(K518+K519)+7*(K520+K521)</f>
        <v>374</v>
      </c>
      <c r="L530">
        <f t="shared" si="120"/>
        <v>374</v>
      </c>
      <c r="M530">
        <f t="shared" si="120"/>
        <v>374</v>
      </c>
      <c r="N530">
        <f t="shared" si="120"/>
        <v>0</v>
      </c>
      <c r="O530">
        <f t="shared" si="120"/>
        <v>56</v>
      </c>
      <c r="P530">
        <f t="shared" si="120"/>
        <v>117</v>
      </c>
      <c r="Q530">
        <f t="shared" si="120"/>
        <v>70</v>
      </c>
      <c r="R530">
        <f t="shared" si="120"/>
        <v>154</v>
      </c>
      <c r="S530">
        <f t="shared" si="120"/>
        <v>242</v>
      </c>
      <c r="T530">
        <f t="shared" si="120"/>
        <v>77</v>
      </c>
      <c r="U530">
        <f t="shared" si="120"/>
        <v>189</v>
      </c>
      <c r="V530">
        <f t="shared" si="120"/>
        <v>36</v>
      </c>
      <c r="W530">
        <f t="shared" si="120"/>
        <v>90</v>
      </c>
      <c r="X530">
        <f t="shared" si="120"/>
        <v>72</v>
      </c>
      <c r="Y530">
        <f t="shared" si="120"/>
        <v>143</v>
      </c>
      <c r="Z530">
        <f t="shared" si="120"/>
        <v>0</v>
      </c>
      <c r="AA530">
        <f t="shared" si="120"/>
        <v>27</v>
      </c>
      <c r="AB530">
        <f>11*(AB516+AB517)+9*(AB518+AB519)+7*(AB520+AB521)+3*AB522</f>
        <v>9</v>
      </c>
      <c r="AC530">
        <f t="shared" si="115"/>
        <v>2404</v>
      </c>
    </row>
    <row r="531" spans="2:29" x14ac:dyDescent="0.35">
      <c r="E531" t="s">
        <v>151</v>
      </c>
      <c r="J531" t="s">
        <v>6</v>
      </c>
      <c r="K531">
        <f t="shared" ref="K531:AA531" si="121">K516+K517+K518+K519+K520+K521</f>
        <v>34</v>
      </c>
      <c r="L531">
        <f t="shared" si="121"/>
        <v>34</v>
      </c>
      <c r="M531">
        <f t="shared" si="121"/>
        <v>34</v>
      </c>
      <c r="N531">
        <f t="shared" si="121"/>
        <v>0</v>
      </c>
      <c r="O531">
        <f t="shared" si="121"/>
        <v>8</v>
      </c>
      <c r="P531">
        <f t="shared" si="121"/>
        <v>13</v>
      </c>
      <c r="Q531">
        <f t="shared" si="121"/>
        <v>10</v>
      </c>
      <c r="R531">
        <f t="shared" si="121"/>
        <v>14</v>
      </c>
      <c r="S531">
        <f t="shared" si="121"/>
        <v>22</v>
      </c>
      <c r="T531">
        <f t="shared" si="121"/>
        <v>7</v>
      </c>
      <c r="U531">
        <f t="shared" si="121"/>
        <v>21</v>
      </c>
      <c r="V531">
        <f t="shared" si="121"/>
        <v>4</v>
      </c>
      <c r="W531">
        <f t="shared" si="121"/>
        <v>10</v>
      </c>
      <c r="X531">
        <f t="shared" si="121"/>
        <v>8</v>
      </c>
      <c r="Y531">
        <f t="shared" si="121"/>
        <v>13</v>
      </c>
      <c r="Z531">
        <f t="shared" si="121"/>
        <v>0</v>
      </c>
      <c r="AA531">
        <f t="shared" si="121"/>
        <v>3</v>
      </c>
      <c r="AB531">
        <f>AB516+AB517+AB518+AB519+AB520+AB521+AB522</f>
        <v>3</v>
      </c>
      <c r="AC531">
        <f t="shared" si="115"/>
        <v>238</v>
      </c>
    </row>
    <row r="532" spans="2:29" x14ac:dyDescent="0.35">
      <c r="B532" t="s">
        <v>19</v>
      </c>
      <c r="E532" t="s">
        <v>458</v>
      </c>
      <c r="J532" t="s">
        <v>6</v>
      </c>
      <c r="K532">
        <v>2</v>
      </c>
      <c r="L532">
        <v>2</v>
      </c>
      <c r="M532">
        <v>2</v>
      </c>
      <c r="N532">
        <v>2</v>
      </c>
      <c r="O532">
        <v>2</v>
      </c>
      <c r="P532">
        <v>2</v>
      </c>
      <c r="Q532">
        <v>2</v>
      </c>
      <c r="R532">
        <v>2</v>
      </c>
      <c r="S532">
        <v>2</v>
      </c>
      <c r="T532">
        <v>2</v>
      </c>
      <c r="U532">
        <v>2</v>
      </c>
      <c r="V532">
        <v>2</v>
      </c>
      <c r="W532">
        <v>2</v>
      </c>
      <c r="X532">
        <v>2</v>
      </c>
      <c r="Y532">
        <v>2</v>
      </c>
      <c r="Z532">
        <v>2</v>
      </c>
      <c r="AA532">
        <v>2</v>
      </c>
      <c r="AB532">
        <v>2</v>
      </c>
      <c r="AC532">
        <f t="shared" si="115"/>
        <v>36</v>
      </c>
    </row>
    <row r="533" spans="2:29" x14ac:dyDescent="0.35">
      <c r="E533" t="s">
        <v>54</v>
      </c>
      <c r="K533">
        <f t="shared" ref="K533:AB533" si="122">K532*10.5</f>
        <v>21</v>
      </c>
      <c r="L533">
        <f t="shared" si="122"/>
        <v>21</v>
      </c>
      <c r="M533">
        <f t="shared" si="122"/>
        <v>21</v>
      </c>
      <c r="N533">
        <f t="shared" si="122"/>
        <v>21</v>
      </c>
      <c r="O533">
        <f t="shared" si="122"/>
        <v>21</v>
      </c>
      <c r="P533">
        <f t="shared" si="122"/>
        <v>21</v>
      </c>
      <c r="Q533">
        <f t="shared" si="122"/>
        <v>21</v>
      </c>
      <c r="R533">
        <f t="shared" si="122"/>
        <v>21</v>
      </c>
      <c r="S533">
        <f t="shared" si="122"/>
        <v>21</v>
      </c>
      <c r="T533">
        <f t="shared" si="122"/>
        <v>21</v>
      </c>
      <c r="U533">
        <f t="shared" si="122"/>
        <v>21</v>
      </c>
      <c r="V533">
        <f t="shared" si="122"/>
        <v>21</v>
      </c>
      <c r="W533">
        <f t="shared" si="122"/>
        <v>21</v>
      </c>
      <c r="X533">
        <f t="shared" si="122"/>
        <v>21</v>
      </c>
      <c r="Y533">
        <f t="shared" si="122"/>
        <v>21</v>
      </c>
      <c r="Z533">
        <f t="shared" si="122"/>
        <v>21</v>
      </c>
      <c r="AA533">
        <f t="shared" si="122"/>
        <v>21</v>
      </c>
      <c r="AB533">
        <f t="shared" si="122"/>
        <v>21</v>
      </c>
      <c r="AC533">
        <f t="shared" si="115"/>
        <v>378</v>
      </c>
    </row>
    <row r="534" spans="2:29" x14ac:dyDescent="0.35">
      <c r="E534" t="s">
        <v>459</v>
      </c>
      <c r="J534" t="s">
        <v>6</v>
      </c>
      <c r="K534">
        <v>4</v>
      </c>
      <c r="L534">
        <v>4</v>
      </c>
      <c r="M534">
        <v>4</v>
      </c>
      <c r="N534">
        <v>2</v>
      </c>
      <c r="O534">
        <v>1</v>
      </c>
      <c r="P534">
        <v>1</v>
      </c>
      <c r="Q534">
        <v>2</v>
      </c>
      <c r="R534">
        <v>0</v>
      </c>
      <c r="S534">
        <v>0</v>
      </c>
      <c r="T534">
        <v>0</v>
      </c>
      <c r="U534">
        <v>2</v>
      </c>
      <c r="V534">
        <v>2</v>
      </c>
      <c r="W534">
        <v>2</v>
      </c>
      <c r="X534">
        <v>2</v>
      </c>
      <c r="Y534">
        <v>2</v>
      </c>
      <c r="Z534">
        <v>2</v>
      </c>
      <c r="AC534">
        <f t="shared" si="115"/>
        <v>30</v>
      </c>
    </row>
    <row r="535" spans="2:29" x14ac:dyDescent="0.35">
      <c r="E535" t="s">
        <v>126</v>
      </c>
      <c r="K535">
        <f t="shared" ref="K535:AB535" si="123">K534*5</f>
        <v>20</v>
      </c>
      <c r="L535">
        <f t="shared" si="123"/>
        <v>20</v>
      </c>
      <c r="M535">
        <f t="shared" si="123"/>
        <v>20</v>
      </c>
      <c r="N535">
        <f t="shared" si="123"/>
        <v>10</v>
      </c>
      <c r="O535">
        <f t="shared" si="123"/>
        <v>5</v>
      </c>
      <c r="P535">
        <f t="shared" si="123"/>
        <v>5</v>
      </c>
      <c r="Q535">
        <f t="shared" si="123"/>
        <v>10</v>
      </c>
      <c r="R535">
        <f t="shared" si="123"/>
        <v>0</v>
      </c>
      <c r="S535">
        <f t="shared" si="123"/>
        <v>0</v>
      </c>
      <c r="T535">
        <f t="shared" si="123"/>
        <v>0</v>
      </c>
      <c r="U535">
        <f t="shared" si="123"/>
        <v>10</v>
      </c>
      <c r="V535">
        <f t="shared" si="123"/>
        <v>10</v>
      </c>
      <c r="W535">
        <f t="shared" si="123"/>
        <v>10</v>
      </c>
      <c r="X535">
        <f t="shared" si="123"/>
        <v>10</v>
      </c>
      <c r="Y535">
        <f t="shared" si="123"/>
        <v>10</v>
      </c>
      <c r="Z535">
        <f t="shared" si="123"/>
        <v>10</v>
      </c>
      <c r="AA535">
        <f t="shared" si="123"/>
        <v>0</v>
      </c>
      <c r="AB535">
        <f t="shared" si="123"/>
        <v>0</v>
      </c>
      <c r="AC535">
        <f t="shared" si="115"/>
        <v>150</v>
      </c>
    </row>
    <row r="536" spans="2:29" x14ac:dyDescent="0.35">
      <c r="E536" t="s">
        <v>460</v>
      </c>
      <c r="J536" t="s">
        <v>6</v>
      </c>
      <c r="K536" t="e">
        <f t="shared" ref="K536:AB536" si="124">K532+(K388+K389+K441)*2</f>
        <v>#VALUE!</v>
      </c>
      <c r="L536" t="e">
        <f t="shared" si="124"/>
        <v>#VALUE!</v>
      </c>
      <c r="M536" t="e">
        <f t="shared" si="124"/>
        <v>#VALUE!</v>
      </c>
      <c r="N536" t="e">
        <f t="shared" si="124"/>
        <v>#VALUE!</v>
      </c>
      <c r="O536" t="e">
        <f t="shared" si="124"/>
        <v>#VALUE!</v>
      </c>
      <c r="P536" t="e">
        <f t="shared" si="124"/>
        <v>#VALUE!</v>
      </c>
      <c r="Q536" t="e">
        <f t="shared" si="124"/>
        <v>#VALUE!</v>
      </c>
      <c r="R536" t="e">
        <f t="shared" si="124"/>
        <v>#VALUE!</v>
      </c>
      <c r="S536" t="e">
        <f t="shared" si="124"/>
        <v>#VALUE!</v>
      </c>
      <c r="T536" t="e">
        <f t="shared" si="124"/>
        <v>#VALUE!</v>
      </c>
      <c r="U536" t="e">
        <f t="shared" si="124"/>
        <v>#VALUE!</v>
      </c>
      <c r="V536" t="e">
        <f t="shared" si="124"/>
        <v>#VALUE!</v>
      </c>
      <c r="W536" t="e">
        <f t="shared" si="124"/>
        <v>#VALUE!</v>
      </c>
      <c r="X536" t="e">
        <f t="shared" si="124"/>
        <v>#VALUE!</v>
      </c>
      <c r="Y536" t="e">
        <f t="shared" si="124"/>
        <v>#VALUE!</v>
      </c>
      <c r="Z536" t="e">
        <f t="shared" si="124"/>
        <v>#VALUE!</v>
      </c>
      <c r="AA536" t="e">
        <f t="shared" si="124"/>
        <v>#VALUE!</v>
      </c>
      <c r="AB536" t="e">
        <f t="shared" si="124"/>
        <v>#VALUE!</v>
      </c>
      <c r="AC536" t="e">
        <f t="shared" si="115"/>
        <v>#VALUE!</v>
      </c>
    </row>
    <row r="537" spans="2:29" x14ac:dyDescent="0.35">
      <c r="E537" t="s">
        <v>879</v>
      </c>
      <c r="J537" t="s">
        <v>6</v>
      </c>
      <c r="K537">
        <f t="shared" ref="K537:AB537" si="125">3*K532+1*K534</f>
        <v>10</v>
      </c>
      <c r="L537">
        <f t="shared" si="125"/>
        <v>10</v>
      </c>
      <c r="M537">
        <f t="shared" si="125"/>
        <v>10</v>
      </c>
      <c r="N537">
        <f t="shared" si="125"/>
        <v>8</v>
      </c>
      <c r="O537">
        <f t="shared" si="125"/>
        <v>7</v>
      </c>
      <c r="P537">
        <f t="shared" si="125"/>
        <v>7</v>
      </c>
      <c r="Q537">
        <f t="shared" si="125"/>
        <v>8</v>
      </c>
      <c r="R537">
        <f t="shared" si="125"/>
        <v>6</v>
      </c>
      <c r="S537">
        <f t="shared" si="125"/>
        <v>6</v>
      </c>
      <c r="T537">
        <f t="shared" si="125"/>
        <v>6</v>
      </c>
      <c r="U537">
        <f t="shared" si="125"/>
        <v>8</v>
      </c>
      <c r="V537">
        <f t="shared" si="125"/>
        <v>8</v>
      </c>
      <c r="W537">
        <f t="shared" si="125"/>
        <v>8</v>
      </c>
      <c r="X537">
        <f t="shared" si="125"/>
        <v>8</v>
      </c>
      <c r="Y537">
        <f t="shared" si="125"/>
        <v>8</v>
      </c>
      <c r="Z537">
        <f t="shared" si="125"/>
        <v>8</v>
      </c>
      <c r="AA537">
        <f t="shared" si="125"/>
        <v>6</v>
      </c>
      <c r="AB537">
        <f t="shared" si="125"/>
        <v>6</v>
      </c>
      <c r="AC537">
        <f t="shared" si="115"/>
        <v>138</v>
      </c>
    </row>
    <row r="538" spans="2:29" x14ac:dyDescent="0.35">
      <c r="B538" t="s">
        <v>21</v>
      </c>
      <c r="E538" t="s">
        <v>461</v>
      </c>
      <c r="J538" t="s">
        <v>6</v>
      </c>
      <c r="K538">
        <v>63</v>
      </c>
      <c r="L538">
        <v>63</v>
      </c>
      <c r="M538">
        <v>63</v>
      </c>
      <c r="N538">
        <v>38</v>
      </c>
      <c r="O538">
        <v>16</v>
      </c>
      <c r="P538">
        <v>29</v>
      </c>
      <c r="Q538">
        <v>24</v>
      </c>
      <c r="R538">
        <v>34</v>
      </c>
      <c r="S538">
        <v>52</v>
      </c>
      <c r="T538">
        <v>16</v>
      </c>
      <c r="U538">
        <v>46</v>
      </c>
      <c r="V538">
        <v>10</v>
      </c>
      <c r="W538">
        <v>22</v>
      </c>
      <c r="X538">
        <v>14</v>
      </c>
      <c r="Y538">
        <v>40</v>
      </c>
      <c r="Z538">
        <v>24</v>
      </c>
      <c r="AA538">
        <v>22</v>
      </c>
      <c r="AC538">
        <f t="shared" si="115"/>
        <v>576</v>
      </c>
    </row>
    <row r="539" spans="2:29" x14ac:dyDescent="0.35">
      <c r="E539" t="s">
        <v>54</v>
      </c>
      <c r="K539">
        <f t="shared" ref="K539:AB539" si="126">K538*0.5</f>
        <v>31.5</v>
      </c>
      <c r="L539">
        <f t="shared" si="126"/>
        <v>31.5</v>
      </c>
      <c r="M539">
        <f t="shared" si="126"/>
        <v>31.5</v>
      </c>
      <c r="N539">
        <f t="shared" si="126"/>
        <v>19</v>
      </c>
      <c r="O539">
        <f t="shared" si="126"/>
        <v>8</v>
      </c>
      <c r="P539">
        <f t="shared" si="126"/>
        <v>14.5</v>
      </c>
      <c r="Q539">
        <f t="shared" si="126"/>
        <v>12</v>
      </c>
      <c r="R539">
        <f t="shared" si="126"/>
        <v>17</v>
      </c>
      <c r="S539">
        <f t="shared" si="126"/>
        <v>26</v>
      </c>
      <c r="T539">
        <f t="shared" si="126"/>
        <v>8</v>
      </c>
      <c r="U539">
        <f t="shared" si="126"/>
        <v>23</v>
      </c>
      <c r="V539">
        <f t="shared" si="126"/>
        <v>5</v>
      </c>
      <c r="W539">
        <f t="shared" si="126"/>
        <v>11</v>
      </c>
      <c r="X539">
        <f t="shared" si="126"/>
        <v>7</v>
      </c>
      <c r="Y539">
        <f t="shared" si="126"/>
        <v>20</v>
      </c>
      <c r="Z539">
        <f t="shared" si="126"/>
        <v>12</v>
      </c>
      <c r="AA539">
        <f t="shared" si="126"/>
        <v>11</v>
      </c>
      <c r="AB539">
        <f t="shared" si="126"/>
        <v>0</v>
      </c>
      <c r="AC539">
        <f t="shared" si="115"/>
        <v>288</v>
      </c>
    </row>
    <row r="540" spans="2:29" x14ac:dyDescent="0.35">
      <c r="B540" t="s">
        <v>22</v>
      </c>
      <c r="E540" t="s">
        <v>462</v>
      </c>
      <c r="J540" t="s">
        <v>6</v>
      </c>
      <c r="K540">
        <v>71</v>
      </c>
      <c r="L540">
        <v>71</v>
      </c>
      <c r="M540">
        <v>71</v>
      </c>
      <c r="N540">
        <v>31</v>
      </c>
      <c r="O540">
        <v>15</v>
      </c>
      <c r="P540">
        <v>16</v>
      </c>
      <c r="Q540">
        <v>16</v>
      </c>
      <c r="R540">
        <v>17</v>
      </c>
      <c r="S540">
        <v>36</v>
      </c>
      <c r="T540">
        <v>9</v>
      </c>
      <c r="U540">
        <v>42</v>
      </c>
      <c r="V540">
        <v>10</v>
      </c>
      <c r="W540">
        <v>19</v>
      </c>
      <c r="X540">
        <v>14</v>
      </c>
      <c r="Y540">
        <v>27</v>
      </c>
      <c r="Z540">
        <v>17</v>
      </c>
      <c r="AA540">
        <v>13</v>
      </c>
      <c r="AC540">
        <f t="shared" si="115"/>
        <v>495</v>
      </c>
    </row>
    <row r="541" spans="2:29" x14ac:dyDescent="0.35">
      <c r="G541" s="7"/>
      <c r="K541">
        <f t="shared" ref="K541:AB541" si="127">K540*0.5</f>
        <v>35.5</v>
      </c>
      <c r="L541">
        <f t="shared" si="127"/>
        <v>35.5</v>
      </c>
      <c r="M541">
        <f t="shared" si="127"/>
        <v>35.5</v>
      </c>
      <c r="N541">
        <f t="shared" si="127"/>
        <v>15.5</v>
      </c>
      <c r="O541">
        <f t="shared" si="127"/>
        <v>7.5</v>
      </c>
      <c r="P541">
        <f t="shared" si="127"/>
        <v>8</v>
      </c>
      <c r="Q541">
        <f t="shared" si="127"/>
        <v>8</v>
      </c>
      <c r="R541">
        <f t="shared" si="127"/>
        <v>8.5</v>
      </c>
      <c r="S541">
        <f t="shared" si="127"/>
        <v>18</v>
      </c>
      <c r="T541">
        <f t="shared" si="127"/>
        <v>4.5</v>
      </c>
      <c r="U541">
        <f t="shared" si="127"/>
        <v>21</v>
      </c>
      <c r="V541">
        <f t="shared" si="127"/>
        <v>5</v>
      </c>
      <c r="W541">
        <f t="shared" si="127"/>
        <v>9.5</v>
      </c>
      <c r="X541">
        <f t="shared" si="127"/>
        <v>7</v>
      </c>
      <c r="Y541">
        <f t="shared" si="127"/>
        <v>13.5</v>
      </c>
      <c r="Z541">
        <f t="shared" si="127"/>
        <v>8.5</v>
      </c>
      <c r="AA541">
        <f t="shared" si="127"/>
        <v>6.5</v>
      </c>
      <c r="AB541">
        <f t="shared" si="127"/>
        <v>0</v>
      </c>
      <c r="AC541">
        <f t="shared" si="115"/>
        <v>247.5</v>
      </c>
    </row>
    <row r="542" spans="2:29" x14ac:dyDescent="0.35">
      <c r="E542" t="s">
        <v>463</v>
      </c>
      <c r="J542" t="s">
        <v>6</v>
      </c>
      <c r="K542">
        <v>4</v>
      </c>
      <c r="L542">
        <v>4</v>
      </c>
      <c r="M542">
        <v>4</v>
      </c>
      <c r="N542">
        <v>4</v>
      </c>
      <c r="O542">
        <v>4</v>
      </c>
      <c r="P542">
        <v>4</v>
      </c>
      <c r="Q542">
        <v>4</v>
      </c>
      <c r="R542">
        <v>4</v>
      </c>
      <c r="S542">
        <v>4</v>
      </c>
      <c r="T542">
        <v>4</v>
      </c>
      <c r="U542">
        <v>4</v>
      </c>
      <c r="V542">
        <v>4</v>
      </c>
      <c r="Y542">
        <v>4</v>
      </c>
      <c r="Z542">
        <v>4</v>
      </c>
      <c r="AA542">
        <v>4</v>
      </c>
      <c r="AC542">
        <f t="shared" si="115"/>
        <v>60</v>
      </c>
    </row>
    <row r="543" spans="2:29" x14ac:dyDescent="0.35">
      <c r="E543" t="s">
        <v>121</v>
      </c>
      <c r="J543" t="s">
        <v>6</v>
      </c>
      <c r="K543">
        <f t="shared" ref="K543:AB543" si="128">4*K496</f>
        <v>1632</v>
      </c>
      <c r="L543">
        <f t="shared" si="128"/>
        <v>792</v>
      </c>
      <c r="M543">
        <f t="shared" si="128"/>
        <v>1648</v>
      </c>
      <c r="N543">
        <f t="shared" si="128"/>
        <v>0</v>
      </c>
      <c r="O543">
        <f t="shared" si="128"/>
        <v>0</v>
      </c>
      <c r="P543">
        <f t="shared" si="128"/>
        <v>0</v>
      </c>
      <c r="Q543">
        <f t="shared" si="128"/>
        <v>0</v>
      </c>
      <c r="R543">
        <f t="shared" si="128"/>
        <v>0</v>
      </c>
      <c r="S543">
        <f t="shared" si="128"/>
        <v>0</v>
      </c>
      <c r="T543">
        <f t="shared" si="128"/>
        <v>0</v>
      </c>
      <c r="U543">
        <f t="shared" si="128"/>
        <v>0</v>
      </c>
      <c r="V543">
        <f t="shared" si="128"/>
        <v>0</v>
      </c>
      <c r="W543">
        <f t="shared" si="128"/>
        <v>0</v>
      </c>
      <c r="X543">
        <f t="shared" si="128"/>
        <v>0</v>
      </c>
      <c r="Y543">
        <f t="shared" si="128"/>
        <v>0</v>
      </c>
      <c r="Z543">
        <f t="shared" si="128"/>
        <v>0</v>
      </c>
      <c r="AA543">
        <f t="shared" si="128"/>
        <v>0</v>
      </c>
      <c r="AB543">
        <f t="shared" si="128"/>
        <v>0</v>
      </c>
      <c r="AC543">
        <f t="shared" si="115"/>
        <v>4072</v>
      </c>
    </row>
    <row r="544" spans="2:29" x14ac:dyDescent="0.35">
      <c r="B544" t="s">
        <v>25</v>
      </c>
      <c r="K544" t="s">
        <v>553</v>
      </c>
      <c r="L544" t="s">
        <v>553</v>
      </c>
      <c r="M544" t="s">
        <v>553</v>
      </c>
      <c r="N544" t="s">
        <v>553</v>
      </c>
      <c r="O544" t="s">
        <v>553</v>
      </c>
      <c r="P544" t="s">
        <v>553</v>
      </c>
      <c r="Q544" t="s">
        <v>553</v>
      </c>
      <c r="R544" t="s">
        <v>553</v>
      </c>
      <c r="S544" t="s">
        <v>553</v>
      </c>
      <c r="T544" t="s">
        <v>553</v>
      </c>
      <c r="U544" t="s">
        <v>553</v>
      </c>
      <c r="Y544" t="s">
        <v>553</v>
      </c>
      <c r="Z544" t="s">
        <v>553</v>
      </c>
      <c r="AA544" t="s">
        <v>553</v>
      </c>
      <c r="AB544" t="s">
        <v>553</v>
      </c>
    </row>
    <row r="545" spans="2:29" x14ac:dyDescent="0.35">
      <c r="B545" t="s">
        <v>8</v>
      </c>
      <c r="E545" t="s">
        <v>350</v>
      </c>
      <c r="H545" t="s">
        <v>4</v>
      </c>
      <c r="I545" t="s">
        <v>3</v>
      </c>
      <c r="J545" t="s">
        <v>7</v>
      </c>
      <c r="K545" t="s">
        <v>10</v>
      </c>
      <c r="L545" t="s">
        <v>10</v>
      </c>
      <c r="M545" t="s">
        <v>10</v>
      </c>
      <c r="N545" t="s">
        <v>10</v>
      </c>
      <c r="P545" t="s">
        <v>10</v>
      </c>
      <c r="Q545" t="s">
        <v>10</v>
      </c>
      <c r="R545" t="s">
        <v>10</v>
      </c>
      <c r="S545" t="s">
        <v>10</v>
      </c>
      <c r="T545" t="s">
        <v>10</v>
      </c>
      <c r="V545" t="s">
        <v>10</v>
      </c>
      <c r="Y545" t="s">
        <v>10</v>
      </c>
      <c r="Z545" t="s">
        <v>10</v>
      </c>
      <c r="AA545" t="s">
        <v>10</v>
      </c>
      <c r="AB545" t="s">
        <v>10</v>
      </c>
    </row>
    <row r="546" spans="2:29" x14ac:dyDescent="0.35">
      <c r="E546" t="s">
        <v>25</v>
      </c>
      <c r="K546">
        <v>6.3327028194899997</v>
      </c>
      <c r="L546">
        <v>6.3327028194899997</v>
      </c>
      <c r="M546">
        <v>6.3327028194899997</v>
      </c>
      <c r="N546">
        <v>9.8089999999999993</v>
      </c>
      <c r="O546">
        <v>4.4130000000000003</v>
      </c>
      <c r="P546">
        <v>6.5140000000000002</v>
      </c>
      <c r="Q546">
        <v>4.41</v>
      </c>
      <c r="R546">
        <v>5.5739999999999998</v>
      </c>
      <c r="S546">
        <v>6.3327</v>
      </c>
      <c r="T546">
        <v>5.5739999999999998</v>
      </c>
      <c r="U546">
        <v>5.4509999999999996</v>
      </c>
      <c r="V546">
        <v>5.3486137456353999</v>
      </c>
      <c r="W546">
        <f>5.54</f>
        <v>5.54</v>
      </c>
      <c r="X546">
        <v>5.54</v>
      </c>
      <c r="Y546">
        <v>6.3327</v>
      </c>
      <c r="Z546">
        <v>5.51</v>
      </c>
      <c r="AA546">
        <v>5.51</v>
      </c>
      <c r="AB546">
        <v>3.39</v>
      </c>
    </row>
    <row r="547" spans="2:29" x14ac:dyDescent="0.35">
      <c r="J547" t="s">
        <v>23</v>
      </c>
      <c r="K547" t="e">
        <f>(K546*#REF!)*2</f>
        <v>#REF!</v>
      </c>
      <c r="L547" t="e">
        <f>(L546*#REF!)*2</f>
        <v>#REF!</v>
      </c>
      <c r="M547" t="e">
        <f>(M546*#REF!)*2</f>
        <v>#REF!</v>
      </c>
      <c r="N547" t="e">
        <f>(N546*#REF!)*2</f>
        <v>#REF!</v>
      </c>
      <c r="O547" t="e">
        <f>(O546*#REF!)*2</f>
        <v>#REF!</v>
      </c>
      <c r="P547" t="e">
        <f>(P546*#REF!)*2</f>
        <v>#REF!</v>
      </c>
      <c r="Q547" t="e">
        <f>(Q546*#REF!)*2</f>
        <v>#REF!</v>
      </c>
      <c r="R547" t="e">
        <f>(R546*#REF!)*2</f>
        <v>#REF!</v>
      </c>
      <c r="S547" t="e">
        <f>(S546*#REF!)*2</f>
        <v>#REF!</v>
      </c>
      <c r="T547" t="e">
        <f>(T546*#REF!)*2</f>
        <v>#REF!</v>
      </c>
      <c r="U547" t="e">
        <f>(U546*#REF!)*2</f>
        <v>#REF!</v>
      </c>
      <c r="V547" t="e">
        <f>(V546*#REF!)*2</f>
        <v>#REF!</v>
      </c>
      <c r="W547" t="e">
        <f>(W546*#REF!)*2</f>
        <v>#REF!</v>
      </c>
      <c r="X547" t="e">
        <f>(X546*#REF!)*2</f>
        <v>#REF!</v>
      </c>
      <c r="Y547" t="e">
        <f>(Y546*#REF!)*2</f>
        <v>#REF!</v>
      </c>
      <c r="Z547" t="e">
        <f>(Z546*#REF!)*2</f>
        <v>#REF!</v>
      </c>
      <c r="AA547" t="e">
        <f>(AA546*#REF!)*2</f>
        <v>#REF!</v>
      </c>
      <c r="AB547" t="e">
        <f>(AB546*#REF!)*2</f>
        <v>#REF!</v>
      </c>
      <c r="AC547" t="e">
        <f>SUM(K547:AB547)</f>
        <v>#REF!</v>
      </c>
    </row>
    <row r="548" spans="2:29" x14ac:dyDescent="0.35">
      <c r="B548" t="s">
        <v>551</v>
      </c>
      <c r="K548">
        <v>10.225</v>
      </c>
      <c r="L548">
        <v>10.225</v>
      </c>
      <c r="M548">
        <v>10.225</v>
      </c>
      <c r="N548">
        <v>16.36</v>
      </c>
      <c r="O548">
        <v>14.315</v>
      </c>
      <c r="P548">
        <v>24.54</v>
      </c>
      <c r="Q548">
        <v>6.14</v>
      </c>
      <c r="R548">
        <v>8.18</v>
      </c>
      <c r="S548">
        <v>41.921999999999997</v>
      </c>
      <c r="T548">
        <v>8.18</v>
      </c>
      <c r="U548">
        <v>10.225</v>
      </c>
      <c r="V548">
        <v>8.18</v>
      </c>
      <c r="W548">
        <v>8.1850000000000005</v>
      </c>
      <c r="X548">
        <v>8.1850000000000005</v>
      </c>
      <c r="Y548">
        <v>10.225</v>
      </c>
      <c r="Z548">
        <v>8.18</v>
      </c>
      <c r="AA548">
        <v>8.18</v>
      </c>
      <c r="AB548">
        <v>4</v>
      </c>
    </row>
    <row r="549" spans="2:29" x14ac:dyDescent="0.35">
      <c r="B549" t="s">
        <v>552</v>
      </c>
      <c r="K549" t="e">
        <f>(K548+0.117)*(#REF!+0.117)</f>
        <v>#REF!</v>
      </c>
      <c r="L549" t="e">
        <f>(L548+0.117)*(#REF!+0.117)</f>
        <v>#REF!</v>
      </c>
      <c r="M549" t="e">
        <f>(M548+0.117)*(#REF!+0.117)</f>
        <v>#REF!</v>
      </c>
      <c r="N549" t="e">
        <f>(N548+0.117)*(#REF!+0.117)</f>
        <v>#REF!</v>
      </c>
      <c r="O549" t="e">
        <f>(O548+0.117)*(#REF!+0.117)</f>
        <v>#REF!</v>
      </c>
      <c r="P549" t="e">
        <f>(P548+0.117)*(#REF!+0.117)</f>
        <v>#REF!</v>
      </c>
      <c r="Q549" t="e">
        <f>(Q548+0.117)*(#REF!+0.117)</f>
        <v>#REF!</v>
      </c>
      <c r="R549" t="e">
        <f>(R548+0.117)*(#REF!+0.117)</f>
        <v>#REF!</v>
      </c>
      <c r="S549" t="e">
        <f>(S548+0.117)*(#REF!+0.117)</f>
        <v>#REF!</v>
      </c>
      <c r="T549" t="e">
        <f>(T548+0.117)*(#REF!+0.117)</f>
        <v>#REF!</v>
      </c>
      <c r="U549" t="e">
        <f>(U548+0.117)*(#REF!+0.117)</f>
        <v>#REF!</v>
      </c>
      <c r="V549" t="e">
        <f>(V548+0.117)*(#REF!+0.117)</f>
        <v>#REF!</v>
      </c>
      <c r="W549" t="e">
        <f>(W548+0.117)*(#REF!+0.117)</f>
        <v>#REF!</v>
      </c>
      <c r="X549" t="e">
        <f>(X548+0.117)*(#REF!+0.117)</f>
        <v>#REF!</v>
      </c>
      <c r="Y549" t="e">
        <f>(Y548+0.117)*(#REF!+0.117)</f>
        <v>#REF!</v>
      </c>
      <c r="Z549" t="e">
        <f>(Z548+0.117)*(#REF!+0.117)</f>
        <v>#REF!</v>
      </c>
      <c r="AA549" t="e">
        <f>(AA548+0.117)*(#REF!+0.117)</f>
        <v>#REF!</v>
      </c>
      <c r="AB549" t="e">
        <f>(AB548+0.117)*(#REF!+0.117)</f>
        <v>#REF!</v>
      </c>
      <c r="AC549" t="e">
        <f>SUM(K549:AB549)</f>
        <v>#REF!</v>
      </c>
    </row>
    <row r="550" spans="2:29" x14ac:dyDescent="0.35">
      <c r="B550" t="s">
        <v>620</v>
      </c>
      <c r="K550">
        <v>12.3413</v>
      </c>
      <c r="L550">
        <v>12.3413</v>
      </c>
      <c r="M550">
        <v>12.3413</v>
      </c>
      <c r="N550">
        <v>18.82</v>
      </c>
      <c r="O550">
        <v>8.5</v>
      </c>
      <c r="P550">
        <v>12.54</v>
      </c>
      <c r="Q550">
        <v>8.5</v>
      </c>
      <c r="R550">
        <v>10.785</v>
      </c>
      <c r="S550">
        <v>12.3413</v>
      </c>
      <c r="T550">
        <v>10.766</v>
      </c>
      <c r="U550">
        <v>12.685</v>
      </c>
      <c r="V550">
        <v>10.297000000000001</v>
      </c>
      <c r="W550">
        <v>10.297000000000001</v>
      </c>
      <c r="X550">
        <v>10.297599999999999</v>
      </c>
      <c r="Y550">
        <v>12.34</v>
      </c>
      <c r="Z550">
        <v>10.64</v>
      </c>
      <c r="AA550">
        <v>10.64</v>
      </c>
      <c r="AB550">
        <v>6.59</v>
      </c>
    </row>
    <row r="551" spans="2:29" x14ac:dyDescent="0.35">
      <c r="K551" t="e">
        <f>K550*#REF!</f>
        <v>#REF!</v>
      </c>
      <c r="L551" t="e">
        <f>L550*#REF!</f>
        <v>#REF!</v>
      </c>
      <c r="M551" t="e">
        <f>M550*#REF!</f>
        <v>#REF!</v>
      </c>
      <c r="N551" t="e">
        <f>N550*#REF!</f>
        <v>#REF!</v>
      </c>
      <c r="O551" t="e">
        <f>O550*#REF!</f>
        <v>#REF!</v>
      </c>
      <c r="P551" t="e">
        <f>P550*#REF!</f>
        <v>#REF!</v>
      </c>
      <c r="Q551" t="e">
        <f>Q550*#REF!</f>
        <v>#REF!</v>
      </c>
      <c r="R551" t="e">
        <f>R550*#REF!</f>
        <v>#REF!</v>
      </c>
      <c r="S551" t="e">
        <f>S550*#REF!</f>
        <v>#REF!</v>
      </c>
      <c r="T551" t="e">
        <f>T550*#REF!</f>
        <v>#REF!</v>
      </c>
      <c r="U551" t="e">
        <f>U550*#REF!</f>
        <v>#REF!</v>
      </c>
      <c r="V551" t="e">
        <f>V550*#REF!</f>
        <v>#REF!</v>
      </c>
      <c r="W551" t="e">
        <f>W550*#REF!</f>
        <v>#REF!</v>
      </c>
      <c r="X551" t="e">
        <f>X550*#REF!</f>
        <v>#REF!</v>
      </c>
      <c r="Y551" t="e">
        <f>Y550*#REF!</f>
        <v>#REF!</v>
      </c>
      <c r="Z551" t="e">
        <f>Z550*#REF!</f>
        <v>#REF!</v>
      </c>
      <c r="AA551" t="e">
        <f>AA550*#REF!</f>
        <v>#REF!</v>
      </c>
      <c r="AB551" t="e">
        <f>AB550*#REF!</f>
        <v>#REF!</v>
      </c>
    </row>
    <row r="552" spans="2:29" x14ac:dyDescent="0.35">
      <c r="B552" t="s">
        <v>621</v>
      </c>
      <c r="K552">
        <f>K546*2</f>
        <v>12.665405638979999</v>
      </c>
      <c r="L552">
        <v>12.665405638979999</v>
      </c>
      <c r="M552">
        <v>12.665405638979999</v>
      </c>
      <c r="N552">
        <f>+N546*2</f>
        <v>19.617999999999999</v>
      </c>
      <c r="O552">
        <f>+O546*2</f>
        <v>8.8260000000000005</v>
      </c>
      <c r="P552">
        <f t="shared" ref="P552:AB552" si="129">P546*2</f>
        <v>13.028</v>
      </c>
      <c r="Q552">
        <f t="shared" si="129"/>
        <v>8.82</v>
      </c>
      <c r="R552">
        <f t="shared" si="129"/>
        <v>11.148</v>
      </c>
      <c r="S552">
        <f t="shared" si="129"/>
        <v>12.6654</v>
      </c>
      <c r="T552">
        <f t="shared" si="129"/>
        <v>11.148</v>
      </c>
      <c r="U552">
        <f t="shared" si="129"/>
        <v>10.901999999999999</v>
      </c>
      <c r="V552">
        <f t="shared" si="129"/>
        <v>10.6972274912708</v>
      </c>
      <c r="W552">
        <f t="shared" si="129"/>
        <v>11.08</v>
      </c>
      <c r="X552">
        <f t="shared" si="129"/>
        <v>11.08</v>
      </c>
      <c r="Y552">
        <f t="shared" si="129"/>
        <v>12.6654</v>
      </c>
      <c r="Z552">
        <f t="shared" si="129"/>
        <v>11.02</v>
      </c>
      <c r="AA552">
        <f t="shared" si="129"/>
        <v>11.02</v>
      </c>
      <c r="AB552">
        <f t="shared" si="129"/>
        <v>6.78</v>
      </c>
    </row>
    <row r="553" spans="2:29" x14ac:dyDescent="0.35">
      <c r="B553" t="s">
        <v>622</v>
      </c>
      <c r="K553">
        <v>31</v>
      </c>
      <c r="L553">
        <v>31</v>
      </c>
      <c r="M553">
        <v>31</v>
      </c>
      <c r="N553">
        <v>22</v>
      </c>
      <c r="O553">
        <v>6</v>
      </c>
      <c r="P553">
        <v>11</v>
      </c>
      <c r="Q553">
        <v>10</v>
      </c>
      <c r="R553">
        <v>14</v>
      </c>
      <c r="S553">
        <v>21</v>
      </c>
      <c r="T553">
        <v>6</v>
      </c>
      <c r="U553">
        <v>4</v>
      </c>
      <c r="V553">
        <v>3</v>
      </c>
      <c r="W553">
        <v>9</v>
      </c>
      <c r="X553">
        <v>7</v>
      </c>
      <c r="Y553">
        <v>16.5</v>
      </c>
      <c r="Z553">
        <v>10</v>
      </c>
      <c r="AA553">
        <v>5</v>
      </c>
      <c r="AB553">
        <v>5</v>
      </c>
    </row>
    <row r="554" spans="2:29" x14ac:dyDescent="0.35">
      <c r="E554" t="s">
        <v>896</v>
      </c>
      <c r="J554" t="s">
        <v>27</v>
      </c>
      <c r="K554" t="e">
        <f t="shared" ref="K554:AB554" si="130">K547*5.615</f>
        <v>#REF!</v>
      </c>
      <c r="L554" t="e">
        <f t="shared" si="130"/>
        <v>#REF!</v>
      </c>
      <c r="M554" t="e">
        <f t="shared" si="130"/>
        <v>#REF!</v>
      </c>
      <c r="N554" t="e">
        <f t="shared" si="130"/>
        <v>#REF!</v>
      </c>
      <c r="O554" t="e">
        <f t="shared" si="130"/>
        <v>#REF!</v>
      </c>
      <c r="P554" t="e">
        <f t="shared" si="130"/>
        <v>#REF!</v>
      </c>
      <c r="Q554" t="e">
        <f t="shared" si="130"/>
        <v>#REF!</v>
      </c>
      <c r="R554" t="e">
        <f t="shared" si="130"/>
        <v>#REF!</v>
      </c>
      <c r="S554" t="e">
        <f t="shared" si="130"/>
        <v>#REF!</v>
      </c>
      <c r="T554" t="e">
        <f t="shared" si="130"/>
        <v>#REF!</v>
      </c>
      <c r="U554" t="e">
        <f t="shared" si="130"/>
        <v>#REF!</v>
      </c>
      <c r="V554" t="e">
        <f t="shared" si="130"/>
        <v>#REF!</v>
      </c>
      <c r="W554" t="e">
        <f t="shared" si="130"/>
        <v>#REF!</v>
      </c>
      <c r="X554" t="e">
        <f t="shared" si="130"/>
        <v>#REF!</v>
      </c>
      <c r="Y554" t="e">
        <f t="shared" si="130"/>
        <v>#REF!</v>
      </c>
      <c r="Z554" t="e">
        <f t="shared" si="130"/>
        <v>#REF!</v>
      </c>
      <c r="AA554" t="e">
        <f t="shared" si="130"/>
        <v>#REF!</v>
      </c>
      <c r="AB554" t="e">
        <f t="shared" si="130"/>
        <v>#REF!</v>
      </c>
      <c r="AC554" t="e">
        <f t="shared" ref="AC554:AC559" si="131">SUM(K554:AB554)</f>
        <v>#REF!</v>
      </c>
    </row>
    <row r="555" spans="2:29" x14ac:dyDescent="0.35">
      <c r="E555" t="s">
        <v>899</v>
      </c>
      <c r="J555" t="s">
        <v>27</v>
      </c>
      <c r="K555" t="e">
        <f>(#REF!/0.453)*2</f>
        <v>#REF!</v>
      </c>
      <c r="L555" t="e">
        <f>(#REF!/0.453)*2</f>
        <v>#REF!</v>
      </c>
      <c r="M555" t="e">
        <f>(#REF!/0.453)*2</f>
        <v>#REF!</v>
      </c>
      <c r="N555" t="e">
        <f>(#REF!/0.453)*2</f>
        <v>#REF!</v>
      </c>
      <c r="O555" t="e">
        <f>(#REF!/0.453)*2</f>
        <v>#REF!</v>
      </c>
      <c r="P555" t="e">
        <f>(#REF!/0.453)*2</f>
        <v>#REF!</v>
      </c>
      <c r="Q555" t="e">
        <f>(#REF!/0.453)*2</f>
        <v>#REF!</v>
      </c>
      <c r="R555" t="e">
        <f>(#REF!/0.453)*2</f>
        <v>#REF!</v>
      </c>
      <c r="S555" t="e">
        <f>(#REF!/0.453)*2</f>
        <v>#REF!</v>
      </c>
      <c r="T555" t="e">
        <f>(#REF!/0.453)*2</f>
        <v>#REF!</v>
      </c>
      <c r="U555" t="e">
        <f>(#REF!/0.453)*2</f>
        <v>#REF!</v>
      </c>
      <c r="V555" t="e">
        <f>(#REF!/0.453)*2</f>
        <v>#REF!</v>
      </c>
      <c r="W555" t="e">
        <f>(#REF!/0.453)*2</f>
        <v>#REF!</v>
      </c>
      <c r="X555" t="e">
        <f>(#REF!/0.453)*2</f>
        <v>#REF!</v>
      </c>
      <c r="Y555" t="e">
        <f>(#REF!/0.453)*2</f>
        <v>#REF!</v>
      </c>
      <c r="Z555" t="e">
        <f>(#REF!/0.453)*2</f>
        <v>#REF!</v>
      </c>
      <c r="AA555" t="e">
        <f>(#REF!/0.453)*2</f>
        <v>#REF!</v>
      </c>
      <c r="AB555" t="e">
        <f>(#REF!/0.453)*2</f>
        <v>#REF!</v>
      </c>
      <c r="AC555" t="e">
        <f t="shared" si="131"/>
        <v>#REF!</v>
      </c>
    </row>
    <row r="556" spans="2:29" x14ac:dyDescent="0.35">
      <c r="E556" t="s">
        <v>897</v>
      </c>
      <c r="J556" t="s">
        <v>27</v>
      </c>
      <c r="K556">
        <v>0</v>
      </c>
      <c r="L556">
        <v>0</v>
      </c>
      <c r="M556">
        <v>0</v>
      </c>
      <c r="N556">
        <v>0</v>
      </c>
      <c r="O556">
        <v>0</v>
      </c>
      <c r="Q556">
        <v>0</v>
      </c>
      <c r="R556">
        <v>0</v>
      </c>
      <c r="T556">
        <v>0</v>
      </c>
      <c r="U556">
        <v>0</v>
      </c>
      <c r="V556">
        <v>0</v>
      </c>
      <c r="W556">
        <v>0</v>
      </c>
      <c r="X556">
        <v>0</v>
      </c>
      <c r="Y556">
        <v>1</v>
      </c>
      <c r="Z556">
        <v>1</v>
      </c>
      <c r="AA556">
        <v>1</v>
      </c>
      <c r="AB556">
        <v>1</v>
      </c>
      <c r="AC556">
        <f t="shared" si="131"/>
        <v>4</v>
      </c>
    </row>
    <row r="557" spans="2:29" x14ac:dyDescent="0.35">
      <c r="E557" t="s">
        <v>898</v>
      </c>
      <c r="J557" t="s">
        <v>27</v>
      </c>
      <c r="K557" t="e">
        <f t="shared" ref="K557:AB557" si="132">K555/2</f>
        <v>#REF!</v>
      </c>
      <c r="L557" t="e">
        <f t="shared" si="132"/>
        <v>#REF!</v>
      </c>
      <c r="M557" t="e">
        <f t="shared" si="132"/>
        <v>#REF!</v>
      </c>
      <c r="N557" t="e">
        <f t="shared" si="132"/>
        <v>#REF!</v>
      </c>
      <c r="O557" t="e">
        <f t="shared" si="132"/>
        <v>#REF!</v>
      </c>
      <c r="P557" t="e">
        <f t="shared" si="132"/>
        <v>#REF!</v>
      </c>
      <c r="Q557" t="e">
        <f t="shared" si="132"/>
        <v>#REF!</v>
      </c>
      <c r="R557" t="e">
        <f t="shared" si="132"/>
        <v>#REF!</v>
      </c>
      <c r="S557" t="e">
        <f t="shared" si="132"/>
        <v>#REF!</v>
      </c>
      <c r="T557" t="e">
        <f t="shared" si="132"/>
        <v>#REF!</v>
      </c>
      <c r="U557" t="e">
        <f t="shared" si="132"/>
        <v>#REF!</v>
      </c>
      <c r="V557" t="e">
        <f t="shared" si="132"/>
        <v>#REF!</v>
      </c>
      <c r="W557" t="e">
        <f t="shared" si="132"/>
        <v>#REF!</v>
      </c>
      <c r="X557" t="e">
        <f t="shared" si="132"/>
        <v>#REF!</v>
      </c>
      <c r="Y557" t="e">
        <f t="shared" si="132"/>
        <v>#REF!</v>
      </c>
      <c r="Z557" t="e">
        <f t="shared" si="132"/>
        <v>#REF!</v>
      </c>
      <c r="AA557" t="e">
        <f t="shared" si="132"/>
        <v>#REF!</v>
      </c>
      <c r="AB557" t="e">
        <f t="shared" si="132"/>
        <v>#REF!</v>
      </c>
      <c r="AC557" t="e">
        <f t="shared" si="131"/>
        <v>#REF!</v>
      </c>
    </row>
    <row r="558" spans="2:29" x14ac:dyDescent="0.35">
      <c r="E558" t="s">
        <v>900</v>
      </c>
      <c r="J558" t="s">
        <v>27</v>
      </c>
      <c r="K558">
        <v>0</v>
      </c>
      <c r="L558">
        <v>0</v>
      </c>
      <c r="M558">
        <v>0</v>
      </c>
      <c r="N558">
        <v>0</v>
      </c>
      <c r="O558">
        <v>0</v>
      </c>
      <c r="Q558">
        <v>0</v>
      </c>
      <c r="R558">
        <v>0</v>
      </c>
      <c r="T558">
        <v>0</v>
      </c>
      <c r="U558">
        <v>0</v>
      </c>
      <c r="V558">
        <v>0</v>
      </c>
      <c r="W558">
        <v>0</v>
      </c>
      <c r="X558">
        <v>0</v>
      </c>
      <c r="Y558">
        <v>2</v>
      </c>
      <c r="Z558">
        <v>2</v>
      </c>
      <c r="AA558">
        <v>2</v>
      </c>
      <c r="AB558">
        <v>2</v>
      </c>
      <c r="AC558">
        <f t="shared" si="131"/>
        <v>8</v>
      </c>
    </row>
    <row r="559" spans="2:29" x14ac:dyDescent="0.35">
      <c r="B559" t="s">
        <v>127</v>
      </c>
      <c r="E559" t="s">
        <v>901</v>
      </c>
      <c r="J559" t="s">
        <v>27</v>
      </c>
      <c r="K559">
        <f t="shared" ref="K559:X559" si="133">((K546/2.95)*2)*2</f>
        <v>8.586715687444066</v>
      </c>
      <c r="L559">
        <f t="shared" si="133"/>
        <v>8.586715687444066</v>
      </c>
      <c r="M559">
        <f t="shared" si="133"/>
        <v>8.586715687444066</v>
      </c>
      <c r="N559">
        <f t="shared" si="133"/>
        <v>13.300338983050846</v>
      </c>
      <c r="O559">
        <f t="shared" si="133"/>
        <v>5.9837288135593223</v>
      </c>
      <c r="P559">
        <f t="shared" si="133"/>
        <v>8.8325423728813561</v>
      </c>
      <c r="Q559">
        <f t="shared" si="133"/>
        <v>5.9796610169491524</v>
      </c>
      <c r="R559">
        <f t="shared" si="133"/>
        <v>7.5579661016949142</v>
      </c>
      <c r="S559">
        <f t="shared" si="133"/>
        <v>8.5867118644067784</v>
      </c>
      <c r="T559">
        <f t="shared" si="133"/>
        <v>7.5579661016949142</v>
      </c>
      <c r="U559">
        <f t="shared" si="133"/>
        <v>7.3911864406779655</v>
      </c>
      <c r="V559">
        <f t="shared" si="133"/>
        <v>7.2523576212005416</v>
      </c>
      <c r="W559">
        <f t="shared" si="133"/>
        <v>7.5118644067796607</v>
      </c>
      <c r="X559">
        <f t="shared" si="133"/>
        <v>7.5118644067796607</v>
      </c>
      <c r="Y559">
        <v>8</v>
      </c>
      <c r="Z559">
        <v>8</v>
      </c>
      <c r="AA559">
        <v>8</v>
      </c>
      <c r="AB559">
        <v>8</v>
      </c>
      <c r="AC559">
        <f t="shared" si="131"/>
        <v>145.22633519200733</v>
      </c>
    </row>
    <row r="560" spans="2:29" x14ac:dyDescent="0.35">
      <c r="E560" t="s">
        <v>902</v>
      </c>
      <c r="J560" t="s">
        <v>27</v>
      </c>
      <c r="K560" t="e">
        <f>(#REF!/2.95)*2</f>
        <v>#REF!</v>
      </c>
      <c r="L560" t="e">
        <f>(#REF!/2.95)*2</f>
        <v>#REF!</v>
      </c>
      <c r="M560" t="e">
        <f>(#REF!/2.95)*2</f>
        <v>#REF!</v>
      </c>
      <c r="N560" t="e">
        <f>(#REF!/2.95)*2</f>
        <v>#REF!</v>
      </c>
      <c r="O560" t="e">
        <f>(#REF!/2.95)*2</f>
        <v>#REF!</v>
      </c>
      <c r="P560" t="e">
        <f>(#REF!/2.95)*2</f>
        <v>#REF!</v>
      </c>
      <c r="Q560" t="e">
        <f>(#REF!/2.95)*2</f>
        <v>#REF!</v>
      </c>
      <c r="R560" t="e">
        <f>(#REF!/2.95)*2</f>
        <v>#REF!</v>
      </c>
      <c r="S560" t="e">
        <f>(#REF!/2.95)*2</f>
        <v>#REF!</v>
      </c>
      <c r="T560" t="e">
        <f>(#REF!/2.95)*2</f>
        <v>#REF!</v>
      </c>
      <c r="U560" t="e">
        <f>(#REF!/2.95)*2</f>
        <v>#REF!</v>
      </c>
      <c r="V560" t="e">
        <f>(#REF!/2.95)*2</f>
        <v>#REF!</v>
      </c>
      <c r="W560" t="e">
        <f>(#REF!/2.95)*2</f>
        <v>#REF!</v>
      </c>
      <c r="X560" t="e">
        <f>(#REF!/2.95)*2</f>
        <v>#REF!</v>
      </c>
      <c r="Y560" t="e">
        <f>(#REF!/2.95)*2</f>
        <v>#REF!</v>
      </c>
      <c r="Z560" t="e">
        <f>(#REF!/2.95)*2</f>
        <v>#REF!</v>
      </c>
      <c r="AA560" t="e">
        <f>(#REF!/2.95)*2</f>
        <v>#REF!</v>
      </c>
      <c r="AB560" t="e">
        <f>(#REF!/2.95)*2</f>
        <v>#REF!</v>
      </c>
      <c r="AC560" t="e">
        <f>K560+L560+M560+N560+O560+P560+Q560+S560+T560+U560+V560+W560+X560+Y560+Z560+AA560+AB560</f>
        <v>#REF!</v>
      </c>
    </row>
    <row r="561" spans="2:29" x14ac:dyDescent="0.35">
      <c r="E561" t="s">
        <v>880</v>
      </c>
      <c r="J561" t="s">
        <v>27</v>
      </c>
      <c r="K561" t="e">
        <f t="shared" ref="K561:AB561" si="134">K547/2.9768</f>
        <v>#REF!</v>
      </c>
      <c r="L561" t="e">
        <f t="shared" si="134"/>
        <v>#REF!</v>
      </c>
      <c r="M561" t="e">
        <f t="shared" si="134"/>
        <v>#REF!</v>
      </c>
      <c r="N561" t="e">
        <f t="shared" si="134"/>
        <v>#REF!</v>
      </c>
      <c r="O561" t="e">
        <f t="shared" si="134"/>
        <v>#REF!</v>
      </c>
      <c r="P561" t="e">
        <f t="shared" si="134"/>
        <v>#REF!</v>
      </c>
      <c r="Q561" t="e">
        <f t="shared" si="134"/>
        <v>#REF!</v>
      </c>
      <c r="R561" t="e">
        <f t="shared" si="134"/>
        <v>#REF!</v>
      </c>
      <c r="S561" t="e">
        <f t="shared" si="134"/>
        <v>#REF!</v>
      </c>
      <c r="T561" t="e">
        <f t="shared" si="134"/>
        <v>#REF!</v>
      </c>
      <c r="U561" t="e">
        <f t="shared" si="134"/>
        <v>#REF!</v>
      </c>
      <c r="V561" t="e">
        <f t="shared" si="134"/>
        <v>#REF!</v>
      </c>
      <c r="W561" t="e">
        <f t="shared" si="134"/>
        <v>#REF!</v>
      </c>
      <c r="X561" t="e">
        <f t="shared" si="134"/>
        <v>#REF!</v>
      </c>
      <c r="Y561" t="e">
        <f t="shared" si="134"/>
        <v>#REF!</v>
      </c>
      <c r="Z561" t="e">
        <f t="shared" si="134"/>
        <v>#REF!</v>
      </c>
      <c r="AA561" t="e">
        <f t="shared" si="134"/>
        <v>#REF!</v>
      </c>
      <c r="AB561" t="e">
        <f t="shared" si="134"/>
        <v>#REF!</v>
      </c>
      <c r="AC561" t="e">
        <f t="shared" ref="AC561:AC574" si="135">SUM(K561:AB561)</f>
        <v>#REF!</v>
      </c>
    </row>
    <row r="562" spans="2:29" x14ac:dyDescent="0.35">
      <c r="E562" t="s">
        <v>904</v>
      </c>
      <c r="J562" t="s">
        <v>27</v>
      </c>
      <c r="K562" t="e">
        <f>#REF!/1.22</f>
        <v>#REF!</v>
      </c>
      <c r="L562" t="e">
        <f>#REF!/1.22</f>
        <v>#REF!</v>
      </c>
      <c r="M562" t="e">
        <f>#REF!/1.22</f>
        <v>#REF!</v>
      </c>
      <c r="N562" t="e">
        <f>#REF!/1.22</f>
        <v>#REF!</v>
      </c>
      <c r="O562" t="e">
        <f>#REF!/1.22</f>
        <v>#REF!</v>
      </c>
      <c r="P562" t="e">
        <f>#REF!/1.22</f>
        <v>#REF!</v>
      </c>
      <c r="Q562" t="e">
        <f>#REF!/1.22</f>
        <v>#REF!</v>
      </c>
      <c r="R562" t="e">
        <f>#REF!/1.22</f>
        <v>#REF!</v>
      </c>
      <c r="S562" t="e">
        <f>#REF!/1.22</f>
        <v>#REF!</v>
      </c>
      <c r="T562" t="e">
        <f>#REF!/1.22</f>
        <v>#REF!</v>
      </c>
      <c r="U562" t="e">
        <f>#REF!/1.22</f>
        <v>#REF!</v>
      </c>
      <c r="V562" t="e">
        <f>#REF!/1.22</f>
        <v>#REF!</v>
      </c>
      <c r="W562" t="e">
        <f>#REF!/1.22</f>
        <v>#REF!</v>
      </c>
      <c r="X562" t="e">
        <f>#REF!/1.22</f>
        <v>#REF!</v>
      </c>
      <c r="Y562" t="e">
        <f>#REF!/1.22</f>
        <v>#REF!</v>
      </c>
      <c r="Z562" t="e">
        <f>#REF!/1.22</f>
        <v>#REF!</v>
      </c>
      <c r="AA562" t="e">
        <f>#REF!/1.22</f>
        <v>#REF!</v>
      </c>
      <c r="AB562" t="e">
        <f>#REF!/1.22</f>
        <v>#REF!</v>
      </c>
      <c r="AC562" t="e">
        <f t="shared" si="135"/>
        <v>#REF!</v>
      </c>
    </row>
    <row r="563" spans="2:29" x14ac:dyDescent="0.35">
      <c r="E563" t="s">
        <v>30</v>
      </c>
      <c r="J563" t="s">
        <v>29</v>
      </c>
      <c r="K563" t="e">
        <f t="shared" ref="K563:AB563" si="136">0.02475*K547</f>
        <v>#REF!</v>
      </c>
      <c r="L563" t="e">
        <f t="shared" si="136"/>
        <v>#REF!</v>
      </c>
      <c r="M563" t="e">
        <f t="shared" si="136"/>
        <v>#REF!</v>
      </c>
      <c r="N563" t="e">
        <f t="shared" si="136"/>
        <v>#REF!</v>
      </c>
      <c r="O563" t="e">
        <f t="shared" si="136"/>
        <v>#REF!</v>
      </c>
      <c r="P563" t="e">
        <f t="shared" si="136"/>
        <v>#REF!</v>
      </c>
      <c r="Q563" t="e">
        <f t="shared" si="136"/>
        <v>#REF!</v>
      </c>
      <c r="R563" t="e">
        <f t="shared" si="136"/>
        <v>#REF!</v>
      </c>
      <c r="S563" t="e">
        <f t="shared" si="136"/>
        <v>#REF!</v>
      </c>
      <c r="T563" t="e">
        <f t="shared" si="136"/>
        <v>#REF!</v>
      </c>
      <c r="U563" t="e">
        <f t="shared" si="136"/>
        <v>#REF!</v>
      </c>
      <c r="V563" t="e">
        <f t="shared" si="136"/>
        <v>#REF!</v>
      </c>
      <c r="W563" t="e">
        <f t="shared" si="136"/>
        <v>#REF!</v>
      </c>
      <c r="X563" t="e">
        <f t="shared" si="136"/>
        <v>#REF!</v>
      </c>
      <c r="Y563" t="e">
        <f t="shared" si="136"/>
        <v>#REF!</v>
      </c>
      <c r="Z563" t="e">
        <f t="shared" si="136"/>
        <v>#REF!</v>
      </c>
      <c r="AA563" t="e">
        <f t="shared" si="136"/>
        <v>#REF!</v>
      </c>
      <c r="AB563" t="e">
        <f t="shared" si="136"/>
        <v>#REF!</v>
      </c>
      <c r="AC563" t="e">
        <f t="shared" si="135"/>
        <v>#REF!</v>
      </c>
    </row>
    <row r="564" spans="2:29" x14ac:dyDescent="0.35">
      <c r="E564" t="s">
        <v>31</v>
      </c>
      <c r="J564" t="s">
        <v>27</v>
      </c>
      <c r="K564" t="e">
        <f>#REF!/1.05</f>
        <v>#REF!</v>
      </c>
      <c r="L564" t="e">
        <f>#REF!/1.05</f>
        <v>#REF!</v>
      </c>
      <c r="M564" t="e">
        <f>#REF!/1.05</f>
        <v>#REF!</v>
      </c>
      <c r="N564" t="e">
        <f>#REF!/1.05</f>
        <v>#REF!</v>
      </c>
      <c r="O564" t="e">
        <f>#REF!/1.05</f>
        <v>#REF!</v>
      </c>
      <c r="P564" t="e">
        <f>#REF!/1.05</f>
        <v>#REF!</v>
      </c>
      <c r="Q564" t="e">
        <f>#REF!/1.05</f>
        <v>#REF!</v>
      </c>
      <c r="R564" t="e">
        <f>#REF!/1.05</f>
        <v>#REF!</v>
      </c>
      <c r="S564" t="e">
        <f>#REF!/1.05</f>
        <v>#REF!</v>
      </c>
      <c r="T564" t="e">
        <f>#REF!/1.05</f>
        <v>#REF!</v>
      </c>
      <c r="U564" t="e">
        <f>#REF!/1.05</f>
        <v>#REF!</v>
      </c>
      <c r="V564" t="e">
        <f>#REF!/1.05</f>
        <v>#REF!</v>
      </c>
      <c r="W564" t="e">
        <f>#REF!/1.05</f>
        <v>#REF!</v>
      </c>
      <c r="X564" t="e">
        <f>#REF!/1.05</f>
        <v>#REF!</v>
      </c>
      <c r="Y564" t="e">
        <f>#REF!/1.05</f>
        <v>#REF!</v>
      </c>
      <c r="Z564" t="e">
        <f>#REF!/1.05</f>
        <v>#REF!</v>
      </c>
      <c r="AA564" t="e">
        <f>#REF!/1.05</f>
        <v>#REF!</v>
      </c>
      <c r="AB564" t="e">
        <f>#REF!/1.05</f>
        <v>#REF!</v>
      </c>
      <c r="AC564" t="e">
        <f t="shared" si="135"/>
        <v>#REF!</v>
      </c>
    </row>
    <row r="565" spans="2:29" x14ac:dyDescent="0.35">
      <c r="E565" t="s">
        <v>140</v>
      </c>
      <c r="J565" t="s">
        <v>36</v>
      </c>
      <c r="K565" t="e">
        <f t="shared" ref="K565:AB565" si="137">0.027*K547</f>
        <v>#REF!</v>
      </c>
      <c r="L565" t="e">
        <f t="shared" si="137"/>
        <v>#REF!</v>
      </c>
      <c r="M565" t="e">
        <f t="shared" si="137"/>
        <v>#REF!</v>
      </c>
      <c r="N565" t="e">
        <f t="shared" si="137"/>
        <v>#REF!</v>
      </c>
      <c r="O565" t="e">
        <f t="shared" si="137"/>
        <v>#REF!</v>
      </c>
      <c r="P565" t="e">
        <f t="shared" si="137"/>
        <v>#REF!</v>
      </c>
      <c r="Q565" t="e">
        <f t="shared" si="137"/>
        <v>#REF!</v>
      </c>
      <c r="R565" t="e">
        <f t="shared" si="137"/>
        <v>#REF!</v>
      </c>
      <c r="S565" t="e">
        <f t="shared" si="137"/>
        <v>#REF!</v>
      </c>
      <c r="T565" t="e">
        <f t="shared" si="137"/>
        <v>#REF!</v>
      </c>
      <c r="U565" t="e">
        <f t="shared" si="137"/>
        <v>#REF!</v>
      </c>
      <c r="V565" t="e">
        <f t="shared" si="137"/>
        <v>#REF!</v>
      </c>
      <c r="W565" t="e">
        <f t="shared" si="137"/>
        <v>#REF!</v>
      </c>
      <c r="X565" t="e">
        <f t="shared" si="137"/>
        <v>#REF!</v>
      </c>
      <c r="Y565" t="e">
        <f t="shared" si="137"/>
        <v>#REF!</v>
      </c>
      <c r="Z565" t="e">
        <f t="shared" si="137"/>
        <v>#REF!</v>
      </c>
      <c r="AA565" t="e">
        <f t="shared" si="137"/>
        <v>#REF!</v>
      </c>
      <c r="AB565" t="e">
        <f t="shared" si="137"/>
        <v>#REF!</v>
      </c>
      <c r="AC565" t="e">
        <f t="shared" si="135"/>
        <v>#REF!</v>
      </c>
    </row>
    <row r="566" spans="2:29" x14ac:dyDescent="0.35">
      <c r="E566" t="s">
        <v>554</v>
      </c>
      <c r="J566" t="s">
        <v>29</v>
      </c>
      <c r="K566" t="e">
        <f t="shared" ref="K566:AB566" si="138">0.017*K547</f>
        <v>#REF!</v>
      </c>
      <c r="L566" t="e">
        <f t="shared" si="138"/>
        <v>#REF!</v>
      </c>
      <c r="M566" t="e">
        <f t="shared" si="138"/>
        <v>#REF!</v>
      </c>
      <c r="N566" t="e">
        <f t="shared" si="138"/>
        <v>#REF!</v>
      </c>
      <c r="O566" t="e">
        <f t="shared" si="138"/>
        <v>#REF!</v>
      </c>
      <c r="P566" t="e">
        <f t="shared" si="138"/>
        <v>#REF!</v>
      </c>
      <c r="Q566" t="e">
        <f t="shared" si="138"/>
        <v>#REF!</v>
      </c>
      <c r="R566" t="e">
        <f t="shared" si="138"/>
        <v>#REF!</v>
      </c>
      <c r="S566" t="e">
        <f t="shared" si="138"/>
        <v>#REF!</v>
      </c>
      <c r="T566" t="e">
        <f t="shared" si="138"/>
        <v>#REF!</v>
      </c>
      <c r="U566" t="e">
        <f t="shared" si="138"/>
        <v>#REF!</v>
      </c>
      <c r="V566" t="e">
        <f t="shared" si="138"/>
        <v>#REF!</v>
      </c>
      <c r="W566" t="e">
        <f t="shared" si="138"/>
        <v>#REF!</v>
      </c>
      <c r="X566" t="e">
        <f t="shared" si="138"/>
        <v>#REF!</v>
      </c>
      <c r="Y566" t="e">
        <f t="shared" si="138"/>
        <v>#REF!</v>
      </c>
      <c r="Z566" t="e">
        <f t="shared" si="138"/>
        <v>#REF!</v>
      </c>
      <c r="AA566" t="e">
        <f t="shared" si="138"/>
        <v>#REF!</v>
      </c>
      <c r="AB566" t="e">
        <f t="shared" si="138"/>
        <v>#REF!</v>
      </c>
      <c r="AC566" t="e">
        <f t="shared" si="135"/>
        <v>#REF!</v>
      </c>
    </row>
    <row r="567" spans="2:29" x14ac:dyDescent="0.35">
      <c r="B567" t="s">
        <v>20</v>
      </c>
      <c r="E567" t="s">
        <v>351</v>
      </c>
      <c r="J567" t="s">
        <v>23</v>
      </c>
      <c r="K567" t="e">
        <f>K550*#REF!</f>
        <v>#REF!</v>
      </c>
      <c r="L567" t="e">
        <f>L550*#REF!</f>
        <v>#REF!</v>
      </c>
      <c r="M567" t="e">
        <f>M550*#REF!</f>
        <v>#REF!</v>
      </c>
      <c r="N567" t="e">
        <f>N550*#REF!</f>
        <v>#REF!</v>
      </c>
      <c r="O567" t="e">
        <f>O550*#REF!</f>
        <v>#REF!</v>
      </c>
      <c r="P567" t="e">
        <f>(P550*#REF!)+((1.42*7.03)*2)</f>
        <v>#REF!</v>
      </c>
      <c r="Q567" t="e">
        <f>(Q550*#REF!)+((1.42*7.03)*2)</f>
        <v>#REF!</v>
      </c>
      <c r="R567" t="e">
        <f>(R550*#REF!)+((1.42*7.03)*2)</f>
        <v>#REF!</v>
      </c>
      <c r="S567" t="e">
        <f>(S550*#REF!)+((1.42*7.03)*2)</f>
        <v>#REF!</v>
      </c>
      <c r="T567" t="e">
        <f>T550*#REF!</f>
        <v>#REF!</v>
      </c>
      <c r="U567" t="e">
        <f>U550*#REF!</f>
        <v>#REF!</v>
      </c>
      <c r="V567" t="e">
        <f>V550*#REF!</f>
        <v>#REF!</v>
      </c>
      <c r="W567" t="e">
        <f>W550*#REF!</f>
        <v>#REF!</v>
      </c>
      <c r="X567" t="e">
        <f>X550*#REF!</f>
        <v>#REF!</v>
      </c>
      <c r="Y567" t="e">
        <f>Y550*#REF!</f>
        <v>#REF!</v>
      </c>
      <c r="Z567" t="e">
        <f>Z550*#REF!</f>
        <v>#REF!</v>
      </c>
      <c r="AA567" t="e">
        <f>AA550*#REF!</f>
        <v>#REF!</v>
      </c>
      <c r="AB567" t="e">
        <f>AB550*#REF!</f>
        <v>#REF!</v>
      </c>
      <c r="AC567" t="e">
        <f t="shared" si="135"/>
        <v>#REF!</v>
      </c>
    </row>
    <row r="568" spans="2:29" x14ac:dyDescent="0.35">
      <c r="E568" t="s">
        <v>34</v>
      </c>
      <c r="J568" t="s">
        <v>27</v>
      </c>
      <c r="K568" t="e">
        <f t="shared" ref="K568:AB568" si="139">0.5624*K567</f>
        <v>#REF!</v>
      </c>
      <c r="L568" t="e">
        <f t="shared" si="139"/>
        <v>#REF!</v>
      </c>
      <c r="M568" t="e">
        <f t="shared" si="139"/>
        <v>#REF!</v>
      </c>
      <c r="N568" t="e">
        <f t="shared" si="139"/>
        <v>#REF!</v>
      </c>
      <c r="O568" t="e">
        <f t="shared" si="139"/>
        <v>#REF!</v>
      </c>
      <c r="P568" t="e">
        <f t="shared" si="139"/>
        <v>#REF!</v>
      </c>
      <c r="Q568" t="e">
        <f t="shared" si="139"/>
        <v>#REF!</v>
      </c>
      <c r="R568" t="e">
        <f t="shared" si="139"/>
        <v>#REF!</v>
      </c>
      <c r="S568" t="e">
        <f t="shared" si="139"/>
        <v>#REF!</v>
      </c>
      <c r="T568" t="e">
        <f t="shared" si="139"/>
        <v>#REF!</v>
      </c>
      <c r="U568" t="e">
        <f t="shared" si="139"/>
        <v>#REF!</v>
      </c>
      <c r="V568" t="e">
        <f t="shared" si="139"/>
        <v>#REF!</v>
      </c>
      <c r="W568" t="e">
        <f t="shared" si="139"/>
        <v>#REF!</v>
      </c>
      <c r="X568" t="e">
        <f t="shared" si="139"/>
        <v>#REF!</v>
      </c>
      <c r="Y568" t="e">
        <f t="shared" si="139"/>
        <v>#REF!</v>
      </c>
      <c r="Z568" t="e">
        <f t="shared" si="139"/>
        <v>#REF!</v>
      </c>
      <c r="AA568" t="e">
        <f t="shared" si="139"/>
        <v>#REF!</v>
      </c>
      <c r="AB568" t="e">
        <f t="shared" si="139"/>
        <v>#REF!</v>
      </c>
      <c r="AC568" t="e">
        <f t="shared" si="135"/>
        <v>#REF!</v>
      </c>
    </row>
    <row r="569" spans="2:29" x14ac:dyDescent="0.35">
      <c r="E569" t="s">
        <v>35</v>
      </c>
      <c r="J569" t="s">
        <v>27</v>
      </c>
      <c r="K569" t="e">
        <f t="shared" ref="K569:AB569" si="140">1.013514*K567</f>
        <v>#REF!</v>
      </c>
      <c r="L569" t="e">
        <f t="shared" si="140"/>
        <v>#REF!</v>
      </c>
      <c r="M569" t="e">
        <f t="shared" si="140"/>
        <v>#REF!</v>
      </c>
      <c r="N569" t="e">
        <f t="shared" si="140"/>
        <v>#REF!</v>
      </c>
      <c r="O569" t="e">
        <f t="shared" si="140"/>
        <v>#REF!</v>
      </c>
      <c r="P569" t="e">
        <f t="shared" si="140"/>
        <v>#REF!</v>
      </c>
      <c r="Q569" t="e">
        <f t="shared" si="140"/>
        <v>#REF!</v>
      </c>
      <c r="R569" t="e">
        <f t="shared" si="140"/>
        <v>#REF!</v>
      </c>
      <c r="S569" t="e">
        <f t="shared" si="140"/>
        <v>#REF!</v>
      </c>
      <c r="T569" t="e">
        <f t="shared" si="140"/>
        <v>#REF!</v>
      </c>
      <c r="U569" t="e">
        <f t="shared" si="140"/>
        <v>#REF!</v>
      </c>
      <c r="V569" t="e">
        <f t="shared" si="140"/>
        <v>#REF!</v>
      </c>
      <c r="W569" t="e">
        <f t="shared" si="140"/>
        <v>#REF!</v>
      </c>
      <c r="X569" t="e">
        <f t="shared" si="140"/>
        <v>#REF!</v>
      </c>
      <c r="Y569" t="e">
        <f t="shared" si="140"/>
        <v>#REF!</v>
      </c>
      <c r="Z569" t="e">
        <f t="shared" si="140"/>
        <v>#REF!</v>
      </c>
      <c r="AA569" t="e">
        <f t="shared" si="140"/>
        <v>#REF!</v>
      </c>
      <c r="AB569" t="e">
        <f t="shared" si="140"/>
        <v>#REF!</v>
      </c>
      <c r="AC569" t="e">
        <f t="shared" si="135"/>
        <v>#REF!</v>
      </c>
    </row>
    <row r="570" spans="2:29" x14ac:dyDescent="0.35">
      <c r="E570" t="s">
        <v>33</v>
      </c>
      <c r="J570" t="s">
        <v>27</v>
      </c>
      <c r="K570" t="e">
        <f t="shared" ref="K570:AB570" si="141">6.5*K567</f>
        <v>#REF!</v>
      </c>
      <c r="L570" t="e">
        <f t="shared" si="141"/>
        <v>#REF!</v>
      </c>
      <c r="M570" t="e">
        <f t="shared" si="141"/>
        <v>#REF!</v>
      </c>
      <c r="N570" t="e">
        <f t="shared" si="141"/>
        <v>#REF!</v>
      </c>
      <c r="O570" t="e">
        <f t="shared" si="141"/>
        <v>#REF!</v>
      </c>
      <c r="P570" t="e">
        <f t="shared" si="141"/>
        <v>#REF!</v>
      </c>
      <c r="Q570" t="e">
        <f t="shared" si="141"/>
        <v>#REF!</v>
      </c>
      <c r="R570" t="e">
        <f t="shared" si="141"/>
        <v>#REF!</v>
      </c>
      <c r="S570" t="e">
        <f t="shared" si="141"/>
        <v>#REF!</v>
      </c>
      <c r="T570" t="e">
        <f t="shared" si="141"/>
        <v>#REF!</v>
      </c>
      <c r="U570" t="e">
        <f t="shared" si="141"/>
        <v>#REF!</v>
      </c>
      <c r="V570" t="e">
        <f t="shared" si="141"/>
        <v>#REF!</v>
      </c>
      <c r="W570" t="e">
        <f t="shared" si="141"/>
        <v>#REF!</v>
      </c>
      <c r="X570" t="e">
        <f t="shared" si="141"/>
        <v>#REF!</v>
      </c>
      <c r="Y570" t="e">
        <f t="shared" si="141"/>
        <v>#REF!</v>
      </c>
      <c r="Z570" t="e">
        <f t="shared" si="141"/>
        <v>#REF!</v>
      </c>
      <c r="AA570" t="e">
        <f t="shared" si="141"/>
        <v>#REF!</v>
      </c>
      <c r="AB570" t="e">
        <f t="shared" si="141"/>
        <v>#REF!</v>
      </c>
      <c r="AC570" t="e">
        <f t="shared" si="135"/>
        <v>#REF!</v>
      </c>
    </row>
    <row r="571" spans="2:29" x14ac:dyDescent="0.35">
      <c r="E571" t="s">
        <v>32</v>
      </c>
      <c r="J571" t="s">
        <v>27</v>
      </c>
      <c r="K571" t="e">
        <f t="shared" ref="K571:AB571" si="142">1.0788*K567</f>
        <v>#REF!</v>
      </c>
      <c r="L571" t="e">
        <f t="shared" si="142"/>
        <v>#REF!</v>
      </c>
      <c r="M571" t="e">
        <f t="shared" si="142"/>
        <v>#REF!</v>
      </c>
      <c r="N571" t="e">
        <f t="shared" si="142"/>
        <v>#REF!</v>
      </c>
      <c r="O571" t="e">
        <f t="shared" si="142"/>
        <v>#REF!</v>
      </c>
      <c r="P571" t="e">
        <f t="shared" si="142"/>
        <v>#REF!</v>
      </c>
      <c r="Q571" t="e">
        <f t="shared" si="142"/>
        <v>#REF!</v>
      </c>
      <c r="R571" t="e">
        <f t="shared" si="142"/>
        <v>#REF!</v>
      </c>
      <c r="S571" t="e">
        <f t="shared" si="142"/>
        <v>#REF!</v>
      </c>
      <c r="T571" t="e">
        <f t="shared" si="142"/>
        <v>#REF!</v>
      </c>
      <c r="U571" t="e">
        <f t="shared" si="142"/>
        <v>#REF!</v>
      </c>
      <c r="V571" t="e">
        <f t="shared" si="142"/>
        <v>#REF!</v>
      </c>
      <c r="W571" t="e">
        <f t="shared" si="142"/>
        <v>#REF!</v>
      </c>
      <c r="X571" t="e">
        <f t="shared" si="142"/>
        <v>#REF!</v>
      </c>
      <c r="Y571" t="e">
        <f t="shared" si="142"/>
        <v>#REF!</v>
      </c>
      <c r="Z571" t="e">
        <f t="shared" si="142"/>
        <v>#REF!</v>
      </c>
      <c r="AA571" t="e">
        <f t="shared" si="142"/>
        <v>#REF!</v>
      </c>
      <c r="AB571" t="e">
        <f t="shared" si="142"/>
        <v>#REF!</v>
      </c>
      <c r="AC571" t="e">
        <f t="shared" si="135"/>
        <v>#REF!</v>
      </c>
    </row>
    <row r="572" spans="2:29" x14ac:dyDescent="0.35">
      <c r="E572" t="s">
        <v>28</v>
      </c>
      <c r="J572" t="s">
        <v>29</v>
      </c>
      <c r="K572" t="e">
        <f t="shared" ref="K572:AB572" si="143">0.018*K567</f>
        <v>#REF!</v>
      </c>
      <c r="L572" t="e">
        <f t="shared" si="143"/>
        <v>#REF!</v>
      </c>
      <c r="M572" t="e">
        <f t="shared" si="143"/>
        <v>#REF!</v>
      </c>
      <c r="N572" t="e">
        <f t="shared" si="143"/>
        <v>#REF!</v>
      </c>
      <c r="O572" t="e">
        <f t="shared" si="143"/>
        <v>#REF!</v>
      </c>
      <c r="P572" t="e">
        <f t="shared" si="143"/>
        <v>#REF!</v>
      </c>
      <c r="Q572" t="e">
        <f t="shared" si="143"/>
        <v>#REF!</v>
      </c>
      <c r="R572" t="e">
        <f t="shared" si="143"/>
        <v>#REF!</v>
      </c>
      <c r="S572" t="e">
        <f t="shared" si="143"/>
        <v>#REF!</v>
      </c>
      <c r="T572" t="e">
        <f t="shared" si="143"/>
        <v>#REF!</v>
      </c>
      <c r="U572" t="e">
        <f t="shared" si="143"/>
        <v>#REF!</v>
      </c>
      <c r="V572" t="e">
        <f t="shared" si="143"/>
        <v>#REF!</v>
      </c>
      <c r="W572" t="e">
        <f t="shared" si="143"/>
        <v>#REF!</v>
      </c>
      <c r="X572" t="e">
        <f t="shared" si="143"/>
        <v>#REF!</v>
      </c>
      <c r="Y572" t="e">
        <f t="shared" si="143"/>
        <v>#REF!</v>
      </c>
      <c r="Z572" t="e">
        <f t="shared" si="143"/>
        <v>#REF!</v>
      </c>
      <c r="AA572" t="e">
        <f t="shared" si="143"/>
        <v>#REF!</v>
      </c>
      <c r="AB572" t="e">
        <f t="shared" si="143"/>
        <v>#REF!</v>
      </c>
      <c r="AC572" t="e">
        <f t="shared" si="135"/>
        <v>#REF!</v>
      </c>
    </row>
    <row r="573" spans="2:29" x14ac:dyDescent="0.35">
      <c r="E573" t="s">
        <v>152</v>
      </c>
      <c r="J573" t="s">
        <v>6</v>
      </c>
      <c r="K573" t="e">
        <f>(#REF!*21)/6</f>
        <v>#REF!</v>
      </c>
      <c r="L573" t="e">
        <f>(#REF!*21)/6</f>
        <v>#REF!</v>
      </c>
      <c r="M573" t="e">
        <f>(#REF!*21)/6</f>
        <v>#REF!</v>
      </c>
      <c r="N573" t="e">
        <f>(#REF!*21)/6</f>
        <v>#REF!</v>
      </c>
      <c r="O573" t="e">
        <f>(#REF!*21)/6</f>
        <v>#REF!</v>
      </c>
      <c r="P573" t="e">
        <f>(#REF!*21)/6</f>
        <v>#REF!</v>
      </c>
      <c r="Q573" t="e">
        <f>(#REF!*21)/6</f>
        <v>#REF!</v>
      </c>
      <c r="R573" t="e">
        <f>(#REF!*21)/6</f>
        <v>#REF!</v>
      </c>
      <c r="S573" t="e">
        <f>(#REF!*21)/6</f>
        <v>#REF!</v>
      </c>
      <c r="T573" t="e">
        <f>(#REF!*21)/6</f>
        <v>#REF!</v>
      </c>
      <c r="U573" t="e">
        <f>(#REF!*21)/6</f>
        <v>#REF!</v>
      </c>
      <c r="V573" t="e">
        <f>(#REF!*21)/6</f>
        <v>#REF!</v>
      </c>
      <c r="W573" t="e">
        <f>(#REF!*21)/6</f>
        <v>#REF!</v>
      </c>
      <c r="X573" t="e">
        <f>(#REF!*21)/6</f>
        <v>#REF!</v>
      </c>
      <c r="Y573" t="e">
        <f>(#REF!*21)/6</f>
        <v>#REF!</v>
      </c>
      <c r="Z573" t="e">
        <f>(#REF!*21)/6</f>
        <v>#REF!</v>
      </c>
      <c r="AA573" t="e">
        <f>(#REF!*21)/6</f>
        <v>#REF!</v>
      </c>
      <c r="AB573" t="e">
        <f>(#REF!*21)/6</f>
        <v>#REF!</v>
      </c>
      <c r="AC573" t="e">
        <f t="shared" si="135"/>
        <v>#REF!</v>
      </c>
    </row>
    <row r="574" spans="2:29" x14ac:dyDescent="0.35">
      <c r="E574" t="s">
        <v>153</v>
      </c>
      <c r="J574" t="s">
        <v>6</v>
      </c>
      <c r="K574">
        <f t="shared" ref="K574:R574" si="144">(5*K553)+3</f>
        <v>158</v>
      </c>
      <c r="L574">
        <f t="shared" si="144"/>
        <v>158</v>
      </c>
      <c r="M574">
        <f t="shared" si="144"/>
        <v>158</v>
      </c>
      <c r="N574">
        <f t="shared" si="144"/>
        <v>113</v>
      </c>
      <c r="O574">
        <f t="shared" si="144"/>
        <v>33</v>
      </c>
      <c r="P574">
        <f t="shared" si="144"/>
        <v>58</v>
      </c>
      <c r="Q574">
        <f t="shared" si="144"/>
        <v>53</v>
      </c>
      <c r="R574">
        <f t="shared" si="144"/>
        <v>73</v>
      </c>
      <c r="S574">
        <f>(5*S553)+0</f>
        <v>105</v>
      </c>
      <c r="T574">
        <f t="shared" ref="T574:AB574" si="145">(5*T553)+3</f>
        <v>33</v>
      </c>
      <c r="U574">
        <f t="shared" si="145"/>
        <v>23</v>
      </c>
      <c r="V574">
        <f t="shared" si="145"/>
        <v>18</v>
      </c>
      <c r="W574">
        <f t="shared" si="145"/>
        <v>48</v>
      </c>
      <c r="X574">
        <f t="shared" si="145"/>
        <v>38</v>
      </c>
      <c r="Y574">
        <f t="shared" si="145"/>
        <v>85.5</v>
      </c>
      <c r="Z574">
        <f t="shared" si="145"/>
        <v>53</v>
      </c>
      <c r="AA574">
        <f t="shared" si="145"/>
        <v>28</v>
      </c>
      <c r="AB574">
        <f t="shared" si="145"/>
        <v>28</v>
      </c>
      <c r="AC574">
        <f t="shared" si="135"/>
        <v>1263.5</v>
      </c>
    </row>
    <row r="575" spans="2:29" x14ac:dyDescent="0.35">
      <c r="B575" t="s">
        <v>38</v>
      </c>
    </row>
    <row r="576" spans="2:29" x14ac:dyDescent="0.35">
      <c r="E576" t="s">
        <v>426</v>
      </c>
      <c r="J576" t="s">
        <v>27</v>
      </c>
      <c r="K576" t="e">
        <f>K358+K359+K384+K438+K445+K472+K403</f>
        <v>#VALUE!</v>
      </c>
      <c r="L576" t="e">
        <f>L358+L359+L384+L438+L445+L472+L403</f>
        <v>#VALUE!</v>
      </c>
      <c r="M576" t="e">
        <f>M358+M359+M384+M438+M445+M472+M403</f>
        <v>#VALUE!</v>
      </c>
      <c r="N576">
        <v>14</v>
      </c>
      <c r="P576">
        <v>1</v>
      </c>
      <c r="Q576" t="e">
        <f>Q384+Q438+Q445+Q472+Q403</f>
        <v>#VALUE!</v>
      </c>
      <c r="R576" t="e">
        <f>R384+R438+R445+R472+R403</f>
        <v>#VALUE!</v>
      </c>
      <c r="S576" t="e">
        <f>S384+S438+S445+S472+S403</f>
        <v>#VALUE!</v>
      </c>
      <c r="T576" t="e">
        <f>T358+T359+T384+T438+T445+T472+T403</f>
        <v>#VALUE!</v>
      </c>
      <c r="U576">
        <v>25</v>
      </c>
      <c r="V576" t="e">
        <f>V358+V359+V367+V384+V403+V410+V412+V413+V438+V445+V472</f>
        <v>#VALUE!</v>
      </c>
      <c r="W576" t="e">
        <f>W358+W359+W367+W384+W403+W410+W412+W413+W438+W445+W472</f>
        <v>#VALUE!</v>
      </c>
      <c r="X576" t="e">
        <f>X358+X359+X367+X384+X403+X410+X412+X413+X438+X445+X472</f>
        <v>#VALUE!</v>
      </c>
      <c r="Y576" t="e">
        <f>Y358+Y359+Y384+Y438+Y445+Y472+Y403</f>
        <v>#VALUE!</v>
      </c>
      <c r="Z576" t="e">
        <f>Z358+Z359+Z384+Z438+Z445+Z472+Z403</f>
        <v>#VALUE!</v>
      </c>
      <c r="AA576" t="e">
        <f>AA358+AA359+AA384+AA438+AA445+AA472+AA403</f>
        <v>#VALUE!</v>
      </c>
      <c r="AB576" t="e">
        <f>AB358+AB359+AB384+AB438+AB445+AB472+AB403</f>
        <v>#VALUE!</v>
      </c>
      <c r="AC576" t="e">
        <f t="shared" ref="AC576:AC605" si="146">SUM(K576:AB576)</f>
        <v>#VALUE!</v>
      </c>
    </row>
    <row r="577" spans="5:29" x14ac:dyDescent="0.35">
      <c r="E577" t="s">
        <v>918</v>
      </c>
      <c r="J577" t="s">
        <v>27</v>
      </c>
      <c r="K577" t="e">
        <f>(K385*2)+K386+(K388*2)+K390+K391+K392+(K442*2)+K443+K444+(K396*2)+K398+K400+K401+K402</f>
        <v>#VALUE!</v>
      </c>
      <c r="L577" t="e">
        <f>(L385*2)+L386+(L388*2)+L390+L391+L392+(L442*2)+L443+L444+(L396*2)+L398+L400+L401+L402</f>
        <v>#VALUE!</v>
      </c>
      <c r="M577" t="e">
        <f>(M385*2)+M386+(M388*2)+M390+M391+M392+(M442*2)+M443+M444+(M396*2)+M398+M400+M401+M402</f>
        <v>#VALUE!</v>
      </c>
      <c r="N577">
        <v>0</v>
      </c>
      <c r="O577">
        <v>5</v>
      </c>
      <c r="P577" t="e">
        <f>(P385*2)+P386+(P388*2)+P390+P391+P392+(P442*2)+P443+P444+(P396*2)+P398+P400+P401+P402</f>
        <v>#VALUE!</v>
      </c>
      <c r="Q577">
        <v>2</v>
      </c>
      <c r="R577" t="e">
        <f>(R385*2)+R386+(R388*2)+R390+R391+R392+(R442*2)+R443+R444+(R396*2)+R398+R400+R401+R402</f>
        <v>#VALUE!</v>
      </c>
      <c r="S577" t="e">
        <f>(S385*2)+S386+(S388*2)+S390+S391+S392+(S442*2)+S443+S444+(S396*2)+S398+S400+S401+S402</f>
        <v>#VALUE!</v>
      </c>
      <c r="T577" t="e">
        <f>(T385*2)+T386+(T388*2)+T390+T391+T392+(T442*2)+T443+T444+(T396*2)+T398+T400+T401+T402</f>
        <v>#VALUE!</v>
      </c>
      <c r="V577" t="e">
        <f>(V385*2)+V386+(V388*2)+V390+V391+V392+(V442*2)+V443+V444+(V396*2)+V398+V400+V401+V402</f>
        <v>#VALUE!</v>
      </c>
      <c r="W577" t="e">
        <f>(W385*2)+W386+(W388*2)+W390+W392+(W442*2)+W443+W444+(W396*2)+W398+W401+W402</f>
        <v>#VALUE!</v>
      </c>
      <c r="X577" t="e">
        <f>(X385*2)+X386+(X388*2)+X390+X392+(X442*2)+X443+X444+(X396*2)+X398+X401+X402</f>
        <v>#VALUE!</v>
      </c>
      <c r="Z577" t="e">
        <f>(Z385*2)+Z386+(Z388*2)+Z390+Z391+Z392+(Z442*2)+Z443+Z444+(Z396*2)+Z398+Z400+Z401+Z402</f>
        <v>#VALUE!</v>
      </c>
      <c r="AA577" t="e">
        <f>(AA385*2)+AA386+(AA388*2)+AA390+AA391+AA392+(AA442*2)+AA443+AA444+(AA396*2)+AA398+AA400+AA401+AA402</f>
        <v>#VALUE!</v>
      </c>
      <c r="AB577" t="e">
        <f>(AB385*2)+AB386+(AB388*2)+AB390+AB391+AB392+(AB442*2)+AB443+AB444+(AB396*2)+AB398+AB400+AB401+AB402</f>
        <v>#VALUE!</v>
      </c>
      <c r="AC577" t="e">
        <f t="shared" si="146"/>
        <v>#VALUE!</v>
      </c>
    </row>
    <row r="578" spans="5:29" x14ac:dyDescent="0.35">
      <c r="E578" t="s">
        <v>427</v>
      </c>
      <c r="J578" t="s">
        <v>27</v>
      </c>
      <c r="K578" t="e">
        <f>K464+K463+K427+K426</f>
        <v>#VALUE!</v>
      </c>
      <c r="L578" t="e">
        <f>L464+L463+L427+L426</f>
        <v>#VALUE!</v>
      </c>
      <c r="M578" t="e">
        <f>M464+M463+M427+M426</f>
        <v>#VALUE!</v>
      </c>
      <c r="N578">
        <v>1</v>
      </c>
      <c r="P578">
        <v>6</v>
      </c>
      <c r="Q578" t="e">
        <f>Q464+Q463+Q431+Q430+Q427+Q426</f>
        <v>#VALUE!</v>
      </c>
      <c r="R578" t="e">
        <f>R464+R463+R431+R430+R427+R426</f>
        <v>#VALUE!</v>
      </c>
      <c r="S578" t="e">
        <f>S464+S463+S431+S430+S427+S426</f>
        <v>#VALUE!</v>
      </c>
      <c r="T578" t="e">
        <f>T464+T463+T427+T426</f>
        <v>#VALUE!</v>
      </c>
      <c r="U578">
        <v>5</v>
      </c>
      <c r="V578" t="e">
        <f>(2*V385+V388+V396+V405+V442+V450+V474)+(V386+#REF!+V390+V391+V392+V398+V400+V401+V402+V409+V411+V443+V444+V445)</f>
        <v>#VALUE!</v>
      </c>
      <c r="W578" t="e">
        <f>(2*W385+W388+W396+W405+W442+W450+W474)+(W386+#REF!+W390+W391+W392+W398+W400+W401+W402+W409+W411+W443+W444+W445)</f>
        <v>#VALUE!</v>
      </c>
      <c r="X578" t="e">
        <f>(2*X385+X388+X396+X405+X442+X450+X474)+(X386+#REF!+X390+X391+X392+X398+X400+X401+X402+X409+X411+X443+X444+X445)</f>
        <v>#VALUE!</v>
      </c>
      <c r="Y578" t="e">
        <f>Y464+Y463+Y427+Y426</f>
        <v>#VALUE!</v>
      </c>
      <c r="Z578" t="e">
        <f>Z464+Z463+Z427+Z426</f>
        <v>#VALUE!</v>
      </c>
      <c r="AA578" t="e">
        <f>AA464+AA463+AA427+AA426</f>
        <v>#VALUE!</v>
      </c>
      <c r="AB578" t="e">
        <f>AB464+AB463+AB427+AB426</f>
        <v>#VALUE!</v>
      </c>
      <c r="AC578" t="e">
        <f t="shared" si="146"/>
        <v>#VALUE!</v>
      </c>
    </row>
    <row r="579" spans="5:29" x14ac:dyDescent="0.35">
      <c r="E579" t="s">
        <v>428</v>
      </c>
      <c r="J579" t="s">
        <v>27</v>
      </c>
      <c r="K579" t="e">
        <f>K471+K449+K441+K440+K439+K389+K387+K393+K399+K397</f>
        <v>#VALUE!</v>
      </c>
      <c r="L579" t="e">
        <f>L471+L449+L441+L440+L439+L389+L387+L393+L399+L397</f>
        <v>#VALUE!</v>
      </c>
      <c r="M579" t="e">
        <f>M471+M449+M441+M440+M439+M389+M387+M393+M399+M397</f>
        <v>#VALUE!</v>
      </c>
      <c r="N579">
        <v>13</v>
      </c>
      <c r="O579">
        <v>8</v>
      </c>
      <c r="Q579" t="e">
        <f>Q471+Q449+Q441+Q440+Q439+Q389+Q387+Q393+Q399+Q397</f>
        <v>#VALUE!</v>
      </c>
      <c r="R579" t="e">
        <f>R471+R449+R441+R440+R439+R389+R387+R393+R399+R397+R404</f>
        <v>#VALUE!</v>
      </c>
      <c r="S579" t="e">
        <f>S471+S449+S441+S440+S439+S389+S387+S393+S399+S397+S404</f>
        <v>#VALUE!</v>
      </c>
      <c r="T579" t="e">
        <f>T471+T449+T441+T440+T439+T389+T387+T393+T399+T397</f>
        <v>#VALUE!</v>
      </c>
      <c r="U579" t="e">
        <f>U471+U449+U441+U440+U439+U389+U387+U393+U399+U397</f>
        <v>#VALUE!</v>
      </c>
      <c r="V579" t="e">
        <f>V471+V449+V441+V440+V439+V389+V387+V393+V399+V397</f>
        <v>#VALUE!</v>
      </c>
      <c r="W579" t="e">
        <f>W471+W449+W441+W440+W439+W389+W387+W393+W399+W397</f>
        <v>#VALUE!</v>
      </c>
      <c r="X579" t="e">
        <f>X471+X449+X441+X440+X439+X389+X387+X393+X399+X397+X414</f>
        <v>#VALUE!</v>
      </c>
      <c r="Y579" t="e">
        <f>Y471+Y449+Y441+Y440+Y439+Y389+Y387+Y393+Y399+Y397</f>
        <v>#VALUE!</v>
      </c>
      <c r="Z579" t="e">
        <f>Z471+Z449+Z441+Z440+Z439+Z389+Z387+Z393+Z399+Z397</f>
        <v>#VALUE!</v>
      </c>
      <c r="AA579" t="e">
        <f>AA471+AA449+AA441+AA440+AA439+AA389+AA387+AA393+AA399+AA397</f>
        <v>#VALUE!</v>
      </c>
      <c r="AB579" t="e">
        <f>AB471+AB449+AB441+AB440+AB439+AB389+AB387+AB393+AB399+AB397</f>
        <v>#VALUE!</v>
      </c>
      <c r="AC579" t="e">
        <f t="shared" si="146"/>
        <v>#VALUE!</v>
      </c>
    </row>
    <row r="580" spans="5:29" x14ac:dyDescent="0.35">
      <c r="E580" t="s">
        <v>429</v>
      </c>
      <c r="J580" t="s">
        <v>27</v>
      </c>
      <c r="K580" t="str">
        <f>K446</f>
        <v/>
      </c>
      <c r="L580" t="str">
        <f>L446</f>
        <v/>
      </c>
      <c r="M580" t="str">
        <f>M446</f>
        <v/>
      </c>
      <c r="N580" t="str">
        <f>N446</f>
        <v/>
      </c>
      <c r="P580" t="str">
        <f t="shared" ref="P580:AB580" si="147">P446</f>
        <v/>
      </c>
      <c r="Q580" t="str">
        <f t="shared" si="147"/>
        <v/>
      </c>
      <c r="R580" t="str">
        <f t="shared" si="147"/>
        <v/>
      </c>
      <c r="S580" t="str">
        <f t="shared" si="147"/>
        <v/>
      </c>
      <c r="T580" t="str">
        <f t="shared" si="147"/>
        <v/>
      </c>
      <c r="U580" t="str">
        <f t="shared" si="147"/>
        <v/>
      </c>
      <c r="V580" t="str">
        <f t="shared" si="147"/>
        <v/>
      </c>
      <c r="W580" t="str">
        <f t="shared" si="147"/>
        <v/>
      </c>
      <c r="X580" t="str">
        <f t="shared" si="147"/>
        <v/>
      </c>
      <c r="Y580" t="str">
        <f t="shared" si="147"/>
        <v/>
      </c>
      <c r="Z580" t="str">
        <f t="shared" si="147"/>
        <v/>
      </c>
      <c r="AA580" t="str">
        <f t="shared" si="147"/>
        <v/>
      </c>
      <c r="AB580" t="str">
        <f t="shared" si="147"/>
        <v/>
      </c>
      <c r="AC580">
        <f t="shared" si="146"/>
        <v>0</v>
      </c>
    </row>
    <row r="581" spans="5:29" x14ac:dyDescent="0.35">
      <c r="E581" t="s">
        <v>430</v>
      </c>
      <c r="J581" t="s">
        <v>27</v>
      </c>
      <c r="K581" t="str">
        <f>K360</f>
        <v/>
      </c>
      <c r="L581" t="str">
        <f>L360</f>
        <v/>
      </c>
      <c r="M581" t="str">
        <f>M360</f>
        <v/>
      </c>
      <c r="N581" t="str">
        <f>N360</f>
        <v/>
      </c>
      <c r="P581" t="str">
        <f t="shared" ref="P581:AB581" si="148">P360</f>
        <v/>
      </c>
      <c r="Q581" t="str">
        <f t="shared" si="148"/>
        <v/>
      </c>
      <c r="R581" t="str">
        <f t="shared" si="148"/>
        <v/>
      </c>
      <c r="S581" t="str">
        <f t="shared" si="148"/>
        <v/>
      </c>
      <c r="T581" t="str">
        <f t="shared" si="148"/>
        <v/>
      </c>
      <c r="U581" t="str">
        <f t="shared" si="148"/>
        <v/>
      </c>
      <c r="V581" t="str">
        <f t="shared" si="148"/>
        <v/>
      </c>
      <c r="W581" t="str">
        <f t="shared" si="148"/>
        <v/>
      </c>
      <c r="X581" t="str">
        <f t="shared" si="148"/>
        <v/>
      </c>
      <c r="Y581" t="str">
        <f t="shared" si="148"/>
        <v/>
      </c>
      <c r="Z581" t="str">
        <f t="shared" si="148"/>
        <v/>
      </c>
      <c r="AA581" t="str">
        <f t="shared" si="148"/>
        <v/>
      </c>
      <c r="AB581" t="str">
        <f t="shared" si="148"/>
        <v/>
      </c>
      <c r="AC581">
        <f t="shared" si="146"/>
        <v>0</v>
      </c>
    </row>
    <row r="582" spans="5:29" x14ac:dyDescent="0.35">
      <c r="E582" t="s">
        <v>431</v>
      </c>
      <c r="J582" t="s">
        <v>27</v>
      </c>
      <c r="K582" t="e">
        <f>K447*2</f>
        <v>#VALUE!</v>
      </c>
      <c r="L582" t="e">
        <f>L447*2</f>
        <v>#VALUE!</v>
      </c>
      <c r="M582" t="e">
        <f>M447*2</f>
        <v>#VALUE!</v>
      </c>
      <c r="N582" t="e">
        <f>N447*2</f>
        <v>#VALUE!</v>
      </c>
      <c r="P582" t="e">
        <f t="shared" ref="P582:U582" si="149">P447*2</f>
        <v>#VALUE!</v>
      </c>
      <c r="Q582" t="e">
        <f t="shared" si="149"/>
        <v>#VALUE!</v>
      </c>
      <c r="R582" t="e">
        <f t="shared" si="149"/>
        <v>#VALUE!</v>
      </c>
      <c r="S582" t="e">
        <f t="shared" si="149"/>
        <v>#VALUE!</v>
      </c>
      <c r="T582" t="e">
        <f t="shared" si="149"/>
        <v>#VALUE!</v>
      </c>
      <c r="U582" t="e">
        <f t="shared" si="149"/>
        <v>#VALUE!</v>
      </c>
      <c r="V582" t="e">
        <f>(V473+V447*2)</f>
        <v>#VALUE!</v>
      </c>
      <c r="W582" t="e">
        <f>(W473+W447*2)</f>
        <v>#VALUE!</v>
      </c>
      <c r="X582" t="e">
        <f>(X473+X447*2)</f>
        <v>#VALUE!</v>
      </c>
      <c r="Y582" t="e">
        <f>Y447*2</f>
        <v>#VALUE!</v>
      </c>
      <c r="Z582" t="e">
        <f>Z447*2</f>
        <v>#VALUE!</v>
      </c>
      <c r="AA582" t="e">
        <f>AA447*2</f>
        <v>#VALUE!</v>
      </c>
      <c r="AB582" t="e">
        <f>AB447*2</f>
        <v>#VALUE!</v>
      </c>
      <c r="AC582" t="e">
        <f t="shared" si="146"/>
        <v>#VALUE!</v>
      </c>
    </row>
    <row r="583" spans="5:29" x14ac:dyDescent="0.35">
      <c r="E583" t="s">
        <v>432</v>
      </c>
      <c r="J583" t="s">
        <v>27</v>
      </c>
      <c r="K583" t="str">
        <f>K448</f>
        <v/>
      </c>
      <c r="L583" t="str">
        <f>L448</f>
        <v/>
      </c>
      <c r="M583" t="str">
        <f>M448</f>
        <v/>
      </c>
      <c r="N583" t="str">
        <f>N448</f>
        <v/>
      </c>
      <c r="P583" t="str">
        <f t="shared" ref="P583:AB583" si="150">P448</f>
        <v/>
      </c>
      <c r="Q583" t="str">
        <f t="shared" si="150"/>
        <v/>
      </c>
      <c r="R583" t="str">
        <f t="shared" si="150"/>
        <v/>
      </c>
      <c r="S583" t="str">
        <f t="shared" si="150"/>
        <v/>
      </c>
      <c r="T583" t="str">
        <f t="shared" si="150"/>
        <v/>
      </c>
      <c r="U583" t="str">
        <f t="shared" si="150"/>
        <v/>
      </c>
      <c r="V583" t="str">
        <f t="shared" si="150"/>
        <v/>
      </c>
      <c r="W583" t="str">
        <f t="shared" si="150"/>
        <v/>
      </c>
      <c r="X583" t="str">
        <f t="shared" si="150"/>
        <v/>
      </c>
      <c r="Y583" t="str">
        <f t="shared" si="150"/>
        <v/>
      </c>
      <c r="Z583" t="str">
        <f t="shared" si="150"/>
        <v/>
      </c>
      <c r="AA583" t="str">
        <f t="shared" si="150"/>
        <v/>
      </c>
      <c r="AB583" t="str">
        <f t="shared" si="150"/>
        <v/>
      </c>
      <c r="AC583">
        <f t="shared" si="146"/>
        <v>0</v>
      </c>
    </row>
    <row r="584" spans="5:29" x14ac:dyDescent="0.35">
      <c r="E584" t="s">
        <v>470</v>
      </c>
      <c r="J584" t="s">
        <v>27</v>
      </c>
      <c r="K584" t="e">
        <f>K465+K466</f>
        <v>#VALUE!</v>
      </c>
      <c r="L584" t="e">
        <f>L465+L466</f>
        <v>#VALUE!</v>
      </c>
      <c r="M584" t="e">
        <f>M465+M466</f>
        <v>#VALUE!</v>
      </c>
      <c r="N584" t="e">
        <f>N465+N466</f>
        <v>#VALUE!</v>
      </c>
      <c r="P584" t="e">
        <f t="shared" ref="P584:AB584" si="151">P465+P466</f>
        <v>#VALUE!</v>
      </c>
      <c r="Q584" t="e">
        <f t="shared" si="151"/>
        <v>#VALUE!</v>
      </c>
      <c r="R584" t="e">
        <f t="shared" si="151"/>
        <v>#VALUE!</v>
      </c>
      <c r="S584" t="e">
        <f t="shared" si="151"/>
        <v>#VALUE!</v>
      </c>
      <c r="T584" t="e">
        <f t="shared" si="151"/>
        <v>#VALUE!</v>
      </c>
      <c r="U584" t="e">
        <f t="shared" si="151"/>
        <v>#VALUE!</v>
      </c>
      <c r="V584" t="e">
        <f t="shared" si="151"/>
        <v>#VALUE!</v>
      </c>
      <c r="W584" t="e">
        <f t="shared" si="151"/>
        <v>#VALUE!</v>
      </c>
      <c r="X584" t="e">
        <f t="shared" si="151"/>
        <v>#VALUE!</v>
      </c>
      <c r="Y584" t="e">
        <f t="shared" si="151"/>
        <v>#VALUE!</v>
      </c>
      <c r="Z584" t="e">
        <f t="shared" si="151"/>
        <v>#VALUE!</v>
      </c>
      <c r="AA584" t="e">
        <f t="shared" si="151"/>
        <v>#VALUE!</v>
      </c>
      <c r="AB584" t="e">
        <f t="shared" si="151"/>
        <v>#VALUE!</v>
      </c>
      <c r="AC584" t="e">
        <f t="shared" si="146"/>
        <v>#VALUE!</v>
      </c>
    </row>
    <row r="585" spans="5:29" x14ac:dyDescent="0.35">
      <c r="E585" t="s">
        <v>885</v>
      </c>
      <c r="J585" t="s">
        <v>27</v>
      </c>
      <c r="K585" t="e">
        <f>K428+K429</f>
        <v>#VALUE!</v>
      </c>
      <c r="L585" t="e">
        <f>L428+L429</f>
        <v>#VALUE!</v>
      </c>
      <c r="M585" t="e">
        <f>M428+M429</f>
        <v>#VALUE!</v>
      </c>
      <c r="N585" t="e">
        <f>N428+N429</f>
        <v>#VALUE!</v>
      </c>
      <c r="P585" t="e">
        <f t="shared" ref="P585:AB585" si="152">P428+P429</f>
        <v>#VALUE!</v>
      </c>
      <c r="Q585" t="e">
        <f t="shared" si="152"/>
        <v>#VALUE!</v>
      </c>
      <c r="R585" t="e">
        <f t="shared" si="152"/>
        <v>#VALUE!</v>
      </c>
      <c r="S585" t="e">
        <f t="shared" si="152"/>
        <v>#VALUE!</v>
      </c>
      <c r="T585" t="e">
        <f t="shared" si="152"/>
        <v>#VALUE!</v>
      </c>
      <c r="U585" t="e">
        <f t="shared" si="152"/>
        <v>#VALUE!</v>
      </c>
      <c r="V585" t="e">
        <f t="shared" si="152"/>
        <v>#VALUE!</v>
      </c>
      <c r="W585" t="e">
        <f t="shared" si="152"/>
        <v>#VALUE!</v>
      </c>
      <c r="X585" t="e">
        <f t="shared" si="152"/>
        <v>#VALUE!</v>
      </c>
      <c r="Y585" t="e">
        <f t="shared" si="152"/>
        <v>#VALUE!</v>
      </c>
      <c r="Z585" t="e">
        <f t="shared" si="152"/>
        <v>#VALUE!</v>
      </c>
      <c r="AA585" t="e">
        <f t="shared" si="152"/>
        <v>#VALUE!</v>
      </c>
      <c r="AB585" t="e">
        <f t="shared" si="152"/>
        <v>#VALUE!</v>
      </c>
      <c r="AC585" t="e">
        <f t="shared" si="146"/>
        <v>#VALUE!</v>
      </c>
    </row>
    <row r="586" spans="5:29" x14ac:dyDescent="0.35">
      <c r="E586" t="s">
        <v>49</v>
      </c>
      <c r="J586" t="s">
        <v>27</v>
      </c>
      <c r="K586" t="e">
        <f t="shared" ref="K586:AB586" si="153">4*(K593+K594+K595+K596+K597+K598)</f>
        <v>#VALUE!</v>
      </c>
      <c r="L586" t="e">
        <f t="shared" si="153"/>
        <v>#VALUE!</v>
      </c>
      <c r="M586" t="e">
        <f t="shared" si="153"/>
        <v>#VALUE!</v>
      </c>
      <c r="N586" t="e">
        <f t="shared" si="153"/>
        <v>#VALUE!</v>
      </c>
      <c r="O586" t="e">
        <f t="shared" si="153"/>
        <v>#VALUE!</v>
      </c>
      <c r="P586" t="e">
        <f t="shared" si="153"/>
        <v>#VALUE!</v>
      </c>
      <c r="Q586" t="e">
        <f t="shared" si="153"/>
        <v>#VALUE!</v>
      </c>
      <c r="R586" t="e">
        <f t="shared" si="153"/>
        <v>#VALUE!</v>
      </c>
      <c r="S586" t="e">
        <f t="shared" si="153"/>
        <v>#VALUE!</v>
      </c>
      <c r="T586" t="e">
        <f t="shared" si="153"/>
        <v>#VALUE!</v>
      </c>
      <c r="U586" t="e">
        <f t="shared" si="153"/>
        <v>#VALUE!</v>
      </c>
      <c r="V586" t="e">
        <f t="shared" si="153"/>
        <v>#VALUE!</v>
      </c>
      <c r="W586" t="e">
        <f t="shared" si="153"/>
        <v>#VALUE!</v>
      </c>
      <c r="X586" t="e">
        <f t="shared" si="153"/>
        <v>#VALUE!</v>
      </c>
      <c r="Y586" t="e">
        <f t="shared" si="153"/>
        <v>#VALUE!</v>
      </c>
      <c r="Z586" t="e">
        <f t="shared" si="153"/>
        <v>#VALUE!</v>
      </c>
      <c r="AA586" t="e">
        <f t="shared" si="153"/>
        <v>#VALUE!</v>
      </c>
      <c r="AB586" t="e">
        <f t="shared" si="153"/>
        <v>#VALUE!</v>
      </c>
      <c r="AC586" t="e">
        <f t="shared" si="146"/>
        <v>#VALUE!</v>
      </c>
    </row>
    <row r="587" spans="5:29" x14ac:dyDescent="0.35">
      <c r="E587" t="s">
        <v>50</v>
      </c>
      <c r="J587" t="s">
        <v>27</v>
      </c>
      <c r="K587" t="e">
        <f t="shared" ref="K587:AB587" si="154">2*(K593+K594+K595+K596+K597+K598)</f>
        <v>#VALUE!</v>
      </c>
      <c r="L587" t="e">
        <f t="shared" si="154"/>
        <v>#VALUE!</v>
      </c>
      <c r="M587" t="e">
        <f t="shared" si="154"/>
        <v>#VALUE!</v>
      </c>
      <c r="N587" t="e">
        <f t="shared" si="154"/>
        <v>#VALUE!</v>
      </c>
      <c r="O587" t="e">
        <f t="shared" si="154"/>
        <v>#VALUE!</v>
      </c>
      <c r="P587" t="e">
        <f t="shared" si="154"/>
        <v>#VALUE!</v>
      </c>
      <c r="Q587" t="e">
        <f t="shared" si="154"/>
        <v>#VALUE!</v>
      </c>
      <c r="R587" t="e">
        <f t="shared" si="154"/>
        <v>#VALUE!</v>
      </c>
      <c r="S587" t="e">
        <f t="shared" si="154"/>
        <v>#VALUE!</v>
      </c>
      <c r="T587" t="e">
        <f t="shared" si="154"/>
        <v>#VALUE!</v>
      </c>
      <c r="U587" t="e">
        <f t="shared" si="154"/>
        <v>#VALUE!</v>
      </c>
      <c r="V587" t="e">
        <f t="shared" si="154"/>
        <v>#VALUE!</v>
      </c>
      <c r="W587" t="e">
        <f t="shared" si="154"/>
        <v>#VALUE!</v>
      </c>
      <c r="X587" t="e">
        <f t="shared" si="154"/>
        <v>#VALUE!</v>
      </c>
      <c r="Y587" t="e">
        <f t="shared" si="154"/>
        <v>#VALUE!</v>
      </c>
      <c r="Z587" t="e">
        <f t="shared" si="154"/>
        <v>#VALUE!</v>
      </c>
      <c r="AA587" t="e">
        <f t="shared" si="154"/>
        <v>#VALUE!</v>
      </c>
      <c r="AB587" t="e">
        <f t="shared" si="154"/>
        <v>#VALUE!</v>
      </c>
      <c r="AC587" t="e">
        <f t="shared" si="146"/>
        <v>#VALUE!</v>
      </c>
    </row>
    <row r="588" spans="5:29" x14ac:dyDescent="0.35">
      <c r="E588" t="s">
        <v>39</v>
      </c>
      <c r="J588" t="s">
        <v>27</v>
      </c>
      <c r="K588" t="e">
        <f t="shared" ref="K588:AB588" si="155">1*(K593+K594+K595+K596+K597+K598)</f>
        <v>#VALUE!</v>
      </c>
      <c r="L588" t="e">
        <f t="shared" si="155"/>
        <v>#VALUE!</v>
      </c>
      <c r="M588" t="e">
        <f t="shared" si="155"/>
        <v>#VALUE!</v>
      </c>
      <c r="N588" t="e">
        <f t="shared" si="155"/>
        <v>#VALUE!</v>
      </c>
      <c r="O588" t="e">
        <f t="shared" si="155"/>
        <v>#VALUE!</v>
      </c>
      <c r="P588" t="e">
        <f t="shared" si="155"/>
        <v>#VALUE!</v>
      </c>
      <c r="Q588" t="e">
        <f t="shared" si="155"/>
        <v>#VALUE!</v>
      </c>
      <c r="R588" t="e">
        <f t="shared" si="155"/>
        <v>#VALUE!</v>
      </c>
      <c r="S588" t="e">
        <f t="shared" si="155"/>
        <v>#VALUE!</v>
      </c>
      <c r="T588" t="e">
        <f t="shared" si="155"/>
        <v>#VALUE!</v>
      </c>
      <c r="U588" t="e">
        <f t="shared" si="155"/>
        <v>#VALUE!</v>
      </c>
      <c r="V588" t="e">
        <f t="shared" si="155"/>
        <v>#VALUE!</v>
      </c>
      <c r="W588" t="e">
        <f t="shared" si="155"/>
        <v>#VALUE!</v>
      </c>
      <c r="X588" t="e">
        <f t="shared" si="155"/>
        <v>#VALUE!</v>
      </c>
      <c r="Y588" t="e">
        <f t="shared" si="155"/>
        <v>#VALUE!</v>
      </c>
      <c r="Z588" t="e">
        <f t="shared" si="155"/>
        <v>#VALUE!</v>
      </c>
      <c r="AA588" t="e">
        <f t="shared" si="155"/>
        <v>#VALUE!</v>
      </c>
      <c r="AB588" t="e">
        <f t="shared" si="155"/>
        <v>#VALUE!</v>
      </c>
      <c r="AC588" t="e">
        <f t="shared" si="146"/>
        <v>#VALUE!</v>
      </c>
    </row>
    <row r="589" spans="5:29" x14ac:dyDescent="0.35">
      <c r="E589" t="s">
        <v>40</v>
      </c>
      <c r="J589" t="s">
        <v>27</v>
      </c>
      <c r="K589" t="e">
        <f t="shared" ref="K589:S589" si="156">K577+K578+K585+K581+K584</f>
        <v>#VALUE!</v>
      </c>
      <c r="L589" t="e">
        <f t="shared" si="156"/>
        <v>#VALUE!</v>
      </c>
      <c r="M589" t="e">
        <f t="shared" si="156"/>
        <v>#VALUE!</v>
      </c>
      <c r="N589" t="e">
        <f t="shared" si="156"/>
        <v>#VALUE!</v>
      </c>
      <c r="O589">
        <f t="shared" si="156"/>
        <v>5</v>
      </c>
      <c r="P589" t="e">
        <f t="shared" si="156"/>
        <v>#VALUE!</v>
      </c>
      <c r="Q589" t="e">
        <f t="shared" si="156"/>
        <v>#VALUE!</v>
      </c>
      <c r="R589" t="e">
        <f t="shared" si="156"/>
        <v>#VALUE!</v>
      </c>
      <c r="S589" t="e">
        <f t="shared" si="156"/>
        <v>#VALUE!</v>
      </c>
      <c r="T589" t="e">
        <f t="shared" ref="T589:AB589" si="157">T577+T578+T585+T581+T584</f>
        <v>#VALUE!</v>
      </c>
      <c r="U589" t="e">
        <f t="shared" si="157"/>
        <v>#VALUE!</v>
      </c>
      <c r="V589" t="e">
        <f t="shared" si="157"/>
        <v>#VALUE!</v>
      </c>
      <c r="W589" t="e">
        <f t="shared" si="157"/>
        <v>#VALUE!</v>
      </c>
      <c r="X589" t="e">
        <f t="shared" si="157"/>
        <v>#VALUE!</v>
      </c>
      <c r="Y589" t="e">
        <f t="shared" si="157"/>
        <v>#VALUE!</v>
      </c>
      <c r="Z589" t="e">
        <f t="shared" si="157"/>
        <v>#VALUE!</v>
      </c>
      <c r="AA589" t="e">
        <f t="shared" si="157"/>
        <v>#VALUE!</v>
      </c>
      <c r="AB589" t="e">
        <f t="shared" si="157"/>
        <v>#VALUE!</v>
      </c>
      <c r="AC589" t="e">
        <f t="shared" si="146"/>
        <v>#VALUE!</v>
      </c>
    </row>
    <row r="590" spans="5:29" x14ac:dyDescent="0.35">
      <c r="E590" t="s">
        <v>41</v>
      </c>
      <c r="J590" t="s">
        <v>27</v>
      </c>
      <c r="K590" t="e">
        <f t="shared" ref="K590:AB590" si="158">(4*(K576+K579+K580+K583))+K581</f>
        <v>#VALUE!</v>
      </c>
      <c r="L590" t="e">
        <f t="shared" si="158"/>
        <v>#VALUE!</v>
      </c>
      <c r="M590" t="e">
        <f t="shared" si="158"/>
        <v>#VALUE!</v>
      </c>
      <c r="N590" t="e">
        <f t="shared" si="158"/>
        <v>#VALUE!</v>
      </c>
      <c r="O590">
        <f t="shared" si="158"/>
        <v>32</v>
      </c>
      <c r="P590" t="e">
        <f t="shared" si="158"/>
        <v>#VALUE!</v>
      </c>
      <c r="Q590" t="e">
        <f t="shared" si="158"/>
        <v>#VALUE!</v>
      </c>
      <c r="R590" t="e">
        <f t="shared" si="158"/>
        <v>#VALUE!</v>
      </c>
      <c r="S590" t="e">
        <f t="shared" si="158"/>
        <v>#VALUE!</v>
      </c>
      <c r="T590" t="e">
        <f t="shared" si="158"/>
        <v>#VALUE!</v>
      </c>
      <c r="U590" t="e">
        <f t="shared" si="158"/>
        <v>#VALUE!</v>
      </c>
      <c r="V590" t="e">
        <f t="shared" si="158"/>
        <v>#VALUE!</v>
      </c>
      <c r="W590" t="e">
        <f t="shared" si="158"/>
        <v>#VALUE!</v>
      </c>
      <c r="X590" t="e">
        <f t="shared" si="158"/>
        <v>#VALUE!</v>
      </c>
      <c r="Y590" t="e">
        <f t="shared" si="158"/>
        <v>#VALUE!</v>
      </c>
      <c r="Z590" t="e">
        <f t="shared" si="158"/>
        <v>#VALUE!</v>
      </c>
      <c r="AA590" t="e">
        <f t="shared" si="158"/>
        <v>#VALUE!</v>
      </c>
      <c r="AB590" t="e">
        <f t="shared" si="158"/>
        <v>#VALUE!</v>
      </c>
      <c r="AC590" t="e">
        <f t="shared" si="146"/>
        <v>#VALUE!</v>
      </c>
    </row>
    <row r="591" spans="5:29" x14ac:dyDescent="0.35">
      <c r="E591" t="s">
        <v>42</v>
      </c>
      <c r="J591" t="s">
        <v>27</v>
      </c>
      <c r="K591" t="e">
        <f t="shared" ref="K591:AB591" si="159">(4*(K576+K580+K581+K582+K583+K584+K585))+(2*(K577+K578+K579))</f>
        <v>#VALUE!</v>
      </c>
      <c r="L591" t="e">
        <f t="shared" si="159"/>
        <v>#VALUE!</v>
      </c>
      <c r="M591" t="e">
        <f t="shared" si="159"/>
        <v>#VALUE!</v>
      </c>
      <c r="N591" t="e">
        <f t="shared" si="159"/>
        <v>#VALUE!</v>
      </c>
      <c r="O591">
        <f t="shared" si="159"/>
        <v>26</v>
      </c>
      <c r="P591" t="e">
        <f t="shared" si="159"/>
        <v>#VALUE!</v>
      </c>
      <c r="Q591" t="e">
        <f t="shared" si="159"/>
        <v>#VALUE!</v>
      </c>
      <c r="R591" t="e">
        <f t="shared" si="159"/>
        <v>#VALUE!</v>
      </c>
      <c r="S591" t="e">
        <f t="shared" si="159"/>
        <v>#VALUE!</v>
      </c>
      <c r="T591" t="e">
        <f t="shared" si="159"/>
        <v>#VALUE!</v>
      </c>
      <c r="U591" t="e">
        <f t="shared" si="159"/>
        <v>#VALUE!</v>
      </c>
      <c r="V591" t="e">
        <f t="shared" si="159"/>
        <v>#VALUE!</v>
      </c>
      <c r="W591" t="e">
        <f t="shared" si="159"/>
        <v>#VALUE!</v>
      </c>
      <c r="X591" t="e">
        <f t="shared" si="159"/>
        <v>#VALUE!</v>
      </c>
      <c r="Y591" t="e">
        <f t="shared" si="159"/>
        <v>#VALUE!</v>
      </c>
      <c r="Z591" t="e">
        <f t="shared" si="159"/>
        <v>#VALUE!</v>
      </c>
      <c r="AA591" t="e">
        <f t="shared" si="159"/>
        <v>#VALUE!</v>
      </c>
      <c r="AB591" t="e">
        <f t="shared" si="159"/>
        <v>#VALUE!</v>
      </c>
      <c r="AC591" t="e">
        <f t="shared" si="146"/>
        <v>#VALUE!</v>
      </c>
    </row>
    <row r="592" spans="5:29" x14ac:dyDescent="0.35">
      <c r="E592" t="s">
        <v>289</v>
      </c>
      <c r="J592" t="s">
        <v>27</v>
      </c>
      <c r="K592">
        <v>8</v>
      </c>
      <c r="L592">
        <v>8</v>
      </c>
      <c r="M592">
        <v>8</v>
      </c>
      <c r="N592">
        <v>8</v>
      </c>
      <c r="O592">
        <v>8</v>
      </c>
      <c r="T592">
        <v>8</v>
      </c>
      <c r="V592">
        <v>8</v>
      </c>
      <c r="W592">
        <v>8</v>
      </c>
      <c r="X592">
        <v>8</v>
      </c>
      <c r="Y592">
        <v>8</v>
      </c>
      <c r="Z592">
        <v>8</v>
      </c>
      <c r="AA592">
        <v>8</v>
      </c>
      <c r="AB592">
        <v>0</v>
      </c>
      <c r="AC592">
        <f t="shared" si="146"/>
        <v>96</v>
      </c>
    </row>
    <row r="593" spans="2:29" x14ac:dyDescent="0.35">
      <c r="E593" t="s">
        <v>348</v>
      </c>
      <c r="J593" t="s">
        <v>27</v>
      </c>
      <c r="K593" t="str">
        <f t="shared" ref="K593:AB593" si="160">K236</f>
        <v/>
      </c>
      <c r="L593" t="str">
        <f t="shared" si="160"/>
        <v/>
      </c>
      <c r="M593" t="str">
        <f t="shared" si="160"/>
        <v/>
      </c>
      <c r="N593" t="str">
        <f t="shared" si="160"/>
        <v/>
      </c>
      <c r="O593" t="str">
        <f t="shared" si="160"/>
        <v/>
      </c>
      <c r="P593" t="str">
        <f t="shared" si="160"/>
        <v/>
      </c>
      <c r="Q593" t="str">
        <f t="shared" si="160"/>
        <v/>
      </c>
      <c r="R593" t="str">
        <f t="shared" si="160"/>
        <v/>
      </c>
      <c r="S593" t="str">
        <f t="shared" si="160"/>
        <v/>
      </c>
      <c r="T593" t="str">
        <f t="shared" si="160"/>
        <v/>
      </c>
      <c r="U593" t="str">
        <f t="shared" si="160"/>
        <v/>
      </c>
      <c r="V593" t="str">
        <f t="shared" si="160"/>
        <v/>
      </c>
      <c r="W593" t="str">
        <f t="shared" si="160"/>
        <v/>
      </c>
      <c r="X593" t="str">
        <f t="shared" si="160"/>
        <v/>
      </c>
      <c r="Y593" t="str">
        <f t="shared" si="160"/>
        <v/>
      </c>
      <c r="Z593" t="str">
        <f t="shared" si="160"/>
        <v/>
      </c>
      <c r="AA593" t="str">
        <f t="shared" si="160"/>
        <v/>
      </c>
      <c r="AB593" t="str">
        <f t="shared" si="160"/>
        <v/>
      </c>
      <c r="AC593">
        <f t="shared" si="146"/>
        <v>0</v>
      </c>
    </row>
    <row r="594" spans="2:29" x14ac:dyDescent="0.35">
      <c r="E594" t="s">
        <v>434</v>
      </c>
      <c r="J594" t="s">
        <v>27</v>
      </c>
      <c r="N594">
        <v>0</v>
      </c>
      <c r="O594">
        <v>0</v>
      </c>
      <c r="AC594">
        <f t="shared" si="146"/>
        <v>0</v>
      </c>
    </row>
    <row r="595" spans="2:29" x14ac:dyDescent="0.35">
      <c r="E595" t="s">
        <v>349</v>
      </c>
      <c r="J595" t="s">
        <v>27</v>
      </c>
      <c r="K595" t="e">
        <f>K303+K241+K462+K260+(K247*2)</f>
        <v>#VALUE!</v>
      </c>
      <c r="L595" t="e">
        <f>L303+L241+L462+L260+(L247*2)</f>
        <v>#VALUE!</v>
      </c>
      <c r="M595" t="e">
        <f>M303+M241+M462+M260+(M247*2)</f>
        <v>#VALUE!</v>
      </c>
      <c r="N595">
        <v>6</v>
      </c>
      <c r="O595">
        <v>1</v>
      </c>
      <c r="P595">
        <v>7</v>
      </c>
      <c r="Q595">
        <v>1</v>
      </c>
      <c r="R595">
        <v>5</v>
      </c>
      <c r="S595" t="e">
        <f>S241+S462+S260+(S247*2)+S325</f>
        <v>#VALUE!</v>
      </c>
      <c r="T595" t="e">
        <f>T303+T241+T462+T260+(T247*2)</f>
        <v>#VALUE!</v>
      </c>
      <c r="U595" t="e">
        <f>U303+U241+U462+U260+(U247*2)</f>
        <v>#VALUE!</v>
      </c>
      <c r="V595" t="e">
        <f>(V212+V241+V247+V260+V303+V306+V307+V310+V311+V314+V315+V325+V326+V329+V330+V331+V332+V336+V339+V340+V341+V346+V351+V354+V355+V462)+(2*V247)</f>
        <v>#VALUE!</v>
      </c>
      <c r="W595" t="e">
        <f>(W212+W241+W247+W260+W303+W306+W307+W310+W311+W314+W315+W325+W326+W329+W330+W331+W332+W336+W339+W340+W341+W346+W351+W354+W355+W462)+(2*W247)</f>
        <v>#VALUE!</v>
      </c>
      <c r="X595" t="e">
        <f>(X212+X241+X247+X260+X303+X306+X307+X310+X311+X314+X315+X325+X326+X329+X330+X331+X332+X336+X339+X340+X341+X346+X351+X354+X355+X462)+(2*X247)</f>
        <v>#VALUE!</v>
      </c>
      <c r="Y595" t="e">
        <f>Y303+Y241+Y462+Y260+(Y247*2)</f>
        <v>#VALUE!</v>
      </c>
      <c r="Z595" t="e">
        <f>Z303+Z241+Z462+Z260+(Z247*2)</f>
        <v>#VALUE!</v>
      </c>
      <c r="AA595" t="e">
        <f>AA303+AA241+AA462+AA260+(AA247*2)</f>
        <v>#VALUE!</v>
      </c>
      <c r="AB595" t="e">
        <f>AB303+AB241+AB462+AB260+(AB247*2)</f>
        <v>#VALUE!</v>
      </c>
      <c r="AC595" t="e">
        <f t="shared" si="146"/>
        <v>#VALUE!</v>
      </c>
    </row>
    <row r="596" spans="2:29" x14ac:dyDescent="0.35">
      <c r="E596" t="s">
        <v>43</v>
      </c>
      <c r="J596" t="s">
        <v>27</v>
      </c>
      <c r="K596" t="e">
        <f>(K225+K238+K244+K249+K255+K264+K266+K269+K417+K418+K419+K312:K312+K417+K453+K454+K455+K458+K459+K460+K461+K477*2)+(K233+K242+K243+K254+K257+K258+K259+K261+K262+K274+K279+K284+K295+K296+K297+K298+K299+K300+K301+K302+K304+K305+K308+K309+K313:K313+K316+K317+K318+K319+K320+K321:K321+K322+K323+K324:K324)+(K271*2)</f>
        <v>#VALUE!</v>
      </c>
      <c r="L596" t="e">
        <f>(L225+L238+L244+L249+L255+L264+L266+L269+L417+L418+L419+L312:L312+L417+L453+L454+L455+L458+L459+L460+L461+L477*2)+(L233+L242+L243+L254+L257+L258+L259+L261+L262+L274+L279+L284+L295+L296+L297+L298+L299+L300+L301+L302+L304+L305+L308+L309+L313:L313+L316+L317+L318+L319+L320+L321:L321+L322+L323+L324:L324)+(L271*2)</f>
        <v>#VALUE!</v>
      </c>
      <c r="M596" t="e">
        <f>(M225+M238+M244+M249+M255+M264+M266+M269+M417+M418+M419+M312:M312+M417+M453+M454+M455+M458+M459+M460+M461+M477*2)+(M233+M242+M243+M254+M257+M258+M259+M261+M262+M274+M279+M284+M295+M296+M297+M298+M299+M300+M301+M302+M304+M305+M308+M309+M313:M313+M316+M317+M318+M319+M320+M321:M321+M322+M323+M324:M324)+(M271*2)</f>
        <v>#VALUE!</v>
      </c>
      <c r="N596">
        <v>4</v>
      </c>
      <c r="O596">
        <v>1</v>
      </c>
      <c r="P596">
        <v>5</v>
      </c>
      <c r="Q596">
        <v>3</v>
      </c>
      <c r="R596">
        <v>5</v>
      </c>
      <c r="S596" t="e">
        <f>(S225+S238+S244+S249+(S417+S418*2)+S453+S454+S455+S458+S459+S460+S461)*2+S233+S242+S243+S254+(S255*2)+S259+S257+S258+S261+(S477*2)+S262+S419+(S264*2)+(S266*2)+(S269*2)+S316+S317+S318+S320+S321+S322+S324+#REF!+S299+S323+S300</f>
        <v>#VALUE!</v>
      </c>
      <c r="T596" t="e">
        <f>(T225+T238+T244+T249+T255+T264+T266+T269+T417+T418+T419+T312:T312+T417+T453+T454+T455+T458+T459+T460+T461+T477*2)+(T233+T242+T243+T254+T257+T258+T259+T261+T262+T274+T279+T284+T295+T296+T297+T298+T299+T300+T301+T302+T304+T305+T308+T309+T313:T313+T316+T317+T318+T319+T320+T321:T321+T322+T323+T324:T324)+(T271*2)</f>
        <v>#VALUE!</v>
      </c>
      <c r="U596" t="e">
        <f>(U225+U238+U244+U249+U255+U264+U266+U269+U417+U418+U419+U312:U312+U417+U453+U454+U455+U458+U459+U460+U461+U477*2)+(U233+U242+U243+U254+U257+U258+U259+U261+U262+U274+U279+U284+U295+U296+U297+U298+U299+U300+U301+U302+U304+U305+U308+U309+U313:U313+U316+U317+U318+U319+U320+U321:U321+U322+U323+U324:U324)+(U271*2)</f>
        <v>#VALUE!</v>
      </c>
      <c r="V596" t="e">
        <f>(V233+V242+V243+V254+V257+V258+V259+V261+V262+V274+V279+V284+V295+V296+V297+V298+V299+V300+V301+V302+V304+V305+V308+V309+V313+V316+V317+V318+V319+V320+V321+V322+V323+V324+V328+V333+V334+V335+V337+V338+V342+V343+V347+V349+V350+V352)+(2*V225+V238+V244+V249+V255+V264+V266+V269+V271+V312+V357+V417+V418+V419+V453+V454+V455+V458+V459+V460+V461+V477)</f>
        <v>#VALUE!</v>
      </c>
      <c r="W596" t="e">
        <f>(W233+W242+W243+W254+W257+W258+W259+W261+W262+W274+W279+W284+W295+W296+W297+W298+W299+W300+W301+W302+W304+W305+W308+W309+W313+W316+W317+W318+W319+W320+W321+W322+W323+W324+W328+W333+W334+W335+W337+W338+W342+W343+W347+W349+W350+W352)+(2*W225+W238+W244+W249+W255+W264+W266+W269+W271+W312+W357+W417+W418+W419+W453+W454+W455+W458+W459+W460+W461+W477)</f>
        <v>#VALUE!</v>
      </c>
      <c r="X596" t="e">
        <f>(X233+X242+X243+X254+X257+X258+X259+X261+X262+X274+X279+X284+X295+X296+X297+X298+X299+X300+X301+X302+X304+X305+X308+X309+X313+X316+X317+X318+X319+X320+X321+X322+X323+X324+X328+X333+X334+X335+X337+X338+X342+X343+X347+X349+X350+X352)+(2*X225+X238+X244+X249+X255+X264+X266+X269+X271+X312+X357+X417+X418+X419+X453+X454+X455+X458+X459+X460+X461+X477)</f>
        <v>#VALUE!</v>
      </c>
      <c r="Y596" t="e">
        <f>(Y225+Y238+Y244+Y249+Y255+Y264+Y266+Y269+Y417+Y418+Y419+Y312:Y312+Y417+Y453+Y454+Y455+Y458+Y459+Y460+Y461+Y477*2)+(Y233+Y242+Y243+Y254+Y257+Y258+Y259+Y261+Y262+Y274+Y279+Y284+Y295+Y296+Y297+Y298+Y299+Y300+Y301+Y302+Y304+Y305+Y308+Y309+Y313:Y313+Y316+Y317+Y318+Y319+Y320+Y321:Y321+Y322+Y323+Y324:Y324)+(Y271*2)</f>
        <v>#VALUE!</v>
      </c>
      <c r="Z596" t="e">
        <f>(Z225+Z238+Z244+Z249+Z255+Z264+Z266+Z269+Z417+Z418+Z419+Z312:Z312+Z417+Z453+Z454+Z455+Z458+Z459+Z460+Z461+Z477*2)+(Z233+Z242+Z243+Z254+Z257+Z258+Z259+Z261+Z262+Z274+Z279+Z284+Z295+Z296+Z297+Z298+Z299+Z300+Z301+Z302+Z304+Z305+Z308+Z309+Z313:Z313+Z316+Z317+Z318+Z319+Z320+Z321:Z321+Z322+Z323+Z324:Z324)+(Z271*2)</f>
        <v>#VALUE!</v>
      </c>
      <c r="AA596" t="e">
        <f>(AA225+AA238+AA244+AA249+AA255+AA264+AA266+AA269+AA417+AA418+AA419+AA312:AA312+AA417+AA453+AA454+AA455+AA458+AA459+AA460+AA461+AA477*2)+(AA233+AA242+AA243+AA254+AA257+AA258+AA259+AA261+AA262+AA274+AA279+AA284+AA295+AA296+AA297+AA298+AA299+AA300+AA301+AA302+AA304+AA305+AA308+AA309+AA313:AA313+AA316+AA317+AA318+AA319+AA320+AA321:AA321+AA322+AA323+AA324:AA324)+(AA271*2)</f>
        <v>#VALUE!</v>
      </c>
      <c r="AB596" t="e">
        <f>(AB225+AB238+AB244+AB249+AB255+AB264+AB266+AB269+AB417+AB418+AB419+AB312:AB312+AB417+AB453+AB454+AB455+AB458+AB459+AB460+AB461+AB477*2)+(AB233+AB242+AB243+AB254+AB257+AB258+AB259+AB261+AB262+AB274+AB279+AB284+AB295+AB296+AB297+AB298+AB299+AB300+AB301+AB302+AB304+AB305+AB308+AB309+AB313:AB313+AB316+AB317+AB318+AB319+AB320+AB321:AB321+AB322+AB323+AB324:AB324)+(AB271*2)</f>
        <v>#VALUE!</v>
      </c>
      <c r="AC596" t="e">
        <f t="shared" si="146"/>
        <v>#VALUE!</v>
      </c>
    </row>
    <row r="597" spans="2:29" x14ac:dyDescent="0.35">
      <c r="E597" t="s">
        <v>44</v>
      </c>
      <c r="J597" t="s">
        <v>27</v>
      </c>
      <c r="K597" t="e">
        <f>(K220+K221+K222+K223+K224+K226+K227+K228+K230+K231+K232+K234+K235++K239+K245+K246+K248+K251+K252+K256+K263+K265+K267+K268+K270+K272+K273+K275+K276+K277+K278+K280+K281+K282+K283+K285+K286+K287+K288+K289+K290+K291+K292+K293+K294+K327+K344+K345+K348+K353+K356+K415+K416+K420+K421+K422:K422+K424:K424+K426+K427+K428+K429+K430+K431:K431+K451+K452+K456+K457+K463+K464+K465+K466+K475+K476+K479+K480+K491+K492)+(2*K423)+(2*K478:K478)</f>
        <v>#VALUE!</v>
      </c>
      <c r="L597" t="e">
        <f>(L220+L221+L222+L223+L224+L226+L227+L228+L230+L231+L232+L234+L235++L239+L245+L246+L248+L251+L252+L256+L263+L265+L267+L268+L270+L272+L273+L275+L276+L277+L278+L280+L281+L282+L283+L285+L286+L287+L288+L289+L290+L291+L292+L293+L294+L327+L344+L345+L348+L353+L356+L415+L416+L420+L421+L422+L424+L426+L427+L428+L429+L430+L431+L451+L452+L456+L457+L463+L464+L465+L466+L475+L476+L479+L480+L491+L492)+(2*L423)+(2*L478)</f>
        <v>#VALUE!</v>
      </c>
      <c r="M597" t="e">
        <f>(M220+M221+M222+M223+M224+M226+M227+M228+M230+M231+M232+M234+M235++M239+M245+M246+M248+M251+M252+M256+M263+M265+M267+M268+M270+M272+M273+M275+M276+M277+M278+M280+M281+M282+M283+M285+M286+M287+M288+M289+M290+M291+M292+M293+M294+M327+M344+M345+M348+M353+M356+M415+M416+M420+M421+M422+M424+M426+M427+M428+M429+M430+M431+M451+M452+M456+M457+M463+M464+M465+M466+M475+M476+M479+M480+M491+M492)+(2*M423)+(2*M478)</f>
        <v>#VALUE!</v>
      </c>
      <c r="N597">
        <v>15</v>
      </c>
      <c r="O597">
        <v>3</v>
      </c>
      <c r="P597">
        <v>10</v>
      </c>
      <c r="Q597">
        <v>8</v>
      </c>
      <c r="R597">
        <v>8</v>
      </c>
      <c r="S597" t="e">
        <f>(S423*2)</f>
        <v>#VALUE!</v>
      </c>
      <c r="T597" t="e">
        <f>(T220+T221+T222+T223+T224+T226+T227+T228+T229+T230+T231+T232+T234+T235+T239+T245+T246+T248+T250+T251+T252+T256+T263+T265+T267+T268+T270+T272+T273+T275+T276+T277+T278+T280+T281+T282+T283+T285+T286+T287+T288+T289+T290+T291+T292+T293+T294+T415+T416+T420+T421+T422:T422+T426+T427+T428+T429+T430:T430+T431:T431+T451+T452+T456+T457+T475+T476)+(2*(T423+T478))</f>
        <v>#VALUE!</v>
      </c>
      <c r="U597">
        <v>10</v>
      </c>
      <c r="V597" t="e">
        <f>(V220+V221+V222+V223+V224+V226+V227+V228+V230+V231+V232+V234+V235++V239+V245+V246+V248+V251+V252+V256+V263+V265+V267+V268+V270+V272+V273+V275+V276+V277+V278+V280+V281+V282+V283+V285+V286+V287+V288+V289+V290+V291+V292+V293+V294+V327+V344+V345+V348+V353+V356+V415+V416+V420+V421+V422+V424+V426+V427+V428+V429+V430+V431+V451+V452+V456+V457+V463+V464+V465+V466+V475+V476+V479+V480+V491+V492)+(2*V423)+(2*V478)</f>
        <v>#VALUE!</v>
      </c>
      <c r="W597" t="e">
        <f>(W220+W221+W222+W223+W224+W226+W227+W228+W230+W231+W232+W234+W235++W239+W245+W246+W248+W251+W252+W256+W263+W265+W267+W268+W270+W272+W273+W275+W276+W277+W278+W280+W281+W282+W283+W285+W286+W287+W288+W289+W290+W291+W292+W293+W294+W327+W344+W345+W348+W353+W356+W415+W416+W420+W421+W422+W424+W426+W427+W428+W429+W430+W431+W451+W452+W456+W457+W463+W464+W465+W466+W475+W476+W479+W480+W491+W492)+(2*W423)+(2*W478)</f>
        <v>#VALUE!</v>
      </c>
      <c r="X597" t="e">
        <f>(X220+X221+X222+X223+X224+X226+X227+X228+X230+X231+X232+X234+X235++X239+X245+X246+X248+X251+X252+X256+X263+X265+X267+X268+X270+X272+X273+X275+X276+X277+X278+X280+X281+X282+X283+X285+X286+X287+X288+X289+X290+X291+X292+X293+X294+X327+X344+X345+X348+X353+X356+X415+X416+X420+X421+X422+X424+X426+X427+X428+X429+X430+X431+X451+X452+X456+X457+X463+X464+X465+X466+X475+X476+X479+X480+X491+X492)+(2*X423)+(2*X478)</f>
        <v>#VALUE!</v>
      </c>
      <c r="Y597" t="e">
        <f>(Y220+Y221+Y222+Y223+Y224+Y226+Y227+Y228+Y229+Y230+Y231+Y232+Y234+Y235+Y239+Y245+Y246+Y248+Y250+Y251+Y252+Y256+Y263+Y265+Y267+Y268+Y270+Y272+Y273+Y275+Y276+Y277+Y278+Y280+Y281+Y282+Y283+Y285+Y286+Y287+Y288+Y289+Y290+Y291+Y292+Y293+Y294+Y415+Y416+Y420+Y421+Y422:Y422+Y426+Y427+Y428+Y429+Y430:Y430+Y431:Y431+Y451+Y452+Y456+Y457+Y475+Y476)+(2*(Y423+Y478))</f>
        <v>#VALUE!</v>
      </c>
      <c r="Z597" t="e">
        <f>(Z220+Z221+Z222+Z223+Z224+Z226+Z227+Z228+Z229+Z230+Z231+Z232+Z234+Z235+Z239+Z245+Z246+Z248+Z250+Z251+Z252+Z256+Z263+Z265+Z267+Z268+Z270+Z272+Z273+Z275+Z276+Z277+Z278+Z280+Z281+Z282+Z283+Z285+Z286+Z287+Z288+Z289+Z290+Z291+Z292+Z293+Z294+Z415+Z416+Z420+Z421+Z422:Z422+Z426+Z427+Z428+Z429+Z430:Z430+Z431:Z431+Z451+Z452+Z456+Z457+Z475+Z476)+(2*(Z423+Z478))</f>
        <v>#VALUE!</v>
      </c>
      <c r="AA597" t="e">
        <f>(AA220+AA221+AA222+AA223+AA224+AA226+AA227+AA228+AA229+AA230+AA231+AA232+AA234+AA235+AA239+AA245+AA246+AA248+AA250+AA251+AA252+AA256+AA263+AA265+AA267+AA268+AA270+AA272+AA273+AA275+AA276+AA277+AA278+AA280+AA281+AA282+AA283+AA285+AA286+AA287+AA288+AA289+AA290+AA291+AA292+AA293+AA294+AA415+AA416+AA420+AA421+AA422:AA422+AA426+AA427+AA428+AA429+AA430:AA430+AA431:AA431+AA451+AA452+AA456+AA457+AA475+AA476)+(2*(AA423+AA478))</f>
        <v>#VALUE!</v>
      </c>
      <c r="AB597" t="e">
        <f>(AB220+AB221+AB222+AB223+AB224+AB226+AB227+AB228+AB229+AB230+AB231+AB232+AB234+AB235+AB239+AB245+AB246+AB248+AB250+AB251+AB252+AB256+AB263+AB265+AB267+AB268+AB270+AB272+AB273+AB275+AB276+AB277+AB278+AB280+AB281+AB282+AB283+AB285+AB286+AB287+AB288+AB289+AB290+AB291+AB292+AB293+AB294+AB415+AB416+AB420+AB421+AB422:AB422+AB426+AB427+AB428+AB429+AB430:AB430+AB431:AB431+AB451+AB452+AB456+AB457+AB475+AB476)+(2*(AB423+AB478))</f>
        <v>#VALUE!</v>
      </c>
      <c r="AC597" t="e">
        <f t="shared" si="146"/>
        <v>#VALUE!</v>
      </c>
    </row>
    <row r="598" spans="2:29" x14ac:dyDescent="0.35">
      <c r="E598" t="s">
        <v>433</v>
      </c>
      <c r="J598" t="s">
        <v>27</v>
      </c>
      <c r="AC598">
        <f t="shared" si="146"/>
        <v>0</v>
      </c>
    </row>
    <row r="599" spans="2:29" x14ac:dyDescent="0.35">
      <c r="E599" t="s">
        <v>511</v>
      </c>
      <c r="J599" t="s">
        <v>27</v>
      </c>
      <c r="K599" t="str">
        <f t="shared" ref="K599:AB599" si="161">K253</f>
        <v/>
      </c>
      <c r="L599" t="str">
        <f t="shared" si="161"/>
        <v/>
      </c>
      <c r="M599" t="str">
        <f t="shared" si="161"/>
        <v/>
      </c>
      <c r="N599" t="str">
        <f t="shared" si="161"/>
        <v/>
      </c>
      <c r="O599" t="str">
        <f t="shared" si="161"/>
        <v/>
      </c>
      <c r="P599" t="str">
        <f t="shared" si="161"/>
        <v/>
      </c>
      <c r="Q599" t="str">
        <f t="shared" si="161"/>
        <v/>
      </c>
      <c r="R599" t="str">
        <f t="shared" si="161"/>
        <v/>
      </c>
      <c r="S599" t="str">
        <f t="shared" si="161"/>
        <v/>
      </c>
      <c r="T599" t="str">
        <f t="shared" si="161"/>
        <v/>
      </c>
      <c r="U599" t="str">
        <f t="shared" si="161"/>
        <v/>
      </c>
      <c r="V599" t="str">
        <f t="shared" si="161"/>
        <v/>
      </c>
      <c r="W599" t="str">
        <f t="shared" si="161"/>
        <v/>
      </c>
      <c r="X599" t="str">
        <f t="shared" si="161"/>
        <v/>
      </c>
      <c r="Y599" t="str">
        <f t="shared" si="161"/>
        <v/>
      </c>
      <c r="Z599" t="str">
        <f t="shared" si="161"/>
        <v/>
      </c>
      <c r="AA599" t="str">
        <f t="shared" si="161"/>
        <v/>
      </c>
      <c r="AB599" t="str">
        <f t="shared" si="161"/>
        <v/>
      </c>
      <c r="AC599">
        <f t="shared" si="146"/>
        <v>0</v>
      </c>
    </row>
    <row r="600" spans="2:29" x14ac:dyDescent="0.35">
      <c r="E600" t="s">
        <v>48</v>
      </c>
      <c r="J600" t="s">
        <v>27</v>
      </c>
      <c r="K600" t="e">
        <f t="shared" ref="K600:P600" si="162">SUM(K593:K599)</f>
        <v>#VALUE!</v>
      </c>
      <c r="L600" t="e">
        <f t="shared" si="162"/>
        <v>#VALUE!</v>
      </c>
      <c r="M600" t="e">
        <f t="shared" si="162"/>
        <v>#VALUE!</v>
      </c>
      <c r="N600">
        <f t="shared" si="162"/>
        <v>25</v>
      </c>
      <c r="O600">
        <f t="shared" si="162"/>
        <v>5</v>
      </c>
      <c r="P600">
        <f t="shared" si="162"/>
        <v>22</v>
      </c>
      <c r="Q600">
        <v>8</v>
      </c>
      <c r="R600">
        <v>15</v>
      </c>
      <c r="S600" t="e">
        <f t="shared" ref="S600:X600" si="163">SUM(S593:S599)</f>
        <v>#VALUE!</v>
      </c>
      <c r="T600" t="e">
        <f t="shared" si="163"/>
        <v>#VALUE!</v>
      </c>
      <c r="U600" t="e">
        <f t="shared" si="163"/>
        <v>#VALUE!</v>
      </c>
      <c r="V600" t="e">
        <f t="shared" si="163"/>
        <v>#VALUE!</v>
      </c>
      <c r="W600" t="e">
        <f t="shared" si="163"/>
        <v>#VALUE!</v>
      </c>
      <c r="X600" t="e">
        <f t="shared" si="163"/>
        <v>#VALUE!</v>
      </c>
      <c r="Y600" t="e">
        <f>SUM(Y594:Y599)</f>
        <v>#VALUE!</v>
      </c>
      <c r="Z600" t="e">
        <f>SUM(Z594:Z599)</f>
        <v>#VALUE!</v>
      </c>
      <c r="AA600" t="e">
        <f>SUM(AA594:AA599)</f>
        <v>#VALUE!</v>
      </c>
      <c r="AB600" t="e">
        <f>SUM(AB594:AB599)</f>
        <v>#VALUE!</v>
      </c>
      <c r="AC600" t="e">
        <f t="shared" si="146"/>
        <v>#VALUE!</v>
      </c>
    </row>
    <row r="601" spans="2:29" x14ac:dyDescent="0.35">
      <c r="E601" t="s">
        <v>45</v>
      </c>
      <c r="J601" t="s">
        <v>27</v>
      </c>
      <c r="K601" t="e">
        <f>K600*4</f>
        <v>#VALUE!</v>
      </c>
      <c r="L601" t="e">
        <f>L600*4</f>
        <v>#VALUE!</v>
      </c>
      <c r="M601" t="e">
        <f>M600*4</f>
        <v>#VALUE!</v>
      </c>
      <c r="N601" t="e">
        <f t="shared" ref="N601:U601" si="164">(N593+N594+N595+N596+N597+N598+N599)*4</f>
        <v>#VALUE!</v>
      </c>
      <c r="O601" t="e">
        <f t="shared" si="164"/>
        <v>#VALUE!</v>
      </c>
      <c r="P601" t="e">
        <f t="shared" si="164"/>
        <v>#VALUE!</v>
      </c>
      <c r="Q601" t="e">
        <f t="shared" si="164"/>
        <v>#VALUE!</v>
      </c>
      <c r="R601" t="e">
        <f t="shared" si="164"/>
        <v>#VALUE!</v>
      </c>
      <c r="S601" t="e">
        <f t="shared" si="164"/>
        <v>#VALUE!</v>
      </c>
      <c r="T601" t="e">
        <f t="shared" si="164"/>
        <v>#VALUE!</v>
      </c>
      <c r="U601" t="e">
        <f t="shared" si="164"/>
        <v>#VALUE!</v>
      </c>
      <c r="V601" t="e">
        <f t="shared" ref="V601:AB601" si="165">V600*4</f>
        <v>#VALUE!</v>
      </c>
      <c r="W601" t="e">
        <f t="shared" si="165"/>
        <v>#VALUE!</v>
      </c>
      <c r="X601" t="e">
        <f t="shared" si="165"/>
        <v>#VALUE!</v>
      </c>
      <c r="Y601" t="e">
        <f t="shared" si="165"/>
        <v>#VALUE!</v>
      </c>
      <c r="Z601" t="e">
        <f t="shared" si="165"/>
        <v>#VALUE!</v>
      </c>
      <c r="AA601" t="e">
        <f t="shared" si="165"/>
        <v>#VALUE!</v>
      </c>
      <c r="AB601" t="e">
        <f t="shared" si="165"/>
        <v>#VALUE!</v>
      </c>
      <c r="AC601" t="e">
        <f t="shared" si="146"/>
        <v>#VALUE!</v>
      </c>
    </row>
    <row r="602" spans="2:29" x14ac:dyDescent="0.35">
      <c r="E602" t="s">
        <v>46</v>
      </c>
      <c r="J602" t="s">
        <v>27</v>
      </c>
      <c r="K602" t="e">
        <f t="shared" ref="K602:AB602" si="166">SUM(K593:K599)</f>
        <v>#VALUE!</v>
      </c>
      <c r="L602" t="e">
        <f t="shared" si="166"/>
        <v>#VALUE!</v>
      </c>
      <c r="M602" t="e">
        <f t="shared" si="166"/>
        <v>#VALUE!</v>
      </c>
      <c r="N602">
        <f t="shared" si="166"/>
        <v>25</v>
      </c>
      <c r="O602">
        <f t="shared" si="166"/>
        <v>5</v>
      </c>
      <c r="P602">
        <f t="shared" si="166"/>
        <v>22</v>
      </c>
      <c r="Q602">
        <f t="shared" si="166"/>
        <v>12</v>
      </c>
      <c r="R602">
        <f t="shared" si="166"/>
        <v>18</v>
      </c>
      <c r="S602" t="e">
        <f t="shared" si="166"/>
        <v>#VALUE!</v>
      </c>
      <c r="T602" t="e">
        <f t="shared" si="166"/>
        <v>#VALUE!</v>
      </c>
      <c r="U602" t="e">
        <f t="shared" si="166"/>
        <v>#VALUE!</v>
      </c>
      <c r="V602" t="e">
        <f t="shared" si="166"/>
        <v>#VALUE!</v>
      </c>
      <c r="W602" t="e">
        <f t="shared" si="166"/>
        <v>#VALUE!</v>
      </c>
      <c r="X602" t="e">
        <f t="shared" si="166"/>
        <v>#VALUE!</v>
      </c>
      <c r="Y602" t="e">
        <f t="shared" si="166"/>
        <v>#VALUE!</v>
      </c>
      <c r="Z602" t="e">
        <f t="shared" si="166"/>
        <v>#VALUE!</v>
      </c>
      <c r="AA602" t="e">
        <f t="shared" si="166"/>
        <v>#VALUE!</v>
      </c>
      <c r="AB602" t="e">
        <f t="shared" si="166"/>
        <v>#VALUE!</v>
      </c>
      <c r="AC602" t="e">
        <f t="shared" si="146"/>
        <v>#VALUE!</v>
      </c>
    </row>
    <row r="603" spans="2:29" x14ac:dyDescent="0.35">
      <c r="E603" t="s">
        <v>47</v>
      </c>
      <c r="J603" t="s">
        <v>27</v>
      </c>
      <c r="K603" t="e">
        <f t="shared" ref="K603:AB603" si="167">SUM(K593:K599)</f>
        <v>#VALUE!</v>
      </c>
      <c r="L603" t="e">
        <f t="shared" si="167"/>
        <v>#VALUE!</v>
      </c>
      <c r="M603" t="e">
        <f t="shared" si="167"/>
        <v>#VALUE!</v>
      </c>
      <c r="N603">
        <f t="shared" si="167"/>
        <v>25</v>
      </c>
      <c r="O603">
        <f t="shared" si="167"/>
        <v>5</v>
      </c>
      <c r="P603">
        <f t="shared" si="167"/>
        <v>22</v>
      </c>
      <c r="Q603">
        <f t="shared" si="167"/>
        <v>12</v>
      </c>
      <c r="R603">
        <f t="shared" si="167"/>
        <v>18</v>
      </c>
      <c r="S603" t="e">
        <f t="shared" si="167"/>
        <v>#VALUE!</v>
      </c>
      <c r="T603" t="e">
        <f t="shared" si="167"/>
        <v>#VALUE!</v>
      </c>
      <c r="U603" t="e">
        <f t="shared" si="167"/>
        <v>#VALUE!</v>
      </c>
      <c r="V603" t="e">
        <f t="shared" si="167"/>
        <v>#VALUE!</v>
      </c>
      <c r="W603" t="e">
        <f t="shared" si="167"/>
        <v>#VALUE!</v>
      </c>
      <c r="X603" t="e">
        <f t="shared" si="167"/>
        <v>#VALUE!</v>
      </c>
      <c r="Y603" t="e">
        <f t="shared" si="167"/>
        <v>#VALUE!</v>
      </c>
      <c r="Z603" t="e">
        <f t="shared" si="167"/>
        <v>#VALUE!</v>
      </c>
      <c r="AA603" t="e">
        <f t="shared" si="167"/>
        <v>#VALUE!</v>
      </c>
      <c r="AB603" t="e">
        <f t="shared" si="167"/>
        <v>#VALUE!</v>
      </c>
      <c r="AC603" t="e">
        <f t="shared" si="146"/>
        <v>#VALUE!</v>
      </c>
    </row>
    <row r="604" spans="2:29" x14ac:dyDescent="0.35">
      <c r="E604" t="s">
        <v>154</v>
      </c>
      <c r="J604" t="s">
        <v>27</v>
      </c>
      <c r="K604" t="e">
        <f>K600</f>
        <v>#VALUE!</v>
      </c>
      <c r="L604" t="e">
        <f>L600</f>
        <v>#VALUE!</v>
      </c>
      <c r="N604">
        <f>N600</f>
        <v>25</v>
      </c>
      <c r="O604">
        <f>O600</f>
        <v>5</v>
      </c>
      <c r="P604" t="e">
        <f>+P593+P594+P595+P596+P597+P598+P599</f>
        <v>#VALUE!</v>
      </c>
      <c r="Q604">
        <v>12</v>
      </c>
      <c r="R604">
        <v>14</v>
      </c>
      <c r="S604" t="e">
        <f>S593+S594+S595+S596+S597+S598+S599</f>
        <v>#VALUE!</v>
      </c>
      <c r="V604" t="e">
        <f t="shared" ref="V604:AB604" si="168">V600</f>
        <v>#VALUE!</v>
      </c>
      <c r="W604" t="e">
        <f t="shared" si="168"/>
        <v>#VALUE!</v>
      </c>
      <c r="X604" t="e">
        <f t="shared" si="168"/>
        <v>#VALUE!</v>
      </c>
      <c r="Y604" t="e">
        <f t="shared" si="168"/>
        <v>#VALUE!</v>
      </c>
      <c r="Z604" t="e">
        <f t="shared" si="168"/>
        <v>#VALUE!</v>
      </c>
      <c r="AA604" t="e">
        <f t="shared" si="168"/>
        <v>#VALUE!</v>
      </c>
      <c r="AB604" t="e">
        <f t="shared" si="168"/>
        <v>#VALUE!</v>
      </c>
      <c r="AC604" t="e">
        <f t="shared" si="146"/>
        <v>#VALUE!</v>
      </c>
    </row>
    <row r="605" spans="2:29" x14ac:dyDescent="0.35">
      <c r="E605" t="s">
        <v>61</v>
      </c>
      <c r="J605" t="s">
        <v>27</v>
      </c>
      <c r="K605">
        <f t="shared" ref="K605:AB605" si="169">SUM(K6:K360)*0.35</f>
        <v>60.9</v>
      </c>
      <c r="L605">
        <f t="shared" si="169"/>
        <v>25.2</v>
      </c>
      <c r="M605">
        <f t="shared" si="169"/>
        <v>71.399999999999991</v>
      </c>
      <c r="N605">
        <f t="shared" si="169"/>
        <v>0</v>
      </c>
      <c r="O605">
        <f t="shared" si="169"/>
        <v>0</v>
      </c>
      <c r="P605">
        <f t="shared" si="169"/>
        <v>0</v>
      </c>
      <c r="Q605">
        <f t="shared" si="169"/>
        <v>0</v>
      </c>
      <c r="R605">
        <f t="shared" si="169"/>
        <v>0</v>
      </c>
      <c r="S605">
        <f t="shared" si="169"/>
        <v>0</v>
      </c>
      <c r="T605">
        <f t="shared" si="169"/>
        <v>0</v>
      </c>
      <c r="U605">
        <f t="shared" si="169"/>
        <v>0</v>
      </c>
      <c r="V605">
        <f t="shared" si="169"/>
        <v>0</v>
      </c>
      <c r="W605">
        <f t="shared" si="169"/>
        <v>0</v>
      </c>
      <c r="X605">
        <f t="shared" si="169"/>
        <v>0</v>
      </c>
      <c r="Y605">
        <f t="shared" si="169"/>
        <v>0</v>
      </c>
      <c r="Z605">
        <f t="shared" si="169"/>
        <v>0</v>
      </c>
      <c r="AA605">
        <f t="shared" si="169"/>
        <v>0</v>
      </c>
      <c r="AB605">
        <f t="shared" si="169"/>
        <v>0</v>
      </c>
      <c r="AC605">
        <f t="shared" si="146"/>
        <v>157.5</v>
      </c>
    </row>
    <row r="606" spans="2:29" x14ac:dyDescent="0.35">
      <c r="B606" t="s">
        <v>53</v>
      </c>
    </row>
    <row r="607" spans="2:29" x14ac:dyDescent="0.35">
      <c r="B607" t="s">
        <v>143</v>
      </c>
      <c r="E607" t="s">
        <v>932</v>
      </c>
      <c r="J607" t="s">
        <v>27</v>
      </c>
      <c r="AC607">
        <f t="shared" ref="AC607:AC612" si="170">SUM(K607:AB607)</f>
        <v>0</v>
      </c>
    </row>
    <row r="608" spans="2:29" x14ac:dyDescent="0.35">
      <c r="B608" t="s">
        <v>144</v>
      </c>
      <c r="E608" t="s">
        <v>142</v>
      </c>
      <c r="J608" t="s">
        <v>27</v>
      </c>
      <c r="K608">
        <v>12</v>
      </c>
      <c r="L608">
        <v>12</v>
      </c>
      <c r="M608">
        <v>12</v>
      </c>
      <c r="N608">
        <v>12</v>
      </c>
      <c r="O608">
        <v>3</v>
      </c>
      <c r="P608">
        <v>10</v>
      </c>
      <c r="Q608">
        <v>7</v>
      </c>
      <c r="R608">
        <v>0</v>
      </c>
      <c r="S608">
        <v>9</v>
      </c>
      <c r="T608">
        <v>4</v>
      </c>
      <c r="U608">
        <v>9</v>
      </c>
      <c r="W608">
        <v>11</v>
      </c>
      <c r="X608">
        <v>5</v>
      </c>
      <c r="Z608">
        <v>12</v>
      </c>
      <c r="AC608">
        <f t="shared" si="170"/>
        <v>118</v>
      </c>
    </row>
    <row r="609" spans="2:29" x14ac:dyDescent="0.35">
      <c r="B609" t="s">
        <v>51</v>
      </c>
      <c r="E609" t="s">
        <v>52</v>
      </c>
      <c r="J609" t="s">
        <v>27</v>
      </c>
      <c r="K609">
        <v>37</v>
      </c>
      <c r="L609">
        <v>37</v>
      </c>
      <c r="M609">
        <v>37</v>
      </c>
      <c r="N609">
        <v>39</v>
      </c>
      <c r="O609">
        <v>11</v>
      </c>
      <c r="P609">
        <v>24</v>
      </c>
      <c r="Q609">
        <v>9</v>
      </c>
      <c r="R609">
        <v>16</v>
      </c>
      <c r="S609">
        <v>40</v>
      </c>
      <c r="T609">
        <v>11</v>
      </c>
      <c r="U609">
        <v>19</v>
      </c>
      <c r="V609">
        <v>5</v>
      </c>
      <c r="W609">
        <v>16</v>
      </c>
      <c r="X609">
        <v>10</v>
      </c>
      <c r="Z609">
        <v>4</v>
      </c>
      <c r="AB609">
        <v>3</v>
      </c>
      <c r="AC609">
        <f t="shared" si="170"/>
        <v>318</v>
      </c>
    </row>
    <row r="610" spans="2:29" x14ac:dyDescent="0.35">
      <c r="E610" t="s">
        <v>582</v>
      </c>
      <c r="J610" t="s">
        <v>27</v>
      </c>
      <c r="AC610">
        <f t="shared" si="170"/>
        <v>0</v>
      </c>
    </row>
    <row r="611" spans="2:29" x14ac:dyDescent="0.35">
      <c r="E611" t="s">
        <v>583</v>
      </c>
      <c r="J611" t="s">
        <v>27</v>
      </c>
      <c r="AC611">
        <f t="shared" si="170"/>
        <v>0</v>
      </c>
    </row>
    <row r="612" spans="2:29" x14ac:dyDescent="0.35">
      <c r="E612" t="s">
        <v>584</v>
      </c>
      <c r="J612" t="s">
        <v>27</v>
      </c>
      <c r="AC612">
        <f t="shared" si="170"/>
        <v>0</v>
      </c>
    </row>
    <row r="614" spans="2:29" x14ac:dyDescent="0.35">
      <c r="E614" t="s">
        <v>128</v>
      </c>
      <c r="J614" t="s">
        <v>129</v>
      </c>
      <c r="K614" t="e">
        <f>(K548-0.117)*(#REF!-0.117)</f>
        <v>#REF!</v>
      </c>
      <c r="L614" t="e">
        <f>(L548-0.117)*(#REF!-0.117)</f>
        <v>#REF!</v>
      </c>
      <c r="M614" t="e">
        <f>(M548-0.117)*(#REF!-0.117)</f>
        <v>#REF!</v>
      </c>
      <c r="N614" t="e">
        <f>(N548-0.117)*(#REF!-0.117)</f>
        <v>#REF!</v>
      </c>
      <c r="O614" t="e">
        <f>(O548-0.117)*(#REF!-0.117)</f>
        <v>#REF!</v>
      </c>
      <c r="P614" t="e">
        <f>(P548-0.117)*(#REF!-0.117)</f>
        <v>#REF!</v>
      </c>
      <c r="Q614" t="e">
        <f>(Q548-0.117)*(#REF!-0.117)</f>
        <v>#REF!</v>
      </c>
      <c r="R614" t="e">
        <f>(R548-0.117)*(#REF!-0.117)</f>
        <v>#REF!</v>
      </c>
      <c r="S614" t="e">
        <f>(S548-0.117)*(#REF!-0.117)</f>
        <v>#REF!</v>
      </c>
      <c r="T614" t="e">
        <f>(T548-0.117)*(#REF!-0.117)</f>
        <v>#REF!</v>
      </c>
      <c r="U614" t="e">
        <f>(U548-0.117)*(#REF!-0.117)</f>
        <v>#REF!</v>
      </c>
      <c r="V614" t="e">
        <f>(V548-0.117)*(#REF!-0.117)</f>
        <v>#REF!</v>
      </c>
      <c r="W614" t="e">
        <f>(W548-0.117)*(#REF!-0.117)</f>
        <v>#REF!</v>
      </c>
      <c r="X614" t="e">
        <f>(X548-0.117)*(#REF!-0.117)</f>
        <v>#REF!</v>
      </c>
      <c r="Y614" t="e">
        <f>(Y548-0.117)*(#REF!-0.117)</f>
        <v>#REF!</v>
      </c>
      <c r="Z614" t="e">
        <f>(Z548-0.117)*(#REF!-0.117)</f>
        <v>#REF!</v>
      </c>
      <c r="AA614" t="e">
        <f>(AA548-0.117)*(#REF!-0.117)</f>
        <v>#REF!</v>
      </c>
      <c r="AC614" t="e">
        <f t="shared" ref="AC614:AC619" si="171">SUM(K614:AB614)</f>
        <v>#REF!</v>
      </c>
    </row>
    <row r="615" spans="2:29" x14ac:dyDescent="0.35">
      <c r="E615" t="s">
        <v>895</v>
      </c>
      <c r="J615" t="s">
        <v>129</v>
      </c>
      <c r="K615">
        <f t="shared" ref="K615:Y615" si="172">((K502+K503)*2.715)</f>
        <v>296.24179499999997</v>
      </c>
      <c r="L615">
        <f t="shared" si="172"/>
        <v>296.24179499999997</v>
      </c>
      <c r="M615">
        <f t="shared" si="172"/>
        <v>296.24179499999997</v>
      </c>
      <c r="N615">
        <f t="shared" si="172"/>
        <v>303.16395899999998</v>
      </c>
      <c r="O615">
        <f t="shared" si="172"/>
        <v>52.68186</v>
      </c>
      <c r="P615">
        <f t="shared" si="172"/>
        <v>147.97292999999999</v>
      </c>
      <c r="Q615">
        <f t="shared" si="172"/>
        <v>72.273299999999992</v>
      </c>
      <c r="R615">
        <f t="shared" si="172"/>
        <v>193.82384999999999</v>
      </c>
      <c r="S615">
        <f t="shared" si="172"/>
        <v>107.88324</v>
      </c>
      <c r="T615">
        <f t="shared" si="172"/>
        <v>32.036999999999999</v>
      </c>
      <c r="U615">
        <f t="shared" si="172"/>
        <v>84.287175000000005</v>
      </c>
      <c r="V615">
        <f t="shared" si="172"/>
        <v>0</v>
      </c>
      <c r="W615">
        <f t="shared" si="172"/>
        <v>32.436104999999998</v>
      </c>
      <c r="X615">
        <f t="shared" si="172"/>
        <v>0</v>
      </c>
      <c r="Y615">
        <f t="shared" si="172"/>
        <v>109.27874999999999</v>
      </c>
      <c r="Z615">
        <f>((Z502+Z503)*3)</f>
        <v>87.48</v>
      </c>
      <c r="AA615">
        <f>((AA502+AA503)*2.715)</f>
        <v>0</v>
      </c>
      <c r="AB615">
        <f>((AB502+AB503)*2.715)</f>
        <v>0</v>
      </c>
      <c r="AC615">
        <f t="shared" si="171"/>
        <v>2112.0435539999999</v>
      </c>
    </row>
    <row r="616" spans="2:29" x14ac:dyDescent="0.35">
      <c r="E616" t="s">
        <v>548</v>
      </c>
      <c r="J616" t="s">
        <v>37</v>
      </c>
      <c r="K616" t="e">
        <f>(K614/1.53)</f>
        <v>#REF!</v>
      </c>
      <c r="L616" t="e">
        <f>(L614/1.53)</f>
        <v>#REF!</v>
      </c>
      <c r="M616" t="e">
        <f>(M614/1.53)</f>
        <v>#REF!</v>
      </c>
      <c r="N616">
        <v>237.11</v>
      </c>
      <c r="O616" t="e">
        <f t="shared" ref="O616:AB616" si="173">(O614/1.53)</f>
        <v>#REF!</v>
      </c>
      <c r="P616" t="e">
        <f t="shared" si="173"/>
        <v>#REF!</v>
      </c>
      <c r="Q616" t="e">
        <f t="shared" si="173"/>
        <v>#REF!</v>
      </c>
      <c r="R616" t="e">
        <f t="shared" si="173"/>
        <v>#REF!</v>
      </c>
      <c r="S616" t="e">
        <f t="shared" si="173"/>
        <v>#REF!</v>
      </c>
      <c r="T616" t="e">
        <f t="shared" si="173"/>
        <v>#REF!</v>
      </c>
      <c r="U616" t="e">
        <f t="shared" si="173"/>
        <v>#REF!</v>
      </c>
      <c r="V616" t="e">
        <f t="shared" si="173"/>
        <v>#REF!</v>
      </c>
      <c r="W616" t="e">
        <f t="shared" si="173"/>
        <v>#REF!</v>
      </c>
      <c r="X616" t="e">
        <f t="shared" si="173"/>
        <v>#REF!</v>
      </c>
      <c r="Y616" t="e">
        <f t="shared" si="173"/>
        <v>#REF!</v>
      </c>
      <c r="Z616" t="e">
        <f t="shared" si="173"/>
        <v>#REF!</v>
      </c>
      <c r="AA616" t="e">
        <f t="shared" si="173"/>
        <v>#REF!</v>
      </c>
      <c r="AB616">
        <f t="shared" si="173"/>
        <v>0</v>
      </c>
      <c r="AC616" t="e">
        <f t="shared" si="171"/>
        <v>#REF!</v>
      </c>
    </row>
    <row r="617" spans="2:29" x14ac:dyDescent="0.35">
      <c r="E617" t="s">
        <v>549</v>
      </c>
      <c r="J617" t="s">
        <v>435</v>
      </c>
      <c r="K617" t="e">
        <f>K614*0.333333333</f>
        <v>#REF!</v>
      </c>
      <c r="L617" t="e">
        <f>L614*0.333333333</f>
        <v>#REF!</v>
      </c>
      <c r="M617" t="e">
        <f>M614*0.333333333</f>
        <v>#REF!</v>
      </c>
      <c r="N617">
        <v>121.01</v>
      </c>
      <c r="O617" t="e">
        <f t="shared" ref="O617:AB617" si="174">O614*0.333333333</f>
        <v>#REF!</v>
      </c>
      <c r="P617" t="e">
        <f t="shared" si="174"/>
        <v>#REF!</v>
      </c>
      <c r="Q617" t="e">
        <f t="shared" si="174"/>
        <v>#REF!</v>
      </c>
      <c r="R617" t="e">
        <f t="shared" si="174"/>
        <v>#REF!</v>
      </c>
      <c r="S617" t="e">
        <f t="shared" si="174"/>
        <v>#REF!</v>
      </c>
      <c r="T617" t="e">
        <f t="shared" si="174"/>
        <v>#REF!</v>
      </c>
      <c r="U617" t="e">
        <f t="shared" si="174"/>
        <v>#REF!</v>
      </c>
      <c r="V617" t="e">
        <f t="shared" si="174"/>
        <v>#REF!</v>
      </c>
      <c r="W617" t="e">
        <f t="shared" si="174"/>
        <v>#REF!</v>
      </c>
      <c r="X617" t="e">
        <f t="shared" si="174"/>
        <v>#REF!</v>
      </c>
      <c r="Y617" t="e">
        <f t="shared" si="174"/>
        <v>#REF!</v>
      </c>
      <c r="Z617" t="e">
        <f t="shared" si="174"/>
        <v>#REF!</v>
      </c>
      <c r="AA617" t="e">
        <f t="shared" si="174"/>
        <v>#REF!</v>
      </c>
      <c r="AB617">
        <f t="shared" si="174"/>
        <v>0</v>
      </c>
      <c r="AC617" t="e">
        <f t="shared" si="171"/>
        <v>#REF!</v>
      </c>
    </row>
    <row r="618" spans="2:29" x14ac:dyDescent="0.35">
      <c r="E618" t="s">
        <v>550</v>
      </c>
      <c r="J618" t="s">
        <v>435</v>
      </c>
      <c r="K618" t="e">
        <f t="shared" ref="K618:AB618" si="175">K614*0.02964</f>
        <v>#REF!</v>
      </c>
      <c r="L618" t="e">
        <f t="shared" si="175"/>
        <v>#REF!</v>
      </c>
      <c r="M618" t="e">
        <f t="shared" si="175"/>
        <v>#REF!</v>
      </c>
      <c r="N618" t="e">
        <f t="shared" si="175"/>
        <v>#REF!</v>
      </c>
      <c r="O618" t="e">
        <f t="shared" si="175"/>
        <v>#REF!</v>
      </c>
      <c r="P618" t="e">
        <f t="shared" si="175"/>
        <v>#REF!</v>
      </c>
      <c r="Q618" t="e">
        <f t="shared" si="175"/>
        <v>#REF!</v>
      </c>
      <c r="R618" t="e">
        <f t="shared" si="175"/>
        <v>#REF!</v>
      </c>
      <c r="S618" t="e">
        <f t="shared" si="175"/>
        <v>#REF!</v>
      </c>
      <c r="T618" t="e">
        <f t="shared" si="175"/>
        <v>#REF!</v>
      </c>
      <c r="U618" t="e">
        <f t="shared" si="175"/>
        <v>#REF!</v>
      </c>
      <c r="V618" t="e">
        <f t="shared" si="175"/>
        <v>#REF!</v>
      </c>
      <c r="W618" t="e">
        <f t="shared" si="175"/>
        <v>#REF!</v>
      </c>
      <c r="X618" t="e">
        <f t="shared" si="175"/>
        <v>#REF!</v>
      </c>
      <c r="Y618" t="e">
        <f t="shared" si="175"/>
        <v>#REF!</v>
      </c>
      <c r="Z618" t="e">
        <f t="shared" si="175"/>
        <v>#REF!</v>
      </c>
      <c r="AA618" t="e">
        <f t="shared" si="175"/>
        <v>#REF!</v>
      </c>
      <c r="AB618">
        <f t="shared" si="175"/>
        <v>0</v>
      </c>
      <c r="AC618" t="e">
        <f t="shared" si="171"/>
        <v>#REF!</v>
      </c>
    </row>
    <row r="619" spans="2:29" x14ac:dyDescent="0.35">
      <c r="E619" t="s">
        <v>141</v>
      </c>
      <c r="J619" t="s">
        <v>23</v>
      </c>
      <c r="K619">
        <v>747.37139999999999</v>
      </c>
      <c r="L619">
        <v>747.37139999999999</v>
      </c>
      <c r="M619">
        <v>747.37139999999999</v>
      </c>
      <c r="N619">
        <v>437.6</v>
      </c>
      <c r="O619">
        <v>747.37139999999999</v>
      </c>
      <c r="P619">
        <v>164.738</v>
      </c>
      <c r="Q619">
        <v>273.33</v>
      </c>
      <c r="R619">
        <v>273.33</v>
      </c>
      <c r="T619">
        <v>245.21</v>
      </c>
      <c r="U619">
        <v>747.37139999999999</v>
      </c>
      <c r="V619">
        <v>62.751399999999997</v>
      </c>
      <c r="W619">
        <v>161.81270000000001</v>
      </c>
      <c r="X619">
        <v>127.0102</v>
      </c>
      <c r="Y619">
        <v>199.83</v>
      </c>
      <c r="Z619">
        <v>429.78</v>
      </c>
      <c r="AA619">
        <v>101.87</v>
      </c>
      <c r="AB619">
        <v>101.87</v>
      </c>
      <c r="AC619">
        <f t="shared" si="171"/>
        <v>6315.9892999999993</v>
      </c>
    </row>
    <row r="620" spans="2:29" x14ac:dyDescent="0.35">
      <c r="B620" t="s">
        <v>130</v>
      </c>
    </row>
    <row r="621" spans="2:29" x14ac:dyDescent="0.35">
      <c r="E621" t="s">
        <v>137</v>
      </c>
      <c r="J621" t="s">
        <v>27</v>
      </c>
      <c r="T621">
        <v>0</v>
      </c>
      <c r="AC621">
        <f t="shared" ref="AC621:AC638" si="176">SUM(K621:AB621)</f>
        <v>0</v>
      </c>
    </row>
    <row r="622" spans="2:29" x14ac:dyDescent="0.35">
      <c r="E622" t="s">
        <v>585</v>
      </c>
      <c r="J622" t="s">
        <v>27</v>
      </c>
      <c r="AC622">
        <f t="shared" si="176"/>
        <v>0</v>
      </c>
    </row>
    <row r="623" spans="2:29" x14ac:dyDescent="0.35">
      <c r="E623" t="s">
        <v>446</v>
      </c>
      <c r="J623" t="s">
        <v>27</v>
      </c>
      <c r="N623">
        <v>0</v>
      </c>
      <c r="AC623">
        <f t="shared" si="176"/>
        <v>0</v>
      </c>
    </row>
    <row r="624" spans="2:29" x14ac:dyDescent="0.35">
      <c r="E624" t="s">
        <v>447</v>
      </c>
      <c r="J624" t="s">
        <v>27</v>
      </c>
      <c r="AC624">
        <f t="shared" si="176"/>
        <v>0</v>
      </c>
    </row>
    <row r="625" spans="5:29" x14ac:dyDescent="0.35">
      <c r="E625" t="s">
        <v>132</v>
      </c>
      <c r="J625" t="s">
        <v>27</v>
      </c>
      <c r="T625">
        <v>0</v>
      </c>
      <c r="AC625">
        <f t="shared" si="176"/>
        <v>0</v>
      </c>
    </row>
    <row r="626" spans="5:29" x14ac:dyDescent="0.35">
      <c r="E626" t="s">
        <v>139</v>
      </c>
      <c r="J626" t="s">
        <v>27</v>
      </c>
      <c r="K626">
        <v>12</v>
      </c>
      <c r="L626">
        <v>12</v>
      </c>
      <c r="M626">
        <v>12</v>
      </c>
      <c r="O626">
        <v>2</v>
      </c>
      <c r="P626">
        <v>1</v>
      </c>
      <c r="R626">
        <v>1</v>
      </c>
      <c r="S626">
        <v>1</v>
      </c>
      <c r="U626">
        <v>1</v>
      </c>
      <c r="AC626">
        <f t="shared" si="176"/>
        <v>42</v>
      </c>
    </row>
    <row r="627" spans="5:29" x14ac:dyDescent="0.35">
      <c r="E627" t="s">
        <v>131</v>
      </c>
      <c r="J627" t="s">
        <v>27</v>
      </c>
      <c r="K627">
        <v>13</v>
      </c>
      <c r="L627">
        <v>13</v>
      </c>
      <c r="M627">
        <v>13</v>
      </c>
      <c r="N627">
        <v>4</v>
      </c>
      <c r="O627">
        <v>3</v>
      </c>
      <c r="P627">
        <v>6</v>
      </c>
      <c r="Q627">
        <v>2</v>
      </c>
      <c r="R627">
        <v>6</v>
      </c>
      <c r="S627">
        <v>5</v>
      </c>
      <c r="T627">
        <v>1</v>
      </c>
      <c r="U627">
        <v>4</v>
      </c>
      <c r="W627">
        <v>2</v>
      </c>
      <c r="Y627">
        <v>6</v>
      </c>
      <c r="Z627">
        <v>3</v>
      </c>
      <c r="AC627">
        <f t="shared" si="176"/>
        <v>81</v>
      </c>
    </row>
    <row r="628" spans="5:29" x14ac:dyDescent="0.35">
      <c r="E628" t="s">
        <v>870</v>
      </c>
      <c r="J628" t="s">
        <v>27</v>
      </c>
      <c r="K628">
        <v>13</v>
      </c>
      <c r="L628">
        <v>13</v>
      </c>
      <c r="M628">
        <v>13</v>
      </c>
      <c r="N628">
        <v>4</v>
      </c>
      <c r="O628">
        <v>4</v>
      </c>
      <c r="P628">
        <v>7</v>
      </c>
      <c r="Q628">
        <v>0</v>
      </c>
      <c r="R628">
        <v>7</v>
      </c>
      <c r="U628">
        <v>4</v>
      </c>
      <c r="Y628">
        <v>1</v>
      </c>
      <c r="Z628">
        <v>3</v>
      </c>
      <c r="AC628">
        <f t="shared" si="176"/>
        <v>69</v>
      </c>
    </row>
    <row r="629" spans="5:29" x14ac:dyDescent="0.35">
      <c r="E629" t="s">
        <v>138</v>
      </c>
      <c r="J629" t="s">
        <v>27</v>
      </c>
      <c r="Q629">
        <v>2</v>
      </c>
      <c r="R629">
        <v>0</v>
      </c>
      <c r="S629">
        <v>6</v>
      </c>
      <c r="T629">
        <v>2</v>
      </c>
      <c r="W629">
        <v>2</v>
      </c>
      <c r="Y629">
        <v>5</v>
      </c>
      <c r="AC629">
        <f t="shared" si="176"/>
        <v>17</v>
      </c>
    </row>
    <row r="630" spans="5:29" x14ac:dyDescent="0.35">
      <c r="E630" t="s">
        <v>627</v>
      </c>
      <c r="J630" t="s">
        <v>27</v>
      </c>
      <c r="N630">
        <v>4</v>
      </c>
      <c r="O630">
        <v>4</v>
      </c>
      <c r="P630">
        <v>7</v>
      </c>
      <c r="Q630">
        <v>2</v>
      </c>
      <c r="R630">
        <v>3</v>
      </c>
      <c r="W630">
        <v>2</v>
      </c>
      <c r="Y630">
        <v>5</v>
      </c>
      <c r="AC630">
        <f t="shared" si="176"/>
        <v>27</v>
      </c>
    </row>
    <row r="631" spans="5:29" x14ac:dyDescent="0.35">
      <c r="E631" t="s">
        <v>628</v>
      </c>
      <c r="J631" t="s">
        <v>27</v>
      </c>
      <c r="Q631">
        <f>(Q621*3)+(Q622*5)+Q629</f>
        <v>2</v>
      </c>
      <c r="R631">
        <v>7</v>
      </c>
      <c r="S631">
        <f>(S621*3)+(S622*5)+S629</f>
        <v>6</v>
      </c>
      <c r="T631">
        <f>(T621*3)+(T622*5)+T629</f>
        <v>2</v>
      </c>
      <c r="Y631">
        <v>1</v>
      </c>
      <c r="Z631">
        <v>3</v>
      </c>
      <c r="AC631">
        <f t="shared" si="176"/>
        <v>21</v>
      </c>
    </row>
    <row r="632" spans="5:29" x14ac:dyDescent="0.35">
      <c r="E632" t="s">
        <v>443</v>
      </c>
      <c r="J632" t="s">
        <v>27</v>
      </c>
      <c r="K632">
        <v>9</v>
      </c>
      <c r="L632">
        <v>9</v>
      </c>
      <c r="M632">
        <v>9</v>
      </c>
      <c r="O632">
        <v>3</v>
      </c>
      <c r="P632">
        <v>3</v>
      </c>
      <c r="Q632">
        <v>1</v>
      </c>
      <c r="R632">
        <v>6</v>
      </c>
      <c r="T632">
        <v>0</v>
      </c>
      <c r="Y632">
        <v>6</v>
      </c>
      <c r="Z632">
        <v>3</v>
      </c>
      <c r="AC632">
        <f t="shared" si="176"/>
        <v>49</v>
      </c>
    </row>
    <row r="633" spans="5:29" x14ac:dyDescent="0.35">
      <c r="E633" t="s">
        <v>444</v>
      </c>
      <c r="J633" t="s">
        <v>27</v>
      </c>
      <c r="K633">
        <f>K632</f>
        <v>9</v>
      </c>
      <c r="L633">
        <f>L632</f>
        <v>9</v>
      </c>
      <c r="M633">
        <f>M632</f>
        <v>9</v>
      </c>
      <c r="O633">
        <v>3</v>
      </c>
      <c r="Q633">
        <v>1</v>
      </c>
      <c r="R633">
        <v>6</v>
      </c>
      <c r="S633">
        <f>S632</f>
        <v>0</v>
      </c>
      <c r="T633">
        <f>T632</f>
        <v>0</v>
      </c>
      <c r="Y633">
        <f>Y632</f>
        <v>6</v>
      </c>
      <c r="Z633">
        <f>Z632</f>
        <v>3</v>
      </c>
      <c r="AA633">
        <f>AA632</f>
        <v>0</v>
      </c>
      <c r="AB633">
        <f>AB632</f>
        <v>0</v>
      </c>
      <c r="AC633">
        <f t="shared" si="176"/>
        <v>46</v>
      </c>
    </row>
    <row r="634" spans="5:29" x14ac:dyDescent="0.35">
      <c r="E634" t="s">
        <v>445</v>
      </c>
      <c r="J634" t="s">
        <v>27</v>
      </c>
      <c r="K634">
        <f>K628+K629</f>
        <v>13</v>
      </c>
      <c r="L634">
        <f>L628+L629</f>
        <v>13</v>
      </c>
      <c r="M634">
        <f>M628+M629</f>
        <v>13</v>
      </c>
      <c r="Q634">
        <v>2</v>
      </c>
      <c r="R634">
        <v>0</v>
      </c>
      <c r="S634">
        <f>S632</f>
        <v>0</v>
      </c>
      <c r="T634">
        <f>T632</f>
        <v>0</v>
      </c>
      <c r="Y634">
        <f>Y628+Y629</f>
        <v>6</v>
      </c>
      <c r="Z634">
        <f>Z628+Z629</f>
        <v>3</v>
      </c>
      <c r="AA634">
        <f>AA628+AA629</f>
        <v>0</v>
      </c>
      <c r="AB634">
        <f>AB628+AB629</f>
        <v>0</v>
      </c>
      <c r="AC634">
        <f t="shared" si="176"/>
        <v>50</v>
      </c>
    </row>
    <row r="635" spans="5:29" x14ac:dyDescent="0.35">
      <c r="E635" t="s">
        <v>133</v>
      </c>
      <c r="J635" t="s">
        <v>27</v>
      </c>
      <c r="T635">
        <v>0</v>
      </c>
      <c r="AC635">
        <f t="shared" si="176"/>
        <v>0</v>
      </c>
    </row>
    <row r="636" spans="5:29" x14ac:dyDescent="0.35">
      <c r="E636" t="s">
        <v>586</v>
      </c>
      <c r="J636" t="s">
        <v>27</v>
      </c>
      <c r="N636">
        <v>1</v>
      </c>
      <c r="P636">
        <v>1</v>
      </c>
      <c r="Q636">
        <v>2</v>
      </c>
      <c r="R636">
        <v>3</v>
      </c>
      <c r="S636">
        <v>0</v>
      </c>
      <c r="T636">
        <v>1</v>
      </c>
      <c r="U636">
        <v>2</v>
      </c>
      <c r="AC636">
        <f t="shared" si="176"/>
        <v>10</v>
      </c>
    </row>
    <row r="637" spans="5:29" x14ac:dyDescent="0.35">
      <c r="E637" t="s">
        <v>907</v>
      </c>
      <c r="J637" t="s">
        <v>27</v>
      </c>
      <c r="P637">
        <v>5</v>
      </c>
      <c r="S637">
        <v>1</v>
      </c>
      <c r="U637">
        <v>1</v>
      </c>
      <c r="AC637">
        <f t="shared" si="176"/>
        <v>7</v>
      </c>
    </row>
    <row r="638" spans="5:29" x14ac:dyDescent="0.35">
      <c r="E638" t="s">
        <v>1285</v>
      </c>
      <c r="J638" t="s">
        <v>27</v>
      </c>
      <c r="N638">
        <v>1</v>
      </c>
      <c r="Q638">
        <v>3</v>
      </c>
      <c r="R638">
        <v>3</v>
      </c>
      <c r="S638">
        <v>0</v>
      </c>
      <c r="T638">
        <v>1</v>
      </c>
      <c r="AC638">
        <f t="shared" si="176"/>
        <v>8</v>
      </c>
    </row>
  </sheetData>
  <mergeCells count="2">
    <mergeCell ref="B1:E1"/>
    <mergeCell ref="G3:J3"/>
  </mergeCells>
  <dataValidations count="3">
    <dataValidation type="list" allowBlank="1" showInputMessage="1" showErrorMessage="1" sqref="B1:E1">
      <formula1>PROYECTOS</formula1>
    </dataValidation>
    <dataValidation type="list" allowBlank="1" showInputMessage="1" showErrorMessage="1" sqref="K5:AB5">
      <formula1>conceptos2</formula1>
    </dataValidation>
    <dataValidation type="list" allowBlank="1" showInputMessage="1" showErrorMessage="1" sqref="K3:AC3">
      <formula1>lista</formula1>
    </dataValidation>
  </dataValidations>
  <printOptions horizontalCentered="1"/>
  <pageMargins left="0.25" right="0.25" top="0.75" bottom="0.75" header="0.3" footer="0.3"/>
  <pageSetup paperSize="167" scale="27" fitToHeight="0" orientation="landscape" r:id="rId1"/>
  <rowBreaks count="259" manualBreakCount="259">
    <brk id="47" min="1" max="68" man="1"/>
    <brk id="114" min="1" max="68" man="1"/>
    <brk id="162" min="1" max="68" man="1"/>
    <brk id="261" min="1" max="33" man="1"/>
    <brk id="313" min="1" max="68" man="1"/>
    <brk id="392" max="16383" man="1"/>
    <brk id="414" min="1" max="33" man="1"/>
    <brk id="442" min="1" max="68" man="1"/>
    <brk id="508" min="1" max="68" man="1"/>
    <brk id="549" min="1" max="68" man="1"/>
    <brk id="591" min="1" max="68" man="1"/>
    <brk id="626" min="1" max="68" man="1"/>
    <brk id="888" min="1" max="75" man="1"/>
    <brk id="1150" min="1" max="75" man="1"/>
    <brk id="1412" min="1" max="75" man="1"/>
    <brk id="1674" min="1" max="75" man="1"/>
    <brk id="1936" min="1" max="75" man="1"/>
    <brk id="2198" min="1" max="75" man="1"/>
    <brk id="2460" min="1" max="75" man="1"/>
    <brk id="2722" min="1" max="75" man="1"/>
    <brk id="2984" min="1" max="75" man="1"/>
    <brk id="3246" min="1" max="75" man="1"/>
    <brk id="3508" min="1" max="75" man="1"/>
    <brk id="3770" min="1" max="75" man="1"/>
    <brk id="4032" min="1" max="75" man="1"/>
    <brk id="4294" min="1" max="75" man="1"/>
    <brk id="4556" min="1" max="75" man="1"/>
    <brk id="4818" min="1" max="75" man="1"/>
    <brk id="5080" min="1" max="75" man="1"/>
    <brk id="5342" min="1" max="75" man="1"/>
    <brk id="5604" min="1" max="75" man="1"/>
    <brk id="5866" min="1" max="75" man="1"/>
    <brk id="6128" min="1" max="75" man="1"/>
    <brk id="6390" min="1" max="75" man="1"/>
    <brk id="6652" min="1" max="75" man="1"/>
    <brk id="6914" min="1" max="75" man="1"/>
    <brk id="7176" min="1" max="75" man="1"/>
    <brk id="7438" min="1" max="75" man="1"/>
    <brk id="7700" min="1" max="75" man="1"/>
    <brk id="7962" min="1" max="75" man="1"/>
    <brk id="8224" min="1" max="75" man="1"/>
    <brk id="8486" min="1" max="75" man="1"/>
    <brk id="8748" min="1" max="75" man="1"/>
    <brk id="9010" min="1" max="75" man="1"/>
    <brk id="9272" min="1" max="75" man="1"/>
    <brk id="9534" min="1" max="75" man="1"/>
    <brk id="9796" min="1" max="75" man="1"/>
    <brk id="10058" min="1" max="75" man="1"/>
    <brk id="10320" min="1" max="75" man="1"/>
    <brk id="10582" min="1" max="75" man="1"/>
    <brk id="10844" min="1" max="75" man="1"/>
    <brk id="11106" min="1" max="75" man="1"/>
    <brk id="11368" min="1" max="75" man="1"/>
    <brk id="11630" min="1" max="75" man="1"/>
    <brk id="11892" min="1" max="75" man="1"/>
    <brk id="12154" min="1" max="75" man="1"/>
    <brk id="12416" min="1" max="75" man="1"/>
    <brk id="12678" min="1" max="75" man="1"/>
    <brk id="12940" min="1" max="75" man="1"/>
    <brk id="13202" min="1" max="75" man="1"/>
    <brk id="13464" min="1" max="75" man="1"/>
    <brk id="13726" min="1" max="75" man="1"/>
    <brk id="13988" min="1" max="75" man="1"/>
    <brk id="14250" min="1" max="75" man="1"/>
    <brk id="14512" min="1" max="75" man="1"/>
    <brk id="14774" min="1" max="75" man="1"/>
    <brk id="15036" min="1" max="75" man="1"/>
    <brk id="15298" min="1" max="75" man="1"/>
    <brk id="15560" min="1" max="75" man="1"/>
    <brk id="15822" min="1" max="75" man="1"/>
    <brk id="16084" min="1" max="75" man="1"/>
    <brk id="16346" min="1" max="75" man="1"/>
    <brk id="16608" min="1" max="75" man="1"/>
    <brk id="16870" min="1" max="75" man="1"/>
    <brk id="17132" min="1" max="75" man="1"/>
    <brk id="17394" min="1" max="75" man="1"/>
    <brk id="17656" min="1" max="75" man="1"/>
    <brk id="17918" min="1" max="75" man="1"/>
    <brk id="18180" min="1" max="75" man="1"/>
    <brk id="18442" min="1" max="75" man="1"/>
    <brk id="18704" min="1" max="75" man="1"/>
    <brk id="18966" min="1" max="75" man="1"/>
    <brk id="19228" min="1" max="75" man="1"/>
    <brk id="19490" min="1" max="75" man="1"/>
    <brk id="19752" min="1" max="75" man="1"/>
    <brk id="20014" min="1" max="75" man="1"/>
    <brk id="20276" min="1" max="75" man="1"/>
    <brk id="20538" min="1" max="75" man="1"/>
    <brk id="20800" min="1" max="75" man="1"/>
    <brk id="21062" min="1" max="75" man="1"/>
    <brk id="21324" min="1" max="75" man="1"/>
    <brk id="21586" min="1" max="75" man="1"/>
    <brk id="21848" min="1" max="75" man="1"/>
    <brk id="22110" min="1" max="75" man="1"/>
    <brk id="22372" min="1" max="75" man="1"/>
    <brk id="22634" min="1" max="75" man="1"/>
    <brk id="22896" min="1" max="75" man="1"/>
    <brk id="23158" min="1" max="75" man="1"/>
    <brk id="23420" min="1" max="75" man="1"/>
    <brk id="23682" min="1" max="75" man="1"/>
    <brk id="23944" min="1" max="75" man="1"/>
    <brk id="24206" min="1" max="75" man="1"/>
    <brk id="24468" min="1" max="75" man="1"/>
    <brk id="24730" min="1" max="75" man="1"/>
    <brk id="24992" min="1" max="75" man="1"/>
    <brk id="25254" min="1" max="75" man="1"/>
    <brk id="25516" min="1" max="75" man="1"/>
    <brk id="25778" min="1" max="75" man="1"/>
    <brk id="26040" min="1" max="75" man="1"/>
    <brk id="26302" min="1" max="75" man="1"/>
    <brk id="26564" min="1" max="75" man="1"/>
    <brk id="26826" min="1" max="75" man="1"/>
    <brk id="27088" min="1" max="75" man="1"/>
    <brk id="27350" min="1" max="75" man="1"/>
    <brk id="27612" min="1" max="75" man="1"/>
    <brk id="27874" min="1" max="75" man="1"/>
    <brk id="28136" min="1" max="75" man="1"/>
    <brk id="28398" min="1" max="75" man="1"/>
    <brk id="28660" min="1" max="75" man="1"/>
    <brk id="28922" min="1" max="75" man="1"/>
    <brk id="29184" min="1" max="75" man="1"/>
    <brk id="29446" min="1" max="75" man="1"/>
    <brk id="29708" min="1" max="75" man="1"/>
    <brk id="29970" min="1" max="75" man="1"/>
    <brk id="30232" min="1" max="75" man="1"/>
    <brk id="30494" min="1" max="75" man="1"/>
    <brk id="30756" min="1" max="75" man="1"/>
    <brk id="31018" min="1" max="75" man="1"/>
    <brk id="31280" min="1" max="75" man="1"/>
    <brk id="31542" min="1" max="75" man="1"/>
    <brk id="31804" min="1" max="75" man="1"/>
    <brk id="32066" min="1" max="75" man="1"/>
    <brk id="32328" min="1" max="75" man="1"/>
    <brk id="32590" min="1" max="75" man="1"/>
    <brk id="32852" min="1" max="75" man="1"/>
    <brk id="33114" min="1" max="75" man="1"/>
    <brk id="33376" min="1" max="75" man="1"/>
    <brk id="33638" min="1" max="75" man="1"/>
    <brk id="33900" min="1" max="75" man="1"/>
    <brk id="34162" min="1" max="75" man="1"/>
    <brk id="34424" min="1" max="75" man="1"/>
    <brk id="34686" min="1" max="75" man="1"/>
    <brk id="34948" min="1" max="75" man="1"/>
    <brk id="35210" min="1" max="75" man="1"/>
    <brk id="35472" min="1" max="75" man="1"/>
    <brk id="35734" min="1" max="75" man="1"/>
    <brk id="35996" min="1" max="75" man="1"/>
    <brk id="36258" min="1" max="75" man="1"/>
    <brk id="36520" min="1" max="75" man="1"/>
    <brk id="36782" min="1" max="75" man="1"/>
    <brk id="37044" min="1" max="75" man="1"/>
    <brk id="37306" min="1" max="75" man="1"/>
    <brk id="37568" min="1" max="75" man="1"/>
    <brk id="37830" min="1" max="75" man="1"/>
    <brk id="38092" min="1" max="75" man="1"/>
    <brk id="38354" min="1" max="75" man="1"/>
    <brk id="38616" min="1" max="75" man="1"/>
    <brk id="38878" min="1" max="75" man="1"/>
    <brk id="39140" min="1" max="75" man="1"/>
    <brk id="39402" min="1" max="75" man="1"/>
    <brk id="39664" min="1" max="75" man="1"/>
    <brk id="39926" min="1" max="75" man="1"/>
    <brk id="40188" min="1" max="75" man="1"/>
    <brk id="40450" min="1" max="75" man="1"/>
    <brk id="40712" min="1" max="75" man="1"/>
    <brk id="40974" min="1" max="75" man="1"/>
    <brk id="41236" min="1" max="75" man="1"/>
    <brk id="41498" min="1" max="75" man="1"/>
    <brk id="41760" min="1" max="75" man="1"/>
    <brk id="42022" min="1" max="75" man="1"/>
    <brk id="42284" min="1" max="75" man="1"/>
    <brk id="42546" min="1" max="75" man="1"/>
    <brk id="42808" min="1" max="75" man="1"/>
    <brk id="43070" min="1" max="75" man="1"/>
    <brk id="43332" min="1" max="75" man="1"/>
    <brk id="43594" min="1" max="75" man="1"/>
    <brk id="43856" min="1" max="75" man="1"/>
    <brk id="44118" min="1" max="75" man="1"/>
    <brk id="44380" min="1" max="75" man="1"/>
    <brk id="44642" min="1" max="75" man="1"/>
    <brk id="44904" min="1" max="75" man="1"/>
    <brk id="45166" min="1" max="75" man="1"/>
    <brk id="45428" min="1" max="75" man="1"/>
    <brk id="45690" min="1" max="75" man="1"/>
    <brk id="45952" min="1" max="75" man="1"/>
    <brk id="46214" min="1" max="75" man="1"/>
    <brk id="46476" min="1" max="75" man="1"/>
    <brk id="46738" min="1" max="75" man="1"/>
    <brk id="47000" min="1" max="75" man="1"/>
    <brk id="47262" min="1" max="75" man="1"/>
    <brk id="47524" min="1" max="75" man="1"/>
    <brk id="47786" min="1" max="75" man="1"/>
    <brk id="48048" min="1" max="75" man="1"/>
    <brk id="48310" min="1" max="75" man="1"/>
    <brk id="48572" min="1" max="75" man="1"/>
    <brk id="48834" min="1" max="75" man="1"/>
    <brk id="49096" min="1" max="75" man="1"/>
    <brk id="49358" min="1" max="75" man="1"/>
    <brk id="49620" min="1" max="75" man="1"/>
    <brk id="49882" min="1" max="75" man="1"/>
    <brk id="50144" min="1" max="75" man="1"/>
    <brk id="50406" min="1" max="75" man="1"/>
    <brk id="50668" min="1" max="75" man="1"/>
    <brk id="50930" min="1" max="75" man="1"/>
    <brk id="51192" min="1" max="75" man="1"/>
    <brk id="51454" min="1" max="75" man="1"/>
    <brk id="51716" min="1" max="75" man="1"/>
    <brk id="51978" min="1" max="75" man="1"/>
    <brk id="52240" min="1" max="75" man="1"/>
    <brk id="52502" min="1" max="75" man="1"/>
    <brk id="52764" min="1" max="75" man="1"/>
    <brk id="53026" min="1" max="75" man="1"/>
    <brk id="53288" min="1" max="75" man="1"/>
    <brk id="53550" min="1" max="75" man="1"/>
    <brk id="53812" min="1" max="75" man="1"/>
    <brk id="54074" min="1" max="75" man="1"/>
    <brk id="54336" min="1" max="75" man="1"/>
    <brk id="54598" min="1" max="75" man="1"/>
    <brk id="54860" min="1" max="75" man="1"/>
    <brk id="55122" min="1" max="75" man="1"/>
    <brk id="55384" min="1" max="75" man="1"/>
    <brk id="55646" min="1" max="75" man="1"/>
    <brk id="55908" min="1" max="75" man="1"/>
    <brk id="56170" min="1" max="75" man="1"/>
    <brk id="56432" min="1" max="75" man="1"/>
    <brk id="56694" min="1" max="75" man="1"/>
    <brk id="56956" min="1" max="75" man="1"/>
    <brk id="57218" min="1" max="75" man="1"/>
    <brk id="57480" min="1" max="75" man="1"/>
    <brk id="57742" min="1" max="75" man="1"/>
    <brk id="58004" min="1" max="75" man="1"/>
    <brk id="58266" min="1" max="75" man="1"/>
    <brk id="58528" min="1" max="75" man="1"/>
    <brk id="58790" min="1" max="75" man="1"/>
    <brk id="59052" min="1" max="75" man="1"/>
    <brk id="59314" min="1" max="75" man="1"/>
    <brk id="59576" min="1" max="75" man="1"/>
    <brk id="59838" min="1" max="75" man="1"/>
    <brk id="60100" min="1" max="75" man="1"/>
    <brk id="60362" min="1" max="75" man="1"/>
    <brk id="60624" min="1" max="75" man="1"/>
    <brk id="60886" min="1" max="75" man="1"/>
    <brk id="61148" min="1" max="75" man="1"/>
    <brk id="61410" min="1" max="75" man="1"/>
    <brk id="61672" min="1" max="75" man="1"/>
    <brk id="61934" min="1" max="75" man="1"/>
    <brk id="62196" min="1" max="75" man="1"/>
    <brk id="62458" min="1" max="75" man="1"/>
    <brk id="62720" min="1" max="75" man="1"/>
    <brk id="62982" min="1" max="75" man="1"/>
    <brk id="63244" min="1" max="75" man="1"/>
    <brk id="63506" min="1" max="75" man="1"/>
    <brk id="63768" min="1" max="75" man="1"/>
    <brk id="64030" min="1" max="75" man="1"/>
    <brk id="64292" min="1" max="75" man="1"/>
    <brk id="64562" min="1" max="84" man="1"/>
    <brk id="64832" min="1" max="84" man="1"/>
    <brk id="65102" min="1" max="84" man="1"/>
    <brk id="65372" min="1" max="84" man="1"/>
  </rowBreaks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I8"/>
  <sheetViews>
    <sheetView workbookViewId="0">
      <selection activeCell="B6" sqref="B6"/>
    </sheetView>
  </sheetViews>
  <sheetFormatPr baseColWidth="10" defaultRowHeight="14.5" x14ac:dyDescent="0.35"/>
  <cols>
    <col min="1" max="1" width="7.453125" style="3" customWidth="1"/>
    <col min="2" max="2" width="39.7265625" customWidth="1"/>
    <col min="3" max="3" width="24.453125" customWidth="1"/>
    <col min="4" max="4" width="22.54296875" customWidth="1"/>
    <col min="5" max="5" width="26" customWidth="1"/>
    <col min="6" max="6" width="13" customWidth="1"/>
    <col min="7" max="7" width="19.1796875" customWidth="1"/>
    <col min="8" max="8" width="18.7265625" style="7" customWidth="1"/>
    <col min="9" max="9" width="17.453125" style="7" customWidth="1"/>
  </cols>
  <sheetData>
    <row r="1" spans="1:9" x14ac:dyDescent="0.35">
      <c r="H1"/>
      <c r="I1"/>
    </row>
    <row r="2" spans="1:9" x14ac:dyDescent="0.35">
      <c r="H2"/>
      <c r="I2"/>
    </row>
    <row r="3" spans="1:9" s="1" customFormat="1" ht="29" x14ac:dyDescent="0.35">
      <c r="A3" s="6" t="s">
        <v>1304</v>
      </c>
      <c r="B3" s="6" t="s">
        <v>1320</v>
      </c>
      <c r="C3" s="6" t="s">
        <v>1321</v>
      </c>
      <c r="D3" s="6" t="s">
        <v>1322</v>
      </c>
      <c r="E3" s="6" t="s">
        <v>1373</v>
      </c>
      <c r="F3" s="6" t="s">
        <v>1323</v>
      </c>
      <c r="G3" s="6" t="s">
        <v>1324</v>
      </c>
      <c r="H3" s="6" t="s">
        <v>1325</v>
      </c>
      <c r="I3" s="6" t="s">
        <v>1395</v>
      </c>
    </row>
    <row r="4" spans="1:9" s="1" customFormat="1" x14ac:dyDescent="0.35">
      <c r="A4" s="6">
        <f>ROW()-3</f>
        <v>1</v>
      </c>
      <c r="B4" t="s">
        <v>933</v>
      </c>
      <c r="C4" t="s">
        <v>1388</v>
      </c>
      <c r="D4" t="s">
        <v>1389</v>
      </c>
      <c r="E4" t="s">
        <v>1390</v>
      </c>
      <c r="F4">
        <v>4</v>
      </c>
      <c r="G4" t="s">
        <v>1391</v>
      </c>
      <c r="H4" s="7">
        <v>42005</v>
      </c>
      <c r="I4" s="7">
        <v>42370</v>
      </c>
    </row>
    <row r="5" spans="1:9" s="1" customFormat="1" x14ac:dyDescent="0.35">
      <c r="A5" s="3">
        <f>ROW()-3</f>
        <v>2</v>
      </c>
      <c r="B5" t="s">
        <v>1396</v>
      </c>
      <c r="C5" t="s">
        <v>1396</v>
      </c>
      <c r="D5" t="s">
        <v>1394</v>
      </c>
      <c r="E5" t="s">
        <v>1397</v>
      </c>
      <c r="F5">
        <v>5</v>
      </c>
      <c r="G5" t="s">
        <v>1398</v>
      </c>
      <c r="H5" s="7">
        <v>42414</v>
      </c>
      <c r="I5" s="7">
        <v>42609</v>
      </c>
    </row>
    <row r="6" spans="1:9" x14ac:dyDescent="0.35">
      <c r="A6" s="6">
        <f>ROW()-3</f>
        <v>3</v>
      </c>
      <c r="B6" t="s">
        <v>1399</v>
      </c>
      <c r="C6" t="s">
        <v>1400</v>
      </c>
      <c r="D6" t="s">
        <v>1401</v>
      </c>
      <c r="E6" t="s">
        <v>1402</v>
      </c>
      <c r="F6">
        <v>7</v>
      </c>
      <c r="G6" t="s">
        <v>1403</v>
      </c>
      <c r="H6" s="7">
        <v>42005</v>
      </c>
      <c r="I6" s="7">
        <v>42586</v>
      </c>
    </row>
    <row r="7" spans="1:9" x14ac:dyDescent="0.35">
      <c r="A7" s="3">
        <f>ROW()-3</f>
        <v>4</v>
      </c>
      <c r="B7" t="s">
        <v>1405</v>
      </c>
      <c r="C7" t="s">
        <v>1406</v>
      </c>
      <c r="D7" t="s">
        <v>1407</v>
      </c>
      <c r="E7" t="s">
        <v>1408</v>
      </c>
      <c r="G7" t="s">
        <v>1406</v>
      </c>
      <c r="H7" s="7">
        <v>42005</v>
      </c>
      <c r="I7" s="7">
        <v>42370</v>
      </c>
    </row>
    <row r="8" spans="1:9" x14ac:dyDescent="0.35">
      <c r="A8" s="3">
        <f>ROW()-3</f>
        <v>5</v>
      </c>
      <c r="B8" t="s">
        <v>1409</v>
      </c>
      <c r="C8">
        <v>345</v>
      </c>
      <c r="D8">
        <v>34</v>
      </c>
      <c r="F8">
        <v>54</v>
      </c>
      <c r="G8">
        <v>6</v>
      </c>
      <c r="H8" s="7" t="s">
        <v>1410</v>
      </c>
      <c r="I8" s="7" t="s">
        <v>1411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W49"/>
  <sheetViews>
    <sheetView workbookViewId="0">
      <selection activeCell="E20" sqref="E20"/>
    </sheetView>
  </sheetViews>
  <sheetFormatPr baseColWidth="10" defaultRowHeight="14.5" x14ac:dyDescent="0.35"/>
  <cols>
    <col min="1" max="1" width="10.90625" customWidth="1"/>
    <col min="4" max="4" width="6" customWidth="1"/>
    <col min="5" max="5" width="18.81640625" customWidth="1"/>
    <col min="6" max="6" width="2.453125" customWidth="1"/>
    <col min="7" max="7" width="6" customWidth="1"/>
    <col min="8" max="8" width="29.453125" customWidth="1"/>
    <col min="9" max="9" width="2.453125" customWidth="1"/>
    <col min="10" max="10" width="6.1796875" customWidth="1"/>
    <col min="11" max="11" width="16.453125" customWidth="1"/>
    <col min="12" max="12" width="2.453125" customWidth="1"/>
    <col min="13" max="13" width="6.1796875" customWidth="1"/>
    <col min="14" max="14" width="11.453125" customWidth="1"/>
    <col min="15" max="15" width="2.453125" customWidth="1"/>
    <col min="16" max="16" width="6.1796875" customWidth="1"/>
    <col min="17" max="17" width="16.7265625" customWidth="1"/>
    <col min="18" max="18" width="2.453125" customWidth="1"/>
    <col min="19" max="19" width="6.1796875" customWidth="1"/>
    <col min="20" max="20" width="10.453125" customWidth="1"/>
    <col min="21" max="21" width="2.453125" customWidth="1"/>
    <col min="22" max="22" width="6.1796875" customWidth="1"/>
    <col min="23" max="23" width="11.26953125" customWidth="1"/>
    <col min="24" max="24" width="2.453125" customWidth="1"/>
    <col min="25" max="25" width="6.1796875" customWidth="1"/>
    <col min="26" max="26" width="20.1796875" customWidth="1"/>
    <col min="27" max="27" width="2.453125" customWidth="1"/>
    <col min="28" max="28" width="6.1796875" customWidth="1"/>
    <col min="29" max="29" width="15.7265625" customWidth="1"/>
    <col min="30" max="30" width="2.453125" customWidth="1"/>
    <col min="31" max="31" width="6.1796875" customWidth="1"/>
    <col min="32" max="32" width="17.26953125" customWidth="1"/>
    <col min="33" max="33" width="2.453125" customWidth="1"/>
    <col min="34" max="34" width="6.1796875" customWidth="1"/>
    <col min="35" max="35" width="20.453125" customWidth="1"/>
    <col min="36" max="36" width="2.453125" customWidth="1"/>
    <col min="37" max="37" width="6.1796875" customWidth="1"/>
    <col min="38" max="38" width="22.81640625" customWidth="1"/>
    <col min="39" max="39" width="2.453125" customWidth="1"/>
    <col min="40" max="40" width="6.1796875" customWidth="1"/>
    <col min="42" max="42" width="2.453125" customWidth="1"/>
    <col min="43" max="43" width="6.1796875" customWidth="1"/>
    <col min="45" max="45" width="2.453125" customWidth="1"/>
    <col min="46" max="46" width="6.1796875" customWidth="1"/>
    <col min="47" max="47" width="11.453125" customWidth="1"/>
    <col min="48" max="48" width="2.453125" customWidth="1"/>
    <col min="49" max="49" width="6.1796875" customWidth="1"/>
    <col min="50" max="50" width="11.453125" customWidth="1"/>
  </cols>
  <sheetData>
    <row r="1" spans="1:49" x14ac:dyDescent="0.35">
      <c r="J1">
        <v>1</v>
      </c>
      <c r="K1" t="s">
        <v>1380</v>
      </c>
      <c r="M1">
        <v>2</v>
      </c>
      <c r="N1" t="s">
        <v>1381</v>
      </c>
      <c r="P1">
        <v>3</v>
      </c>
      <c r="Q1" t="s">
        <v>1382</v>
      </c>
      <c r="S1">
        <v>4</v>
      </c>
      <c r="T1" t="s">
        <v>1383</v>
      </c>
      <c r="V1">
        <v>5</v>
      </c>
      <c r="W1" t="s">
        <v>1384</v>
      </c>
      <c r="Y1">
        <v>6</v>
      </c>
      <c r="Z1" s="67" t="s">
        <v>1377</v>
      </c>
      <c r="AB1">
        <v>7</v>
      </c>
      <c r="AC1" t="s">
        <v>1385</v>
      </c>
      <c r="AE1">
        <v>8</v>
      </c>
      <c r="AF1" t="s">
        <v>1386</v>
      </c>
      <c r="AH1">
        <v>9</v>
      </c>
      <c r="AI1" t="s">
        <v>1378</v>
      </c>
      <c r="AK1">
        <v>10</v>
      </c>
      <c r="AL1" t="s">
        <v>1379</v>
      </c>
      <c r="AN1">
        <v>11</v>
      </c>
      <c r="AQ1">
        <v>12</v>
      </c>
      <c r="AT1">
        <v>13</v>
      </c>
      <c r="AW1">
        <v>14</v>
      </c>
    </row>
    <row r="2" spans="1:49" ht="6" customHeight="1" x14ac:dyDescent="0.35"/>
    <row r="3" spans="1:49" s="1" customFormat="1" ht="31" x14ac:dyDescent="0.35">
      <c r="A3" s="70" t="s">
        <v>1392</v>
      </c>
      <c r="D3" s="63" t="s">
        <v>1371</v>
      </c>
      <c r="E3" s="63" t="s">
        <v>1374</v>
      </c>
      <c r="G3" s="64" t="s">
        <v>1371</v>
      </c>
      <c r="H3" s="64" t="s">
        <v>1370</v>
      </c>
      <c r="J3" s="62" t="s">
        <v>1304</v>
      </c>
      <c r="K3" s="62" t="s">
        <v>1372</v>
      </c>
      <c r="M3" s="62" t="s">
        <v>1304</v>
      </c>
      <c r="N3" s="62" t="s">
        <v>1306</v>
      </c>
      <c r="P3" s="62" t="s">
        <v>1304</v>
      </c>
      <c r="Q3" s="62" t="s">
        <v>1307</v>
      </c>
      <c r="S3" s="4" t="s">
        <v>1304</v>
      </c>
      <c r="T3" s="4" t="s">
        <v>1308</v>
      </c>
      <c r="V3" s="4" t="s">
        <v>1304</v>
      </c>
      <c r="W3" s="4" t="s">
        <v>1309</v>
      </c>
      <c r="Y3" s="4" t="s">
        <v>1304</v>
      </c>
      <c r="Z3" s="62" t="s">
        <v>1310</v>
      </c>
      <c r="AB3" s="4" t="s">
        <v>1304</v>
      </c>
      <c r="AC3" s="4" t="s">
        <v>1311</v>
      </c>
      <c r="AE3" s="4" t="s">
        <v>1304</v>
      </c>
      <c r="AF3" s="4" t="s">
        <v>1312</v>
      </c>
      <c r="AH3" s="4" t="s">
        <v>1304</v>
      </c>
      <c r="AI3" s="4" t="s">
        <v>1313</v>
      </c>
      <c r="AK3" s="4" t="s">
        <v>1304</v>
      </c>
      <c r="AL3" s="4" t="s">
        <v>1314</v>
      </c>
    </row>
    <row r="4" spans="1:49" x14ac:dyDescent="0.35">
      <c r="A4" s="67">
        <v>1</v>
      </c>
      <c r="D4">
        <f>ROW()-3</f>
        <v>1</v>
      </c>
      <c r="E4" t="s">
        <v>1375</v>
      </c>
      <c r="G4">
        <f>ROW()-3</f>
        <v>1</v>
      </c>
      <c r="H4" t="s">
        <v>1372</v>
      </c>
      <c r="J4" s="65">
        <v>3</v>
      </c>
      <c r="K4" s="66">
        <v>7</v>
      </c>
      <c r="M4" s="65">
        <v>2</v>
      </c>
      <c r="N4" s="66">
        <v>1</v>
      </c>
      <c r="P4" s="65">
        <v>94</v>
      </c>
      <c r="Q4" s="66">
        <v>2</v>
      </c>
      <c r="S4" s="65">
        <v>2</v>
      </c>
      <c r="T4" s="66">
        <v>1</v>
      </c>
      <c r="V4" s="65">
        <v>5</v>
      </c>
      <c r="W4" s="66">
        <v>2</v>
      </c>
      <c r="Y4" s="65">
        <v>1</v>
      </c>
      <c r="Z4" s="66">
        <v>5</v>
      </c>
      <c r="AB4" s="65">
        <v>3</v>
      </c>
      <c r="AC4" s="66">
        <v>17</v>
      </c>
      <c r="AE4" s="65">
        <v>3</v>
      </c>
      <c r="AF4" s="66">
        <v>3</v>
      </c>
      <c r="AH4" s="65">
        <v>3</v>
      </c>
      <c r="AI4" s="66">
        <v>3</v>
      </c>
      <c r="AK4" s="65">
        <v>462</v>
      </c>
      <c r="AL4" s="66">
        <v>10</v>
      </c>
    </row>
    <row r="5" spans="1:49" x14ac:dyDescent="0.35">
      <c r="A5" s="67">
        <v>2</v>
      </c>
      <c r="D5">
        <f t="shared" ref="D5:D13" si="0">ROW()-3</f>
        <v>2</v>
      </c>
      <c r="E5" t="s">
        <v>1306</v>
      </c>
      <c r="G5">
        <f t="shared" ref="G5:G19" si="1">ROW()-3</f>
        <v>2</v>
      </c>
      <c r="H5" t="s">
        <v>1306</v>
      </c>
      <c r="J5" s="65">
        <v>36</v>
      </c>
      <c r="K5" s="66">
        <v>1</v>
      </c>
      <c r="M5" s="65">
        <v>3</v>
      </c>
      <c r="N5" s="66">
        <v>1</v>
      </c>
      <c r="P5" s="65">
        <v>102</v>
      </c>
      <c r="Q5" s="66">
        <v>1</v>
      </c>
      <c r="S5" s="65">
        <v>3</v>
      </c>
      <c r="T5" s="66">
        <v>1</v>
      </c>
      <c r="V5" s="65">
        <v>18</v>
      </c>
      <c r="W5" s="66">
        <v>2</v>
      </c>
      <c r="Y5" s="65">
        <v>13</v>
      </c>
      <c r="Z5" s="66">
        <v>1</v>
      </c>
      <c r="AB5" s="65">
        <v>6</v>
      </c>
      <c r="AC5" s="66">
        <v>7</v>
      </c>
      <c r="AE5" s="65">
        <v>10</v>
      </c>
      <c r="AF5" s="66">
        <v>3</v>
      </c>
      <c r="AH5" s="65">
        <v>4</v>
      </c>
      <c r="AI5" s="66">
        <v>2</v>
      </c>
      <c r="AK5" s="65">
        <v>467</v>
      </c>
      <c r="AL5" s="66">
        <v>2</v>
      </c>
    </row>
    <row r="6" spans="1:49" x14ac:dyDescent="0.35">
      <c r="A6" s="67">
        <v>3</v>
      </c>
      <c r="D6">
        <f t="shared" si="0"/>
        <v>3</v>
      </c>
      <c r="E6" t="s">
        <v>1376</v>
      </c>
      <c r="G6">
        <f t="shared" si="1"/>
        <v>3</v>
      </c>
      <c r="H6" t="s">
        <v>1307</v>
      </c>
      <c r="J6" s="65">
        <v>56</v>
      </c>
      <c r="K6" s="66">
        <v>2</v>
      </c>
      <c r="M6" s="65">
        <v>4</v>
      </c>
      <c r="N6" s="66">
        <v>2</v>
      </c>
      <c r="P6" s="65">
        <v>124</v>
      </c>
      <c r="Q6" s="66">
        <v>1</v>
      </c>
      <c r="S6" s="65">
        <v>47</v>
      </c>
      <c r="T6" s="66">
        <v>1</v>
      </c>
      <c r="V6" s="65">
        <v>27</v>
      </c>
      <c r="W6" s="66">
        <v>1</v>
      </c>
      <c r="Y6" s="65">
        <v>45</v>
      </c>
      <c r="Z6" s="66">
        <v>1</v>
      </c>
      <c r="AB6" s="65">
        <v>13</v>
      </c>
      <c r="AC6" s="66">
        <v>1</v>
      </c>
      <c r="AE6" s="65">
        <v>160</v>
      </c>
      <c r="AF6" s="66">
        <v>5</v>
      </c>
      <c r="AH6" s="65">
        <v>94</v>
      </c>
      <c r="AI6" s="66">
        <v>3</v>
      </c>
      <c r="AK6" s="65">
        <v>471</v>
      </c>
      <c r="AL6" s="66">
        <v>1</v>
      </c>
    </row>
    <row r="7" spans="1:49" x14ac:dyDescent="0.35">
      <c r="A7" s="67">
        <v>4</v>
      </c>
      <c r="D7">
        <f t="shared" si="0"/>
        <v>4</v>
      </c>
      <c r="E7" t="s">
        <v>1308</v>
      </c>
      <c r="G7">
        <f t="shared" si="1"/>
        <v>4</v>
      </c>
      <c r="H7" t="s">
        <v>1308</v>
      </c>
      <c r="J7" s="65">
        <v>94</v>
      </c>
      <c r="K7" s="66">
        <v>7</v>
      </c>
      <c r="M7" s="65">
        <v>6</v>
      </c>
      <c r="N7" s="66">
        <v>1</v>
      </c>
      <c r="P7" s="65">
        <v>127</v>
      </c>
      <c r="Q7" s="66">
        <v>1</v>
      </c>
      <c r="S7" s="65">
        <v>56</v>
      </c>
      <c r="T7" s="66">
        <v>4</v>
      </c>
      <c r="V7" s="65">
        <v>31</v>
      </c>
      <c r="W7" s="66">
        <v>1</v>
      </c>
      <c r="Y7" s="65">
        <v>56</v>
      </c>
      <c r="Z7" s="66">
        <v>1</v>
      </c>
      <c r="AB7" s="65">
        <v>47</v>
      </c>
      <c r="AC7" s="66">
        <v>1</v>
      </c>
      <c r="AE7" s="65">
        <v>161</v>
      </c>
      <c r="AF7" s="66">
        <v>1</v>
      </c>
      <c r="AH7" s="65">
        <v>96</v>
      </c>
      <c r="AI7" s="66">
        <v>2</v>
      </c>
      <c r="AK7" s="65">
        <v>473</v>
      </c>
      <c r="AL7" s="66">
        <v>1</v>
      </c>
    </row>
    <row r="8" spans="1:49" x14ac:dyDescent="0.35">
      <c r="A8" s="67">
        <v>5</v>
      </c>
      <c r="D8">
        <f t="shared" si="0"/>
        <v>5</v>
      </c>
      <c r="E8" t="s">
        <v>1309</v>
      </c>
      <c r="G8">
        <f t="shared" si="1"/>
        <v>5</v>
      </c>
      <c r="H8" t="s">
        <v>1309</v>
      </c>
      <c r="J8" s="65">
        <v>95</v>
      </c>
      <c r="K8" s="66">
        <v>2</v>
      </c>
      <c r="M8" s="65">
        <v>86</v>
      </c>
      <c r="N8" s="66">
        <v>1</v>
      </c>
      <c r="P8" s="65">
        <v>166</v>
      </c>
      <c r="Q8" s="66">
        <v>1</v>
      </c>
      <c r="S8" s="65">
        <v>59</v>
      </c>
      <c r="T8" s="66">
        <v>1</v>
      </c>
      <c r="V8" s="65">
        <v>88</v>
      </c>
      <c r="W8" s="66">
        <v>1</v>
      </c>
      <c r="Y8" s="65">
        <v>81</v>
      </c>
      <c r="Z8" s="66">
        <v>1</v>
      </c>
      <c r="AB8" s="65">
        <v>53</v>
      </c>
      <c r="AC8" s="66">
        <v>1</v>
      </c>
      <c r="AE8" s="65">
        <v>162</v>
      </c>
      <c r="AF8" s="66">
        <v>5</v>
      </c>
      <c r="AH8" s="65">
        <v>124</v>
      </c>
      <c r="AI8" s="66">
        <v>2</v>
      </c>
    </row>
    <row r="9" spans="1:49" x14ac:dyDescent="0.35">
      <c r="A9" s="67">
        <v>6</v>
      </c>
      <c r="D9">
        <f t="shared" si="0"/>
        <v>6</v>
      </c>
      <c r="E9" t="s">
        <v>1377</v>
      </c>
      <c r="G9">
        <f t="shared" si="1"/>
        <v>6</v>
      </c>
      <c r="H9" t="s">
        <v>1310</v>
      </c>
      <c r="J9" s="65">
        <v>100</v>
      </c>
      <c r="K9" s="66">
        <v>3</v>
      </c>
      <c r="M9" s="65">
        <v>94</v>
      </c>
      <c r="N9" s="66">
        <v>5</v>
      </c>
      <c r="P9" s="65">
        <v>185</v>
      </c>
      <c r="Q9" s="66">
        <v>1</v>
      </c>
      <c r="S9" s="65">
        <v>115</v>
      </c>
      <c r="T9" s="66">
        <v>1</v>
      </c>
      <c r="V9" s="65">
        <v>94</v>
      </c>
      <c r="W9" s="66">
        <v>1</v>
      </c>
      <c r="Y9" s="65">
        <v>85</v>
      </c>
      <c r="Z9" s="66">
        <v>1</v>
      </c>
      <c r="AB9" s="65">
        <v>104</v>
      </c>
      <c r="AC9" s="66">
        <v>1</v>
      </c>
      <c r="AE9" s="65">
        <v>178</v>
      </c>
      <c r="AF9" s="66">
        <v>2</v>
      </c>
      <c r="AH9" s="65">
        <v>127</v>
      </c>
      <c r="AI9" s="66">
        <v>2</v>
      </c>
    </row>
    <row r="10" spans="1:49" x14ac:dyDescent="0.35">
      <c r="A10" s="67">
        <v>7</v>
      </c>
      <c r="D10">
        <f t="shared" si="0"/>
        <v>7</v>
      </c>
      <c r="E10" t="s">
        <v>1311</v>
      </c>
      <c r="G10">
        <f t="shared" si="1"/>
        <v>7</v>
      </c>
      <c r="H10" t="s">
        <v>1311</v>
      </c>
      <c r="J10" s="65">
        <v>124</v>
      </c>
      <c r="K10" s="66">
        <v>1</v>
      </c>
      <c r="M10" s="65">
        <v>103</v>
      </c>
      <c r="N10" s="66">
        <v>1</v>
      </c>
      <c r="P10" s="65">
        <v>186</v>
      </c>
      <c r="Q10" s="66">
        <v>1</v>
      </c>
      <c r="S10" s="65">
        <v>141</v>
      </c>
      <c r="T10" s="66">
        <v>2</v>
      </c>
      <c r="V10" s="65">
        <v>102</v>
      </c>
      <c r="W10" s="66">
        <v>1</v>
      </c>
      <c r="Y10" s="65">
        <v>94</v>
      </c>
      <c r="Z10" s="66">
        <v>1</v>
      </c>
      <c r="AB10" s="65">
        <v>115</v>
      </c>
      <c r="AC10" s="66">
        <v>4</v>
      </c>
      <c r="AE10" s="65">
        <v>365</v>
      </c>
      <c r="AF10" s="66">
        <v>8</v>
      </c>
      <c r="AH10" s="65">
        <v>370</v>
      </c>
      <c r="AI10" s="66">
        <v>4</v>
      </c>
    </row>
    <row r="11" spans="1:49" x14ac:dyDescent="0.35">
      <c r="A11" s="67">
        <v>8</v>
      </c>
      <c r="D11">
        <f t="shared" si="0"/>
        <v>8</v>
      </c>
      <c r="E11" t="s">
        <v>1312</v>
      </c>
      <c r="G11">
        <f t="shared" si="1"/>
        <v>8</v>
      </c>
      <c r="H11" t="s">
        <v>1312</v>
      </c>
      <c r="J11" s="65">
        <v>128</v>
      </c>
      <c r="K11" s="66">
        <v>1</v>
      </c>
      <c r="M11" s="65">
        <v>115</v>
      </c>
      <c r="N11" s="66">
        <v>4</v>
      </c>
      <c r="P11" s="65">
        <v>208</v>
      </c>
      <c r="Q11" s="66">
        <v>1</v>
      </c>
      <c r="S11" s="65">
        <v>161</v>
      </c>
      <c r="T11" s="66">
        <v>5</v>
      </c>
      <c r="V11" s="65">
        <v>116</v>
      </c>
      <c r="W11" s="66">
        <v>1</v>
      </c>
      <c r="Y11" s="65">
        <v>95</v>
      </c>
      <c r="Z11" s="66">
        <v>1</v>
      </c>
      <c r="AB11" s="65">
        <v>127</v>
      </c>
      <c r="AC11" s="66">
        <v>2</v>
      </c>
      <c r="AE11" s="65">
        <v>379</v>
      </c>
      <c r="AF11" s="66">
        <v>4</v>
      </c>
      <c r="AH11" s="65">
        <v>377</v>
      </c>
      <c r="AI11" s="66">
        <v>10</v>
      </c>
    </row>
    <row r="12" spans="1:49" x14ac:dyDescent="0.35">
      <c r="A12" s="67">
        <v>9</v>
      </c>
      <c r="D12">
        <f t="shared" si="0"/>
        <v>9</v>
      </c>
      <c r="E12" t="s">
        <v>1378</v>
      </c>
      <c r="G12">
        <f t="shared" si="1"/>
        <v>9</v>
      </c>
      <c r="H12" t="s">
        <v>1313</v>
      </c>
      <c r="J12" s="65">
        <v>144</v>
      </c>
      <c r="K12" s="66">
        <v>1</v>
      </c>
      <c r="M12" s="65">
        <v>160</v>
      </c>
      <c r="N12" s="66">
        <v>1</v>
      </c>
      <c r="P12" s="65">
        <v>269</v>
      </c>
      <c r="Q12" s="66">
        <v>1</v>
      </c>
      <c r="S12" s="65">
        <v>162</v>
      </c>
      <c r="T12" s="66">
        <v>3</v>
      </c>
      <c r="V12" s="65">
        <v>123</v>
      </c>
      <c r="W12" s="66">
        <v>1</v>
      </c>
      <c r="Y12" s="65">
        <v>97</v>
      </c>
      <c r="Z12" s="66">
        <v>1</v>
      </c>
      <c r="AB12" s="65">
        <v>146</v>
      </c>
      <c r="AC12" s="66">
        <v>1</v>
      </c>
      <c r="AE12" s="65">
        <v>407</v>
      </c>
      <c r="AF12" s="66">
        <v>4</v>
      </c>
      <c r="AH12" s="65">
        <v>393</v>
      </c>
      <c r="AI12" s="66">
        <v>2</v>
      </c>
    </row>
    <row r="13" spans="1:49" x14ac:dyDescent="0.35">
      <c r="A13" s="67">
        <v>10</v>
      </c>
      <c r="D13">
        <f t="shared" si="0"/>
        <v>10</v>
      </c>
      <c r="E13" t="s">
        <v>1379</v>
      </c>
      <c r="G13">
        <f t="shared" si="1"/>
        <v>10</v>
      </c>
      <c r="H13" t="s">
        <v>1314</v>
      </c>
      <c r="J13" s="65">
        <v>160</v>
      </c>
      <c r="K13" s="66">
        <v>4</v>
      </c>
      <c r="M13" s="65">
        <v>161</v>
      </c>
      <c r="N13" s="66">
        <v>2</v>
      </c>
      <c r="P13" s="65">
        <v>321</v>
      </c>
      <c r="Q13" s="66">
        <v>1</v>
      </c>
      <c r="S13" s="65">
        <v>163</v>
      </c>
      <c r="T13" s="66">
        <v>4</v>
      </c>
      <c r="V13" s="65">
        <v>147</v>
      </c>
      <c r="W13" s="66">
        <v>1</v>
      </c>
      <c r="Y13" s="65">
        <v>100</v>
      </c>
      <c r="Z13" s="66">
        <v>2</v>
      </c>
      <c r="AB13" s="65">
        <v>161</v>
      </c>
      <c r="AC13" s="66">
        <v>2</v>
      </c>
      <c r="AE13" s="65">
        <v>408</v>
      </c>
      <c r="AF13" s="66">
        <v>4</v>
      </c>
      <c r="AH13" s="65">
        <v>405</v>
      </c>
      <c r="AI13" s="66">
        <v>25</v>
      </c>
    </row>
    <row r="14" spans="1:49" x14ac:dyDescent="0.35">
      <c r="A14" s="67">
        <v>11</v>
      </c>
      <c r="G14">
        <f t="shared" si="1"/>
        <v>11</v>
      </c>
      <c r="H14" t="s">
        <v>220</v>
      </c>
      <c r="J14" s="65">
        <v>161</v>
      </c>
      <c r="K14" s="66">
        <v>4</v>
      </c>
      <c r="M14" s="65">
        <v>166</v>
      </c>
      <c r="N14" s="66">
        <v>1</v>
      </c>
      <c r="P14" s="65">
        <v>322</v>
      </c>
      <c r="Q14" s="66">
        <v>1</v>
      </c>
      <c r="S14" s="65">
        <v>166</v>
      </c>
      <c r="T14" s="66">
        <v>1</v>
      </c>
      <c r="V14" s="65">
        <v>176</v>
      </c>
      <c r="W14" s="66">
        <v>1</v>
      </c>
      <c r="Y14" s="65">
        <v>104</v>
      </c>
      <c r="Z14" s="66">
        <v>4</v>
      </c>
      <c r="AB14" s="65">
        <v>162</v>
      </c>
      <c r="AC14" s="66">
        <v>7</v>
      </c>
      <c r="AE14" s="65">
        <v>409</v>
      </c>
      <c r="AF14" s="66">
        <v>4</v>
      </c>
      <c r="AH14" s="65">
        <v>418</v>
      </c>
      <c r="AI14" s="66">
        <v>1</v>
      </c>
    </row>
    <row r="15" spans="1:49" x14ac:dyDescent="0.35">
      <c r="A15" s="67">
        <v>12</v>
      </c>
      <c r="G15">
        <f t="shared" si="1"/>
        <v>12</v>
      </c>
      <c r="H15" t="s">
        <v>1315</v>
      </c>
      <c r="J15" s="65">
        <v>162</v>
      </c>
      <c r="K15" s="66">
        <v>2</v>
      </c>
      <c r="M15" s="65">
        <v>170</v>
      </c>
      <c r="N15" s="66">
        <v>1</v>
      </c>
      <c r="P15" s="65">
        <v>361</v>
      </c>
      <c r="Q15" s="66">
        <v>1</v>
      </c>
      <c r="S15" s="65">
        <v>180</v>
      </c>
      <c r="T15" s="66">
        <v>1</v>
      </c>
      <c r="V15" s="65">
        <v>183</v>
      </c>
      <c r="W15" s="66">
        <v>3</v>
      </c>
      <c r="Y15" s="65">
        <v>105</v>
      </c>
      <c r="Z15" s="66">
        <v>3</v>
      </c>
      <c r="AB15" s="65">
        <v>163</v>
      </c>
      <c r="AC15" s="66">
        <v>9</v>
      </c>
      <c r="AE15" s="65">
        <v>410</v>
      </c>
      <c r="AF15" s="66">
        <v>1</v>
      </c>
      <c r="AH15" s="65">
        <v>420</v>
      </c>
      <c r="AI15" s="66">
        <v>5</v>
      </c>
    </row>
    <row r="16" spans="1:49" x14ac:dyDescent="0.35">
      <c r="A16" s="67">
        <v>13</v>
      </c>
      <c r="G16">
        <f t="shared" si="1"/>
        <v>13</v>
      </c>
      <c r="H16" t="s">
        <v>1316</v>
      </c>
      <c r="J16" s="65">
        <v>163</v>
      </c>
      <c r="K16" s="66">
        <v>4</v>
      </c>
      <c r="M16" s="65">
        <v>172</v>
      </c>
      <c r="N16" s="66">
        <v>1</v>
      </c>
      <c r="P16" s="65">
        <v>368</v>
      </c>
      <c r="Q16" s="66">
        <v>1</v>
      </c>
      <c r="S16" s="65">
        <v>203</v>
      </c>
      <c r="T16" s="66">
        <v>1</v>
      </c>
      <c r="V16" s="65">
        <v>312</v>
      </c>
      <c r="W16" s="66">
        <v>1</v>
      </c>
      <c r="Y16" s="65">
        <v>113</v>
      </c>
      <c r="Z16" s="66">
        <v>1</v>
      </c>
      <c r="AB16" s="65">
        <v>165</v>
      </c>
      <c r="AC16" s="66">
        <v>1</v>
      </c>
      <c r="AE16" s="65">
        <v>415</v>
      </c>
      <c r="AF16" s="66">
        <v>1</v>
      </c>
      <c r="AH16" s="65">
        <v>425</v>
      </c>
      <c r="AI16" s="66">
        <v>3</v>
      </c>
    </row>
    <row r="17" spans="1:32" x14ac:dyDescent="0.35">
      <c r="A17" s="67">
        <v>14</v>
      </c>
      <c r="G17">
        <f t="shared" si="1"/>
        <v>14</v>
      </c>
      <c r="H17" t="s">
        <v>1317</v>
      </c>
      <c r="J17" s="65">
        <v>164</v>
      </c>
      <c r="K17" s="66">
        <v>1</v>
      </c>
      <c r="M17" s="65">
        <v>173</v>
      </c>
      <c r="N17" s="66">
        <v>2</v>
      </c>
      <c r="P17" s="65">
        <v>370</v>
      </c>
      <c r="Q17" s="66">
        <v>1</v>
      </c>
      <c r="S17" s="65">
        <v>204</v>
      </c>
      <c r="T17" s="66">
        <v>1</v>
      </c>
      <c r="V17" s="65">
        <v>365</v>
      </c>
      <c r="W17" s="66">
        <v>4</v>
      </c>
      <c r="Y17" s="65">
        <v>122</v>
      </c>
      <c r="Z17" s="66">
        <v>2</v>
      </c>
      <c r="AB17" s="65">
        <v>166</v>
      </c>
      <c r="AC17" s="66">
        <v>1</v>
      </c>
      <c r="AE17" s="65">
        <v>416</v>
      </c>
      <c r="AF17" s="66">
        <v>2</v>
      </c>
    </row>
    <row r="18" spans="1:32" x14ac:dyDescent="0.35">
      <c r="A18" s="67">
        <v>15</v>
      </c>
      <c r="G18">
        <f t="shared" si="1"/>
        <v>15</v>
      </c>
      <c r="H18" t="s">
        <v>1318</v>
      </c>
      <c r="J18" s="65">
        <v>166</v>
      </c>
      <c r="K18" s="66">
        <v>2</v>
      </c>
      <c r="M18" s="65">
        <v>175</v>
      </c>
      <c r="N18" s="66">
        <v>2</v>
      </c>
      <c r="P18" s="65">
        <v>377</v>
      </c>
      <c r="Q18" s="66">
        <v>4</v>
      </c>
      <c r="S18" s="65">
        <v>205</v>
      </c>
      <c r="T18" s="66">
        <v>1</v>
      </c>
      <c r="V18" s="65">
        <v>367</v>
      </c>
      <c r="W18" s="66">
        <v>1</v>
      </c>
      <c r="Y18" s="65">
        <v>123</v>
      </c>
      <c r="Z18" s="66">
        <v>2</v>
      </c>
      <c r="AB18" s="65">
        <v>177</v>
      </c>
      <c r="AC18" s="66">
        <v>1</v>
      </c>
      <c r="AE18" s="65">
        <v>421</v>
      </c>
      <c r="AF18" s="66">
        <v>2</v>
      </c>
    </row>
    <row r="19" spans="1:32" x14ac:dyDescent="0.35">
      <c r="G19">
        <f t="shared" si="1"/>
        <v>16</v>
      </c>
      <c r="H19" t="s">
        <v>1319</v>
      </c>
      <c r="J19" s="65">
        <v>167</v>
      </c>
      <c r="K19" s="66">
        <v>1</v>
      </c>
      <c r="M19" s="65">
        <v>176</v>
      </c>
      <c r="N19" s="66">
        <v>1</v>
      </c>
      <c r="P19" s="65">
        <v>387</v>
      </c>
      <c r="Q19" s="66">
        <v>1</v>
      </c>
      <c r="S19" s="65">
        <v>206</v>
      </c>
      <c r="T19" s="66">
        <v>1</v>
      </c>
      <c r="V19" s="65">
        <v>373</v>
      </c>
      <c r="W19" s="66">
        <v>3</v>
      </c>
      <c r="Y19" s="65">
        <v>164</v>
      </c>
      <c r="Z19" s="66">
        <v>1</v>
      </c>
      <c r="AB19" s="65">
        <v>178</v>
      </c>
      <c r="AC19" s="66">
        <v>2</v>
      </c>
      <c r="AE19" s="65">
        <v>422</v>
      </c>
      <c r="AF19" s="66">
        <v>2</v>
      </c>
    </row>
    <row r="20" spans="1:32" x14ac:dyDescent="0.35">
      <c r="J20" s="65">
        <v>168</v>
      </c>
      <c r="K20" s="66">
        <v>1</v>
      </c>
      <c r="M20" s="65">
        <v>177</v>
      </c>
      <c r="N20" s="66">
        <v>1</v>
      </c>
      <c r="P20" s="65">
        <v>391</v>
      </c>
      <c r="Q20" s="66">
        <v>1</v>
      </c>
      <c r="S20" s="65">
        <v>207</v>
      </c>
      <c r="T20" s="66">
        <v>1</v>
      </c>
      <c r="V20" s="65">
        <v>379</v>
      </c>
      <c r="W20" s="66">
        <v>10</v>
      </c>
      <c r="Y20" s="65">
        <v>167</v>
      </c>
      <c r="Z20" s="66">
        <v>1</v>
      </c>
      <c r="AB20" s="65">
        <v>294</v>
      </c>
      <c r="AC20" s="66">
        <v>3</v>
      </c>
    </row>
    <row r="21" spans="1:32" x14ac:dyDescent="0.35">
      <c r="J21" s="65">
        <v>169</v>
      </c>
      <c r="K21" s="66">
        <v>1</v>
      </c>
      <c r="M21" s="65">
        <v>178</v>
      </c>
      <c r="N21" s="66">
        <v>1</v>
      </c>
      <c r="P21" s="65">
        <v>393</v>
      </c>
      <c r="Q21" s="66">
        <v>1</v>
      </c>
      <c r="S21" s="65">
        <v>210</v>
      </c>
      <c r="T21" s="66">
        <v>1</v>
      </c>
      <c r="V21" s="65">
        <v>381</v>
      </c>
      <c r="W21" s="66">
        <v>2</v>
      </c>
      <c r="Y21" s="65">
        <v>172</v>
      </c>
      <c r="Z21" s="66">
        <v>1</v>
      </c>
      <c r="AB21" s="65">
        <v>295</v>
      </c>
      <c r="AC21" s="66">
        <v>1</v>
      </c>
    </row>
    <row r="22" spans="1:32" x14ac:dyDescent="0.35">
      <c r="J22" s="65">
        <v>174</v>
      </c>
      <c r="K22" s="66">
        <v>1</v>
      </c>
      <c r="M22" s="65">
        <v>179</v>
      </c>
      <c r="N22" s="66">
        <v>1</v>
      </c>
      <c r="P22" s="65">
        <v>395</v>
      </c>
      <c r="Q22" s="66">
        <v>1</v>
      </c>
      <c r="S22" s="65">
        <v>211</v>
      </c>
      <c r="T22" s="66">
        <v>1</v>
      </c>
      <c r="V22" s="65">
        <v>395</v>
      </c>
      <c r="W22" s="66">
        <v>0</v>
      </c>
      <c r="Y22" s="65">
        <v>173</v>
      </c>
      <c r="Z22" s="66">
        <v>1</v>
      </c>
      <c r="AB22" s="65">
        <v>311</v>
      </c>
      <c r="AC22" s="66">
        <v>1</v>
      </c>
    </row>
    <row r="23" spans="1:32" x14ac:dyDescent="0.35">
      <c r="J23" s="65">
        <v>178</v>
      </c>
      <c r="K23" s="66">
        <v>1</v>
      </c>
      <c r="M23" s="65">
        <v>180</v>
      </c>
      <c r="N23" s="66">
        <v>2</v>
      </c>
      <c r="P23" s="65">
        <v>402</v>
      </c>
      <c r="Q23" s="66">
        <v>8</v>
      </c>
      <c r="S23" s="65">
        <v>212</v>
      </c>
      <c r="T23" s="66">
        <v>1</v>
      </c>
      <c r="V23" s="65">
        <v>418</v>
      </c>
      <c r="W23" s="66">
        <v>4</v>
      </c>
      <c r="Y23" s="65">
        <v>175</v>
      </c>
      <c r="Z23" s="66">
        <v>1</v>
      </c>
      <c r="AB23" s="65">
        <v>312</v>
      </c>
      <c r="AC23" s="66">
        <v>3</v>
      </c>
    </row>
    <row r="24" spans="1:32" x14ac:dyDescent="0.35">
      <c r="J24" s="65">
        <v>266</v>
      </c>
      <c r="K24" s="66">
        <v>1</v>
      </c>
      <c r="M24" s="65">
        <v>181</v>
      </c>
      <c r="N24" s="66">
        <v>2</v>
      </c>
      <c r="P24" s="65">
        <v>417</v>
      </c>
      <c r="Q24" s="66">
        <v>1</v>
      </c>
      <c r="S24" s="65">
        <v>213</v>
      </c>
      <c r="T24" s="66">
        <v>1</v>
      </c>
      <c r="Y24" s="65">
        <v>183</v>
      </c>
      <c r="Z24" s="66">
        <v>1</v>
      </c>
      <c r="AB24" s="65">
        <v>313</v>
      </c>
      <c r="AC24" s="66">
        <v>3</v>
      </c>
    </row>
    <row r="25" spans="1:32" x14ac:dyDescent="0.35">
      <c r="J25" s="65">
        <v>294</v>
      </c>
      <c r="K25" s="66">
        <v>3</v>
      </c>
      <c r="M25" s="65">
        <v>182</v>
      </c>
      <c r="N25" s="66">
        <v>1</v>
      </c>
      <c r="P25" s="65">
        <v>418</v>
      </c>
      <c r="Q25" s="66">
        <v>1</v>
      </c>
      <c r="S25" s="65">
        <v>214</v>
      </c>
      <c r="T25" s="66">
        <v>1</v>
      </c>
      <c r="Y25" s="65">
        <v>209</v>
      </c>
      <c r="Z25" s="66">
        <v>1</v>
      </c>
      <c r="AB25" s="65">
        <v>315</v>
      </c>
      <c r="AC25" s="66">
        <v>4</v>
      </c>
    </row>
    <row r="26" spans="1:32" x14ac:dyDescent="0.35">
      <c r="J26" s="65">
        <v>295</v>
      </c>
      <c r="K26" s="66">
        <v>1</v>
      </c>
      <c r="M26" s="65">
        <v>183</v>
      </c>
      <c r="N26" s="66">
        <v>1</v>
      </c>
      <c r="S26" s="65">
        <v>223</v>
      </c>
      <c r="T26" s="66">
        <v>1</v>
      </c>
      <c r="Y26" s="65">
        <v>233</v>
      </c>
      <c r="Z26" s="66">
        <v>1</v>
      </c>
      <c r="AB26" s="65">
        <v>316</v>
      </c>
      <c r="AC26" s="66">
        <v>1</v>
      </c>
    </row>
    <row r="27" spans="1:32" x14ac:dyDescent="0.35">
      <c r="J27" s="65">
        <v>296</v>
      </c>
      <c r="K27" s="66">
        <v>1</v>
      </c>
      <c r="M27" s="65">
        <v>184</v>
      </c>
      <c r="N27" s="66">
        <v>1</v>
      </c>
      <c r="S27" s="65">
        <v>309</v>
      </c>
      <c r="T27" s="66">
        <v>1</v>
      </c>
      <c r="Y27" s="65">
        <v>303</v>
      </c>
      <c r="Z27" s="66">
        <v>0</v>
      </c>
      <c r="AB27" s="65">
        <v>317</v>
      </c>
      <c r="AC27" s="66">
        <v>1</v>
      </c>
    </row>
    <row r="28" spans="1:32" x14ac:dyDescent="0.35">
      <c r="J28" s="65">
        <v>297</v>
      </c>
      <c r="K28" s="66">
        <v>1</v>
      </c>
      <c r="M28" s="65">
        <v>209</v>
      </c>
      <c r="N28" s="66">
        <v>2</v>
      </c>
      <c r="S28" s="65">
        <v>319</v>
      </c>
      <c r="T28" s="66">
        <v>1</v>
      </c>
      <c r="Y28" s="65">
        <v>309</v>
      </c>
      <c r="Z28" s="66">
        <v>1</v>
      </c>
      <c r="AB28" s="65">
        <v>318</v>
      </c>
      <c r="AC28" s="66">
        <v>1</v>
      </c>
    </row>
    <row r="29" spans="1:32" x14ac:dyDescent="0.35">
      <c r="J29" s="65">
        <v>298</v>
      </c>
      <c r="K29" s="66">
        <v>1</v>
      </c>
      <c r="M29" s="65">
        <v>241</v>
      </c>
      <c r="N29" s="66">
        <v>1</v>
      </c>
      <c r="S29" s="65">
        <v>339</v>
      </c>
      <c r="T29" s="66">
        <v>1</v>
      </c>
      <c r="Y29" s="65">
        <v>320</v>
      </c>
      <c r="Z29" s="66">
        <v>2</v>
      </c>
      <c r="AB29" s="65">
        <v>319</v>
      </c>
      <c r="AC29" s="66">
        <v>1</v>
      </c>
    </row>
    <row r="30" spans="1:32" x14ac:dyDescent="0.35">
      <c r="J30" s="65">
        <v>299</v>
      </c>
      <c r="K30" s="66">
        <v>1</v>
      </c>
      <c r="M30" s="65">
        <v>301</v>
      </c>
      <c r="N30" s="66">
        <v>1</v>
      </c>
      <c r="S30" s="65">
        <v>340</v>
      </c>
      <c r="T30" s="66">
        <v>2</v>
      </c>
      <c r="Y30" s="65">
        <v>324</v>
      </c>
      <c r="Z30" s="66">
        <v>1</v>
      </c>
      <c r="AB30" s="65">
        <v>320</v>
      </c>
      <c r="AC30" s="66">
        <v>1</v>
      </c>
    </row>
    <row r="31" spans="1:32" x14ac:dyDescent="0.35">
      <c r="J31" s="65">
        <v>300</v>
      </c>
      <c r="K31" s="66">
        <v>1</v>
      </c>
      <c r="M31" s="65">
        <v>302</v>
      </c>
      <c r="N31" s="66">
        <v>1</v>
      </c>
      <c r="S31" s="65">
        <v>341</v>
      </c>
      <c r="T31" s="66">
        <v>1</v>
      </c>
      <c r="Y31" s="65">
        <v>325</v>
      </c>
      <c r="Z31" s="66">
        <v>1</v>
      </c>
      <c r="AB31" s="65">
        <v>347</v>
      </c>
      <c r="AC31" s="66">
        <v>1</v>
      </c>
    </row>
    <row r="32" spans="1:32" x14ac:dyDescent="0.35">
      <c r="J32" s="65">
        <v>314</v>
      </c>
      <c r="K32" s="66">
        <v>1</v>
      </c>
      <c r="M32" s="65">
        <v>303</v>
      </c>
      <c r="N32" s="66">
        <v>1</v>
      </c>
      <c r="S32" s="65">
        <v>342</v>
      </c>
      <c r="T32" s="66">
        <v>3</v>
      </c>
      <c r="Y32" s="65">
        <v>365</v>
      </c>
      <c r="Z32" s="66">
        <v>7</v>
      </c>
      <c r="AB32" s="65">
        <v>365</v>
      </c>
      <c r="AC32" s="66">
        <v>17</v>
      </c>
    </row>
    <row r="33" spans="10:29" x14ac:dyDescent="0.35">
      <c r="J33" s="65">
        <v>365</v>
      </c>
      <c r="K33" s="66">
        <v>6</v>
      </c>
      <c r="M33" s="65">
        <v>304</v>
      </c>
      <c r="N33" s="66">
        <v>1</v>
      </c>
      <c r="S33" s="65">
        <v>343</v>
      </c>
      <c r="T33" s="66">
        <v>1</v>
      </c>
      <c r="Y33" s="65">
        <v>367</v>
      </c>
      <c r="Z33" s="66">
        <v>5</v>
      </c>
      <c r="AB33" s="65">
        <v>373</v>
      </c>
      <c r="AC33" s="66">
        <v>1</v>
      </c>
    </row>
    <row r="34" spans="10:29" x14ac:dyDescent="0.35">
      <c r="J34" s="65">
        <v>368</v>
      </c>
      <c r="K34" s="66">
        <v>1</v>
      </c>
      <c r="M34" s="65">
        <v>305</v>
      </c>
      <c r="N34" s="66">
        <v>1</v>
      </c>
      <c r="S34" s="65">
        <v>344</v>
      </c>
      <c r="T34" s="66">
        <v>1</v>
      </c>
      <c r="Y34" s="65">
        <v>377</v>
      </c>
      <c r="Z34" s="66">
        <v>0</v>
      </c>
      <c r="AB34" s="65">
        <v>378</v>
      </c>
      <c r="AC34" s="66">
        <v>2</v>
      </c>
    </row>
    <row r="35" spans="10:29" x14ac:dyDescent="0.35">
      <c r="J35" s="65">
        <v>370</v>
      </c>
      <c r="K35" s="66">
        <v>9</v>
      </c>
      <c r="M35" s="65">
        <v>306</v>
      </c>
      <c r="N35" s="66">
        <v>1</v>
      </c>
      <c r="S35" s="65">
        <v>348</v>
      </c>
      <c r="T35" s="66">
        <v>1</v>
      </c>
      <c r="Y35" s="65">
        <v>379</v>
      </c>
      <c r="Z35" s="66">
        <v>12</v>
      </c>
      <c r="AB35" s="65">
        <v>379</v>
      </c>
      <c r="AC35" s="66">
        <v>25</v>
      </c>
    </row>
    <row r="36" spans="10:29" x14ac:dyDescent="0.35">
      <c r="J36" s="65">
        <v>379</v>
      </c>
      <c r="K36" s="66">
        <v>3</v>
      </c>
      <c r="M36" s="65">
        <v>307</v>
      </c>
      <c r="N36" s="66">
        <v>2</v>
      </c>
      <c r="S36" s="65">
        <v>349</v>
      </c>
      <c r="T36" s="66">
        <v>1</v>
      </c>
      <c r="Y36" s="65">
        <v>391</v>
      </c>
      <c r="Z36" s="66">
        <v>3</v>
      </c>
      <c r="AB36" s="65">
        <v>386</v>
      </c>
      <c r="AC36" s="66">
        <v>1</v>
      </c>
    </row>
    <row r="37" spans="10:29" x14ac:dyDescent="0.35">
      <c r="J37" s="65">
        <v>380</v>
      </c>
      <c r="K37" s="66">
        <v>7</v>
      </c>
      <c r="M37" s="65">
        <v>308</v>
      </c>
      <c r="N37" s="66">
        <v>1</v>
      </c>
      <c r="S37" s="65">
        <v>350</v>
      </c>
      <c r="T37" s="66">
        <v>1</v>
      </c>
      <c r="Y37" s="65">
        <v>393</v>
      </c>
      <c r="Z37" s="66">
        <v>1</v>
      </c>
      <c r="AB37" s="65">
        <v>399</v>
      </c>
      <c r="AC37" s="66">
        <v>3</v>
      </c>
    </row>
    <row r="38" spans="10:29" x14ac:dyDescent="0.35">
      <c r="J38" s="65">
        <v>382</v>
      </c>
      <c r="K38" s="66">
        <v>37</v>
      </c>
      <c r="M38" s="65">
        <v>309</v>
      </c>
      <c r="N38" s="66">
        <v>1</v>
      </c>
      <c r="S38" s="65">
        <v>363</v>
      </c>
      <c r="T38" s="66">
        <v>1</v>
      </c>
      <c r="Y38" s="65">
        <v>394</v>
      </c>
      <c r="Z38" s="66">
        <v>2</v>
      </c>
      <c r="AB38" s="65">
        <v>402</v>
      </c>
      <c r="AC38" s="66">
        <v>2</v>
      </c>
    </row>
    <row r="39" spans="10:29" x14ac:dyDescent="0.35">
      <c r="J39" s="65">
        <v>384</v>
      </c>
      <c r="K39" s="66">
        <v>2</v>
      </c>
      <c r="M39" s="65">
        <v>310</v>
      </c>
      <c r="N39" s="66">
        <v>1</v>
      </c>
      <c r="S39" s="65">
        <v>364</v>
      </c>
      <c r="T39" s="66">
        <v>1</v>
      </c>
      <c r="Y39" s="65">
        <v>415</v>
      </c>
      <c r="Z39" s="66">
        <v>1</v>
      </c>
      <c r="AB39" s="65">
        <v>407</v>
      </c>
      <c r="AC39" s="66">
        <v>25</v>
      </c>
    </row>
    <row r="40" spans="10:29" x14ac:dyDescent="0.35">
      <c r="J40" s="65">
        <v>385</v>
      </c>
      <c r="K40" s="66">
        <v>1</v>
      </c>
      <c r="M40" s="65">
        <v>359</v>
      </c>
      <c r="N40" s="66">
        <v>1</v>
      </c>
      <c r="S40" s="65">
        <v>367</v>
      </c>
      <c r="T40" s="66">
        <v>2</v>
      </c>
      <c r="Y40" s="65">
        <v>417</v>
      </c>
      <c r="Z40" s="66">
        <v>1</v>
      </c>
      <c r="AB40" s="65">
        <v>408</v>
      </c>
      <c r="AC40" s="66">
        <v>25</v>
      </c>
    </row>
    <row r="41" spans="10:29" x14ac:dyDescent="0.35">
      <c r="J41" s="65">
        <v>407</v>
      </c>
      <c r="K41" s="66">
        <v>3</v>
      </c>
      <c r="M41" s="65">
        <v>360</v>
      </c>
      <c r="N41" s="66">
        <v>1</v>
      </c>
      <c r="S41" s="65">
        <v>377</v>
      </c>
      <c r="T41" s="66">
        <v>12</v>
      </c>
      <c r="Y41" s="65">
        <v>418</v>
      </c>
      <c r="Z41" s="66">
        <v>2</v>
      </c>
      <c r="AB41" s="65">
        <v>409</v>
      </c>
      <c r="AC41" s="66">
        <v>25</v>
      </c>
    </row>
    <row r="42" spans="10:29" x14ac:dyDescent="0.35">
      <c r="J42" s="65">
        <v>408</v>
      </c>
      <c r="K42" s="66">
        <v>3</v>
      </c>
      <c r="M42" s="65">
        <v>368</v>
      </c>
      <c r="N42" s="66">
        <v>1</v>
      </c>
      <c r="S42" s="65">
        <v>395</v>
      </c>
      <c r="T42" s="66">
        <v>5</v>
      </c>
      <c r="AB42" s="65">
        <v>418</v>
      </c>
      <c r="AC42" s="66">
        <v>1</v>
      </c>
    </row>
    <row r="43" spans="10:29" x14ac:dyDescent="0.35">
      <c r="J43" s="65">
        <v>409</v>
      </c>
      <c r="K43" s="66">
        <v>3</v>
      </c>
      <c r="M43" s="65">
        <v>370</v>
      </c>
      <c r="N43" s="66">
        <v>4</v>
      </c>
      <c r="S43" s="65">
        <v>402</v>
      </c>
      <c r="T43" s="66">
        <v>12</v>
      </c>
    </row>
    <row r="44" spans="10:29" x14ac:dyDescent="0.35">
      <c r="J44" s="65">
        <v>418</v>
      </c>
      <c r="K44" s="66">
        <v>3</v>
      </c>
      <c r="M44" s="65">
        <v>377</v>
      </c>
      <c r="N44" s="66">
        <v>12</v>
      </c>
      <c r="S44" s="65">
        <v>405</v>
      </c>
      <c r="T44" s="66">
        <v>1</v>
      </c>
    </row>
    <row r="45" spans="10:29" x14ac:dyDescent="0.35">
      <c r="M45" s="65">
        <v>393</v>
      </c>
      <c r="N45" s="66">
        <v>1</v>
      </c>
      <c r="S45" s="65">
        <v>418</v>
      </c>
      <c r="T45" s="66">
        <v>1</v>
      </c>
    </row>
    <row r="46" spans="10:29" x14ac:dyDescent="0.35">
      <c r="M46" s="65">
        <v>394</v>
      </c>
      <c r="N46" s="66">
        <v>8</v>
      </c>
    </row>
    <row r="47" spans="10:29" x14ac:dyDescent="0.35">
      <c r="M47" s="65">
        <v>402</v>
      </c>
      <c r="N47" s="66">
        <v>5</v>
      </c>
    </row>
    <row r="48" spans="10:29" x14ac:dyDescent="0.35">
      <c r="M48" s="65">
        <v>405</v>
      </c>
      <c r="N48" s="66">
        <v>14</v>
      </c>
    </row>
    <row r="49" spans="13:14" x14ac:dyDescent="0.35">
      <c r="M49" s="65">
        <v>418</v>
      </c>
      <c r="N49" s="66">
        <v>5</v>
      </c>
    </row>
  </sheetData>
  <pageMargins left="0.7" right="0.7" top="0.75" bottom="0.75" header="0.3" footer="0.3"/>
  <pageSetup orientation="portrait" r:id="rId1"/>
  <tableParts count="13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L190"/>
  <sheetViews>
    <sheetView showGridLines="0" zoomScaleNormal="100" zoomScaleSheetLayoutView="90" workbookViewId="0">
      <selection activeCell="D17" sqref="D17"/>
    </sheetView>
  </sheetViews>
  <sheetFormatPr baseColWidth="10" defaultRowHeight="14.5" x14ac:dyDescent="0.35"/>
  <cols>
    <col min="1" max="1" width="1.81640625" customWidth="1"/>
    <col min="2" max="2" width="11.453125" customWidth="1"/>
    <col min="3" max="3" width="31.26953125" customWidth="1"/>
    <col min="4" max="4" width="11.54296875" customWidth="1"/>
    <col min="5" max="5" width="28.54296875" customWidth="1"/>
    <col min="6" max="6" width="9.54296875" customWidth="1"/>
    <col min="8" max="8" width="13" customWidth="1"/>
  </cols>
  <sheetData>
    <row r="1" spans="1:12" x14ac:dyDescent="0.35">
      <c r="A1" s="8"/>
      <c r="B1" s="9"/>
      <c r="C1" s="9"/>
      <c r="D1" s="9"/>
      <c r="E1" s="9"/>
      <c r="F1" s="9"/>
      <c r="G1" s="9"/>
      <c r="H1" s="9"/>
      <c r="I1" s="10"/>
      <c r="J1" s="10"/>
    </row>
    <row r="2" spans="1:12" ht="18" x14ac:dyDescent="0.4">
      <c r="A2" s="8"/>
      <c r="B2" s="11"/>
      <c r="C2" s="9"/>
      <c r="D2" s="9"/>
      <c r="E2" s="9"/>
      <c r="F2" s="9"/>
      <c r="G2" s="12"/>
      <c r="H2" s="13"/>
      <c r="I2" s="10"/>
      <c r="J2" s="10"/>
    </row>
    <row r="3" spans="1:12" x14ac:dyDescent="0.35">
      <c r="A3" s="8"/>
      <c r="B3" s="9"/>
      <c r="C3" s="9"/>
      <c r="D3" s="9"/>
      <c r="E3" s="9"/>
      <c r="F3" s="9"/>
      <c r="G3" s="9"/>
      <c r="H3" s="9"/>
      <c r="I3" s="10"/>
      <c r="J3" s="10"/>
    </row>
    <row r="4" spans="1:12" x14ac:dyDescent="0.35">
      <c r="A4" s="8"/>
      <c r="B4" s="9"/>
      <c r="C4" s="9"/>
      <c r="D4" s="9"/>
      <c r="E4" s="9"/>
      <c r="F4" s="9"/>
      <c r="G4" s="86"/>
      <c r="H4" s="86"/>
      <c r="I4" s="10"/>
      <c r="J4" s="10"/>
    </row>
    <row r="5" spans="1:12" ht="20.5" x14ac:dyDescent="0.45">
      <c r="A5" s="8"/>
      <c r="B5" s="9"/>
      <c r="C5" s="9"/>
      <c r="D5" s="9"/>
      <c r="E5" s="9"/>
      <c r="F5" s="9"/>
      <c r="G5" s="87" t="s">
        <v>1326</v>
      </c>
      <c r="H5" s="87"/>
      <c r="I5" s="10"/>
      <c r="J5" s="14"/>
      <c r="K5" s="15"/>
      <c r="L5" s="16"/>
    </row>
    <row r="6" spans="1:12" ht="20" x14ac:dyDescent="0.4">
      <c r="A6" s="8"/>
      <c r="B6" s="9"/>
      <c r="C6" s="9"/>
      <c r="D6" s="9"/>
      <c r="E6" s="9"/>
      <c r="F6" s="9"/>
      <c r="G6" s="17"/>
      <c r="H6" s="18"/>
      <c r="I6" s="10"/>
      <c r="J6" s="19"/>
      <c r="K6" s="20" t="s">
        <v>1326</v>
      </c>
      <c r="L6" s="21"/>
    </row>
    <row r="7" spans="1:12" ht="21" customHeight="1" x14ac:dyDescent="0.35">
      <c r="A7" s="8"/>
      <c r="B7" s="22" t="s">
        <v>1327</v>
      </c>
      <c r="C7" s="23">
        <f ca="1">TODAY()</f>
        <v>42412</v>
      </c>
      <c r="D7" s="9"/>
      <c r="E7" s="24"/>
      <c r="F7" s="9"/>
      <c r="G7" s="9"/>
      <c r="H7" s="9"/>
      <c r="I7" s="10"/>
      <c r="J7" s="25"/>
      <c r="K7" s="20" t="s">
        <v>1328</v>
      </c>
      <c r="L7" s="21"/>
    </row>
    <row r="8" spans="1:12" ht="6" customHeight="1" x14ac:dyDescent="0.35">
      <c r="A8" s="26"/>
      <c r="B8" s="27"/>
      <c r="C8" s="27"/>
      <c r="D8" s="27"/>
      <c r="E8" s="27"/>
      <c r="F8" s="27"/>
      <c r="G8" s="27"/>
      <c r="H8" s="27"/>
      <c r="I8" s="10"/>
      <c r="J8" s="19"/>
      <c r="K8" s="20" t="s">
        <v>1329</v>
      </c>
      <c r="L8" s="21"/>
    </row>
    <row r="9" spans="1:12" x14ac:dyDescent="0.35">
      <c r="A9" s="9"/>
      <c r="B9" s="28" t="s">
        <v>1330</v>
      </c>
      <c r="C9" s="28"/>
      <c r="D9" s="28"/>
      <c r="E9" s="28"/>
      <c r="F9" s="29" t="s">
        <v>1331</v>
      </c>
      <c r="G9" s="28" t="s">
        <v>1332</v>
      </c>
      <c r="H9" s="28"/>
      <c r="I9" s="10"/>
      <c r="J9" s="19"/>
      <c r="K9" s="20" t="s">
        <v>1333</v>
      </c>
      <c r="L9" s="21"/>
    </row>
    <row r="10" spans="1:12" ht="15.5" x14ac:dyDescent="0.35">
      <c r="A10" s="8"/>
      <c r="B10" s="30" t="s">
        <v>1334</v>
      </c>
      <c r="C10" s="31"/>
      <c r="D10" s="32"/>
      <c r="E10" s="28"/>
      <c r="F10" s="88" t="s">
        <v>1335</v>
      </c>
      <c r="G10" s="88"/>
      <c r="H10" s="88"/>
      <c r="I10" s="10"/>
      <c r="J10" s="14"/>
      <c r="K10" s="15" t="s">
        <v>1336</v>
      </c>
      <c r="L10" s="16"/>
    </row>
    <row r="11" spans="1:12" ht="15.5" x14ac:dyDescent="0.35">
      <c r="A11" s="8"/>
      <c r="B11" s="33"/>
      <c r="C11" s="34"/>
      <c r="D11" s="35"/>
      <c r="E11" s="34"/>
      <c r="F11" s="89" t="s">
        <v>1337</v>
      </c>
      <c r="G11" s="89"/>
      <c r="H11" s="89"/>
      <c r="I11" s="10"/>
      <c r="J11" s="36"/>
      <c r="K11" s="15" t="s">
        <v>1338</v>
      </c>
      <c r="L11" s="37"/>
    </row>
    <row r="12" spans="1:12" ht="15.5" x14ac:dyDescent="0.35">
      <c r="A12" s="8"/>
      <c r="B12" s="38"/>
      <c r="C12" s="28"/>
      <c r="D12" s="28"/>
      <c r="E12" s="28"/>
      <c r="F12" s="89"/>
      <c r="G12" s="89"/>
      <c r="H12" s="89"/>
      <c r="I12" s="10"/>
      <c r="J12" s="36"/>
      <c r="K12" s="15" t="s">
        <v>1339</v>
      </c>
      <c r="L12" s="37"/>
    </row>
    <row r="13" spans="1:12" x14ac:dyDescent="0.35">
      <c r="A13" s="8"/>
      <c r="B13" s="78" t="s">
        <v>1340</v>
      </c>
      <c r="C13" s="79" t="s">
        <v>145</v>
      </c>
      <c r="D13" s="80"/>
      <c r="E13" s="83" t="s">
        <v>1341</v>
      </c>
      <c r="F13" s="78" t="s">
        <v>1342</v>
      </c>
      <c r="G13" s="78" t="s">
        <v>1343</v>
      </c>
      <c r="H13" s="78"/>
      <c r="I13" s="10"/>
      <c r="J13" s="10"/>
      <c r="K13" s="39" t="s">
        <v>1344</v>
      </c>
    </row>
    <row r="14" spans="1:12" x14ac:dyDescent="0.35">
      <c r="A14" s="8"/>
      <c r="B14" s="78"/>
      <c r="C14" s="81"/>
      <c r="D14" s="82"/>
      <c r="E14" s="84"/>
      <c r="F14" s="85"/>
      <c r="G14" s="40" t="s">
        <v>1345</v>
      </c>
      <c r="H14" s="40" t="s">
        <v>1346</v>
      </c>
      <c r="I14" s="10"/>
      <c r="J14" s="10"/>
      <c r="K14" s="39" t="s">
        <v>1347</v>
      </c>
    </row>
    <row r="15" spans="1:12" x14ac:dyDescent="0.35">
      <c r="A15" s="8"/>
      <c r="B15" s="41">
        <v>31</v>
      </c>
      <c r="C15" s="90" t="s">
        <v>1348</v>
      </c>
      <c r="D15" s="91"/>
      <c r="E15" s="42"/>
      <c r="F15" s="43" t="s">
        <v>27</v>
      </c>
      <c r="G15" s="44"/>
      <c r="H15" s="45">
        <v>1</v>
      </c>
      <c r="I15" s="10"/>
      <c r="J15" s="10"/>
      <c r="K15" s="39" t="s">
        <v>1349</v>
      </c>
    </row>
    <row r="16" spans="1:12" x14ac:dyDescent="0.35">
      <c r="A16" s="8"/>
      <c r="B16" s="41"/>
      <c r="C16" s="46" t="s">
        <v>1350</v>
      </c>
      <c r="D16" s="47"/>
      <c r="E16" s="42"/>
      <c r="F16" s="43" t="s">
        <v>27</v>
      </c>
      <c r="G16" s="48"/>
      <c r="H16" s="49">
        <v>1</v>
      </c>
      <c r="I16" s="10"/>
      <c r="J16" s="10"/>
      <c r="K16" s="39" t="s">
        <v>1351</v>
      </c>
    </row>
    <row r="17" spans="1:11" x14ac:dyDescent="0.35">
      <c r="A17" s="8"/>
      <c r="B17" s="41">
        <v>63425</v>
      </c>
      <c r="C17" s="46" t="s">
        <v>1352</v>
      </c>
      <c r="D17" s="47"/>
      <c r="E17" s="50" t="s">
        <v>1353</v>
      </c>
      <c r="F17" s="43" t="s">
        <v>27</v>
      </c>
      <c r="G17" s="43"/>
      <c r="H17" s="45">
        <v>1</v>
      </c>
      <c r="I17" s="10"/>
      <c r="J17" s="51"/>
      <c r="K17" s="39" t="s">
        <v>1354</v>
      </c>
    </row>
    <row r="18" spans="1:11" x14ac:dyDescent="0.35">
      <c r="A18" s="8"/>
      <c r="B18" s="41">
        <v>388812</v>
      </c>
      <c r="C18" s="46" t="s">
        <v>1355</v>
      </c>
      <c r="D18" s="47"/>
      <c r="E18" s="50" t="s">
        <v>1356</v>
      </c>
      <c r="F18" s="43" t="s">
        <v>27</v>
      </c>
      <c r="G18" s="44"/>
      <c r="H18" s="45">
        <v>1</v>
      </c>
      <c r="I18" s="10"/>
      <c r="J18" s="51"/>
      <c r="K18" s="39" t="s">
        <v>1357</v>
      </c>
    </row>
    <row r="19" spans="1:11" ht="15" x14ac:dyDescent="0.4">
      <c r="A19" s="8"/>
      <c r="B19" s="41"/>
      <c r="C19" s="52"/>
      <c r="D19" s="53"/>
      <c r="E19" s="44"/>
      <c r="F19" s="45"/>
      <c r="G19" s="43"/>
      <c r="H19" s="45"/>
      <c r="I19" s="10"/>
      <c r="J19" s="51"/>
      <c r="K19" s="39" t="s">
        <v>1358</v>
      </c>
    </row>
    <row r="20" spans="1:11" ht="15" x14ac:dyDescent="0.4">
      <c r="A20" s="8"/>
      <c r="B20" s="41"/>
      <c r="C20" s="52"/>
      <c r="D20" s="53"/>
      <c r="E20" s="42"/>
      <c r="F20" s="43"/>
      <c r="G20" s="44"/>
      <c r="H20" s="45"/>
      <c r="I20" s="10"/>
      <c r="J20" s="51"/>
      <c r="K20" s="39" t="s">
        <v>1359</v>
      </c>
    </row>
    <row r="21" spans="1:11" ht="15" x14ac:dyDescent="0.4">
      <c r="A21" s="8"/>
      <c r="B21" s="41"/>
      <c r="C21" s="52"/>
      <c r="D21" s="53"/>
      <c r="E21" s="42"/>
      <c r="F21" s="43"/>
      <c r="G21" s="43"/>
      <c r="H21" s="45"/>
      <c r="I21" s="10"/>
      <c r="J21" s="51"/>
      <c r="K21" s="39" t="s">
        <v>1360</v>
      </c>
    </row>
    <row r="22" spans="1:11" ht="15" x14ac:dyDescent="0.4">
      <c r="A22" s="8"/>
      <c r="B22" s="41"/>
      <c r="C22" s="52"/>
      <c r="D22" s="53"/>
      <c r="E22" s="42"/>
      <c r="F22" s="43"/>
      <c r="G22" s="44"/>
      <c r="H22" s="45"/>
      <c r="I22" s="10"/>
      <c r="J22" s="51"/>
      <c r="K22" s="39" t="s">
        <v>1361</v>
      </c>
    </row>
    <row r="23" spans="1:11" ht="15" x14ac:dyDescent="0.4">
      <c r="A23" s="8"/>
      <c r="B23" s="54"/>
      <c r="C23" s="92"/>
      <c r="D23" s="93"/>
      <c r="E23" s="42"/>
      <c r="F23" s="43"/>
      <c r="G23" s="43"/>
      <c r="H23" s="45"/>
      <c r="I23" s="10"/>
      <c r="J23" s="51"/>
      <c r="K23" s="39" t="s">
        <v>1362</v>
      </c>
    </row>
    <row r="24" spans="1:11" x14ac:dyDescent="0.35">
      <c r="A24" s="8"/>
      <c r="B24" s="54"/>
      <c r="C24" s="55"/>
      <c r="D24" s="56"/>
      <c r="E24" s="42"/>
      <c r="F24" s="43"/>
      <c r="G24" s="43"/>
      <c r="H24" s="45"/>
      <c r="I24" s="10"/>
      <c r="J24" s="51"/>
      <c r="K24" s="39" t="s">
        <v>1363</v>
      </c>
    </row>
    <row r="25" spans="1:11" x14ac:dyDescent="0.35">
      <c r="A25" s="8"/>
      <c r="B25" s="57"/>
      <c r="C25" s="57"/>
      <c r="D25" s="57"/>
      <c r="E25" s="58"/>
      <c r="F25" s="57"/>
      <c r="G25" s="57"/>
      <c r="H25" s="57"/>
      <c r="I25" s="10"/>
      <c r="J25" s="51"/>
      <c r="K25" s="39"/>
    </row>
    <row r="26" spans="1:11" ht="15" thickBot="1" x14ac:dyDescent="0.4">
      <c r="A26" s="8"/>
      <c r="B26" s="94"/>
      <c r="C26" s="94"/>
      <c r="D26" s="94"/>
      <c r="E26" s="18"/>
      <c r="F26" s="95"/>
      <c r="G26" s="95"/>
      <c r="H26" s="95"/>
      <c r="I26" s="10"/>
      <c r="J26" s="10"/>
    </row>
    <row r="27" spans="1:11" ht="15" thickTop="1" x14ac:dyDescent="0.35">
      <c r="A27" s="8"/>
      <c r="B27" s="96" t="s">
        <v>1364</v>
      </c>
      <c r="C27" s="96"/>
      <c r="D27" s="96"/>
      <c r="E27" s="18"/>
      <c r="F27" s="97" t="s">
        <v>1364</v>
      </c>
      <c r="G27" s="97"/>
      <c r="H27" s="97"/>
      <c r="I27" s="10"/>
      <c r="J27" s="10"/>
    </row>
    <row r="28" spans="1:11" x14ac:dyDescent="0.35">
      <c r="A28" s="8"/>
      <c r="B28" s="99" t="s">
        <v>1365</v>
      </c>
      <c r="C28" s="99"/>
      <c r="D28" s="99"/>
      <c r="E28" s="18"/>
      <c r="F28" s="97" t="s">
        <v>1366</v>
      </c>
      <c r="G28" s="97"/>
      <c r="H28" s="97"/>
      <c r="I28" s="10"/>
      <c r="J28" s="10"/>
    </row>
    <row r="29" spans="1:11" ht="4.5" customHeight="1" x14ac:dyDescent="0.35">
      <c r="A29" s="8"/>
      <c r="B29" s="99"/>
      <c r="C29" s="99"/>
      <c r="D29" s="99"/>
      <c r="E29" s="8"/>
      <c r="F29" s="100"/>
      <c r="G29" s="100"/>
      <c r="H29" s="100"/>
      <c r="I29" s="10"/>
      <c r="J29" s="10"/>
    </row>
    <row r="30" spans="1:11" ht="10.5" customHeight="1" x14ac:dyDescent="0.35">
      <c r="A30" s="8"/>
      <c r="B30" s="59"/>
      <c r="C30" s="59"/>
      <c r="D30" s="59"/>
      <c r="E30" s="9"/>
      <c r="F30" s="60"/>
      <c r="G30" s="60"/>
      <c r="H30" s="60"/>
      <c r="I30" s="10"/>
      <c r="J30" s="10"/>
    </row>
    <row r="31" spans="1:11" ht="10.5" customHeight="1" x14ac:dyDescent="0.35">
      <c r="A31" s="8"/>
      <c r="B31" s="59"/>
      <c r="C31" s="59"/>
      <c r="D31" s="97"/>
      <c r="E31" s="97"/>
      <c r="F31" s="97"/>
      <c r="G31" s="60"/>
      <c r="H31" s="60"/>
      <c r="I31" s="10"/>
      <c r="J31" s="10"/>
    </row>
    <row r="32" spans="1:11" ht="10.5" customHeight="1" x14ac:dyDescent="0.35">
      <c r="A32" s="8"/>
      <c r="B32" s="59"/>
      <c r="C32" s="59"/>
      <c r="D32" s="101" t="s">
        <v>1364</v>
      </c>
      <c r="E32" s="101"/>
      <c r="F32" s="101"/>
      <c r="G32" s="60"/>
      <c r="H32" s="60"/>
      <c r="I32" s="10"/>
      <c r="J32" s="10"/>
    </row>
    <row r="33" spans="1:10" ht="14.25" customHeight="1" x14ac:dyDescent="0.35">
      <c r="A33" s="8"/>
      <c r="B33" s="8"/>
      <c r="C33" s="8"/>
      <c r="D33" s="97" t="s">
        <v>1367</v>
      </c>
      <c r="E33" s="97"/>
      <c r="F33" s="97"/>
      <c r="G33" s="8"/>
      <c r="H33" s="8"/>
      <c r="I33" s="10"/>
      <c r="J33" s="10"/>
    </row>
    <row r="34" spans="1:10" ht="15" customHeight="1" x14ac:dyDescent="0.35">
      <c r="A34" s="8"/>
      <c r="B34" s="61"/>
      <c r="C34" s="61"/>
      <c r="D34" s="98" t="s">
        <v>1368</v>
      </c>
      <c r="E34" s="98"/>
      <c r="F34" s="98"/>
      <c r="G34" s="61"/>
      <c r="H34" s="8"/>
      <c r="I34" s="10"/>
      <c r="J34" s="10"/>
    </row>
    <row r="35" spans="1:10" ht="30" customHeight="1" x14ac:dyDescent="0.35">
      <c r="A35" s="8"/>
      <c r="B35" s="61"/>
      <c r="C35" s="61"/>
      <c r="D35" s="98"/>
      <c r="E35" s="98"/>
      <c r="F35" s="98"/>
      <c r="G35" s="61"/>
      <c r="H35" s="8"/>
      <c r="I35" s="10"/>
      <c r="J35" s="10"/>
    </row>
    <row r="36" spans="1:10" x14ac:dyDescent="0.35">
      <c r="A36" s="8"/>
      <c r="B36" s="8"/>
      <c r="C36" s="8"/>
      <c r="D36" s="8"/>
      <c r="E36" s="8"/>
      <c r="F36" s="8"/>
      <c r="G36" s="8"/>
      <c r="H36" s="8"/>
    </row>
    <row r="37" spans="1:10" x14ac:dyDescent="0.35">
      <c r="A37" s="8"/>
      <c r="B37" s="8"/>
      <c r="C37" s="8"/>
      <c r="D37" s="8"/>
      <c r="E37" s="8"/>
      <c r="F37" s="8"/>
      <c r="G37" s="8"/>
      <c r="H37" s="8"/>
    </row>
    <row r="38" spans="1:10" x14ac:dyDescent="0.35">
      <c r="A38" s="8"/>
      <c r="B38" s="8"/>
      <c r="C38" s="8"/>
      <c r="D38" s="8"/>
      <c r="E38" s="8"/>
      <c r="F38" s="8"/>
      <c r="G38" s="8"/>
      <c r="H38" s="8"/>
    </row>
    <row r="39" spans="1:10" x14ac:dyDescent="0.35">
      <c r="A39" s="8"/>
      <c r="B39" s="8"/>
      <c r="C39" s="8"/>
      <c r="D39" s="8"/>
      <c r="E39" s="8"/>
      <c r="F39" s="8"/>
      <c r="G39" s="8"/>
      <c r="H39" s="8"/>
    </row>
    <row r="40" spans="1:10" x14ac:dyDescent="0.35">
      <c r="A40" s="8"/>
      <c r="B40" s="8"/>
      <c r="C40" s="8"/>
      <c r="D40" s="8"/>
      <c r="E40" s="8"/>
      <c r="F40" s="8"/>
      <c r="G40" s="8"/>
      <c r="H40" s="8"/>
    </row>
    <row r="41" spans="1:10" x14ac:dyDescent="0.35">
      <c r="A41" s="8"/>
      <c r="B41" s="8"/>
      <c r="C41" s="8"/>
      <c r="D41" s="8"/>
      <c r="E41" s="8"/>
      <c r="F41" s="8"/>
      <c r="G41" s="8"/>
      <c r="H41" s="8"/>
    </row>
    <row r="42" spans="1:10" x14ac:dyDescent="0.35">
      <c r="A42" s="8"/>
      <c r="B42" s="8"/>
      <c r="C42" s="8"/>
      <c r="D42" s="8"/>
      <c r="E42" s="8"/>
      <c r="F42" s="8"/>
      <c r="G42" s="8"/>
      <c r="H42" s="8"/>
    </row>
    <row r="43" spans="1:10" x14ac:dyDescent="0.35">
      <c r="A43" s="8"/>
      <c r="B43" s="8"/>
      <c r="C43" s="8"/>
      <c r="D43" s="8"/>
      <c r="E43" s="8"/>
      <c r="F43" s="8"/>
      <c r="G43" s="8"/>
      <c r="H43" s="8"/>
    </row>
    <row r="44" spans="1:10" x14ac:dyDescent="0.35">
      <c r="A44" s="8"/>
      <c r="B44" s="8"/>
      <c r="C44" s="8"/>
      <c r="D44" s="8"/>
      <c r="E44" s="8"/>
      <c r="F44" s="8"/>
      <c r="G44" s="8"/>
      <c r="H44" s="8"/>
    </row>
    <row r="45" spans="1:10" x14ac:dyDescent="0.35">
      <c r="A45" s="8"/>
      <c r="B45" s="8"/>
      <c r="C45" s="8"/>
      <c r="D45" s="8"/>
      <c r="E45" s="8"/>
      <c r="F45" s="8"/>
      <c r="G45" s="8"/>
      <c r="H45" s="8"/>
    </row>
    <row r="46" spans="1:10" x14ac:dyDescent="0.35">
      <c r="A46" s="8"/>
      <c r="B46" s="8"/>
      <c r="C46" s="8"/>
      <c r="D46" s="8"/>
      <c r="E46" s="8"/>
      <c r="F46" s="8"/>
      <c r="G46" s="8"/>
      <c r="H46" s="8"/>
    </row>
    <row r="47" spans="1:10" x14ac:dyDescent="0.35">
      <c r="A47" s="8"/>
      <c r="B47" s="8"/>
      <c r="C47" s="8"/>
      <c r="D47" s="8"/>
      <c r="E47" s="8"/>
      <c r="F47" s="8"/>
      <c r="G47" s="8"/>
      <c r="H47" s="8"/>
    </row>
    <row r="48" spans="1:10" x14ac:dyDescent="0.35">
      <c r="A48" s="8"/>
      <c r="B48" s="8"/>
      <c r="C48" s="8"/>
      <c r="D48" s="8"/>
      <c r="E48" s="8"/>
      <c r="F48" s="8"/>
      <c r="G48" s="8"/>
      <c r="H48" s="8"/>
    </row>
    <row r="49" spans="1:8" x14ac:dyDescent="0.35">
      <c r="A49" s="8"/>
      <c r="B49" s="8"/>
      <c r="C49" s="8"/>
      <c r="D49" s="8"/>
      <c r="E49" s="8"/>
      <c r="F49" s="8"/>
      <c r="G49" s="8"/>
      <c r="H49" s="8"/>
    </row>
    <row r="50" spans="1:8" x14ac:dyDescent="0.35">
      <c r="A50" s="8"/>
      <c r="B50" s="8"/>
      <c r="C50" s="8"/>
      <c r="D50" s="8"/>
      <c r="E50" s="8"/>
      <c r="F50" s="8"/>
      <c r="G50" s="8"/>
      <c r="H50" s="8"/>
    </row>
    <row r="51" spans="1:8" x14ac:dyDescent="0.35">
      <c r="A51" s="8"/>
      <c r="B51" s="8"/>
      <c r="C51" s="8"/>
      <c r="D51" s="8"/>
      <c r="E51" s="8"/>
      <c r="F51" s="8"/>
      <c r="G51" s="8"/>
      <c r="H51" s="8"/>
    </row>
    <row r="52" spans="1:8" x14ac:dyDescent="0.35">
      <c r="A52" s="8"/>
      <c r="B52" s="8"/>
      <c r="C52" s="8"/>
      <c r="D52" s="8"/>
      <c r="E52" s="8"/>
      <c r="F52" s="8"/>
      <c r="G52" s="8"/>
      <c r="H52" s="8"/>
    </row>
    <row r="53" spans="1:8" x14ac:dyDescent="0.35">
      <c r="A53" s="8"/>
      <c r="B53" s="8"/>
      <c r="C53" s="8"/>
      <c r="D53" s="8"/>
      <c r="E53" s="8"/>
      <c r="F53" s="8"/>
      <c r="G53" s="8"/>
      <c r="H53" s="8"/>
    </row>
    <row r="54" spans="1:8" x14ac:dyDescent="0.35">
      <c r="A54" s="8"/>
      <c r="B54" s="8"/>
      <c r="C54" s="8"/>
      <c r="D54" s="8"/>
      <c r="E54" s="8"/>
      <c r="F54" s="8"/>
      <c r="G54" s="8"/>
      <c r="H54" s="8"/>
    </row>
    <row r="55" spans="1:8" x14ac:dyDescent="0.35">
      <c r="A55" s="8"/>
      <c r="B55" s="8"/>
      <c r="C55" s="8"/>
      <c r="D55" s="8"/>
      <c r="E55" s="8"/>
      <c r="F55" s="8"/>
      <c r="G55" s="8"/>
      <c r="H55" s="8"/>
    </row>
    <row r="56" spans="1:8" x14ac:dyDescent="0.35">
      <c r="A56" s="8"/>
      <c r="B56" s="8"/>
      <c r="C56" s="8"/>
      <c r="D56" s="8"/>
      <c r="E56" s="8"/>
      <c r="F56" s="8"/>
      <c r="G56" s="8"/>
      <c r="H56" s="8"/>
    </row>
    <row r="57" spans="1:8" x14ac:dyDescent="0.35">
      <c r="A57" s="8"/>
      <c r="B57" s="8"/>
      <c r="C57" s="8"/>
      <c r="D57" s="8"/>
      <c r="E57" s="8"/>
      <c r="F57" s="8"/>
      <c r="G57" s="8"/>
      <c r="H57" s="8"/>
    </row>
    <row r="58" spans="1:8" x14ac:dyDescent="0.35">
      <c r="A58" s="8"/>
      <c r="B58" s="8"/>
      <c r="C58" s="8"/>
      <c r="D58" s="8"/>
      <c r="E58" s="8"/>
      <c r="F58" s="8"/>
      <c r="G58" s="8"/>
      <c r="H58" s="8"/>
    </row>
    <row r="59" spans="1:8" x14ac:dyDescent="0.35">
      <c r="A59" s="8"/>
      <c r="B59" s="8"/>
      <c r="C59" s="8"/>
      <c r="D59" s="8"/>
      <c r="E59" s="8"/>
      <c r="F59" s="8"/>
      <c r="G59" s="8"/>
      <c r="H59" s="8"/>
    </row>
    <row r="60" spans="1:8" x14ac:dyDescent="0.35">
      <c r="A60" s="8"/>
      <c r="B60" s="8"/>
      <c r="C60" s="8"/>
      <c r="D60" s="8"/>
      <c r="E60" s="8"/>
      <c r="F60" s="8"/>
      <c r="G60" s="8"/>
      <c r="H60" s="8"/>
    </row>
    <row r="61" spans="1:8" x14ac:dyDescent="0.35">
      <c r="A61" s="8"/>
      <c r="B61" s="8"/>
      <c r="C61" s="8"/>
      <c r="D61" s="8"/>
      <c r="E61" s="8"/>
      <c r="F61" s="8"/>
      <c r="G61" s="8"/>
      <c r="H61" s="8"/>
    </row>
    <row r="62" spans="1:8" x14ac:dyDescent="0.35">
      <c r="A62" s="8"/>
      <c r="B62" s="8"/>
      <c r="C62" s="8"/>
      <c r="D62" s="8"/>
      <c r="E62" s="8"/>
      <c r="F62" s="8"/>
      <c r="G62" s="8"/>
      <c r="H62" s="8"/>
    </row>
    <row r="63" spans="1:8" x14ac:dyDescent="0.35">
      <c r="A63" s="8"/>
      <c r="B63" s="8"/>
      <c r="C63" s="8"/>
      <c r="D63" s="8"/>
      <c r="E63" s="8"/>
      <c r="F63" s="8"/>
      <c r="G63" s="8"/>
      <c r="H63" s="8"/>
    </row>
    <row r="64" spans="1:8" x14ac:dyDescent="0.35">
      <c r="A64" s="8"/>
      <c r="B64" s="8"/>
      <c r="C64" s="8"/>
      <c r="D64" s="8"/>
      <c r="E64" s="8"/>
      <c r="F64" s="8"/>
      <c r="G64" s="8"/>
      <c r="H64" s="8"/>
    </row>
    <row r="65" spans="1:8" x14ac:dyDescent="0.35">
      <c r="A65" s="8"/>
      <c r="B65" s="8"/>
      <c r="C65" s="8"/>
      <c r="D65" s="8"/>
      <c r="E65" s="8"/>
      <c r="F65" s="8"/>
      <c r="G65" s="8"/>
      <c r="H65" s="8"/>
    </row>
    <row r="66" spans="1:8" x14ac:dyDescent="0.35">
      <c r="A66" s="8"/>
      <c r="B66" s="8"/>
      <c r="C66" s="8"/>
      <c r="D66" s="8"/>
      <c r="E66" s="8"/>
      <c r="F66" s="8"/>
      <c r="G66" s="8"/>
      <c r="H66" s="8"/>
    </row>
    <row r="67" spans="1:8" x14ac:dyDescent="0.35">
      <c r="A67" s="8"/>
      <c r="B67" s="8"/>
      <c r="C67" s="8"/>
      <c r="D67" s="8"/>
      <c r="E67" s="8"/>
      <c r="F67" s="8"/>
      <c r="G67" s="8"/>
      <c r="H67" s="8"/>
    </row>
    <row r="68" spans="1:8" x14ac:dyDescent="0.35">
      <c r="A68" s="8"/>
      <c r="B68" s="8"/>
      <c r="C68" s="8"/>
      <c r="D68" s="8"/>
      <c r="E68" s="8"/>
      <c r="F68" s="8"/>
      <c r="G68" s="8"/>
      <c r="H68" s="8"/>
    </row>
    <row r="69" spans="1:8" x14ac:dyDescent="0.35">
      <c r="A69" s="8"/>
      <c r="B69" s="8"/>
      <c r="C69" s="8"/>
      <c r="D69" s="8"/>
      <c r="E69" s="8"/>
      <c r="F69" s="8"/>
      <c r="G69" s="8"/>
      <c r="H69" s="8"/>
    </row>
    <row r="70" spans="1:8" x14ac:dyDescent="0.35">
      <c r="A70" s="8"/>
      <c r="B70" s="8"/>
      <c r="C70" s="8"/>
      <c r="D70" s="8"/>
      <c r="E70" s="8"/>
      <c r="F70" s="8"/>
      <c r="G70" s="8"/>
      <c r="H70" s="8"/>
    </row>
    <row r="71" spans="1:8" x14ac:dyDescent="0.35">
      <c r="A71" s="8"/>
      <c r="B71" s="8"/>
      <c r="C71" s="8"/>
      <c r="D71" s="8"/>
      <c r="E71" s="8"/>
      <c r="F71" s="8"/>
      <c r="G71" s="8"/>
      <c r="H71" s="8"/>
    </row>
    <row r="72" spans="1:8" x14ac:dyDescent="0.35">
      <c r="A72" s="8"/>
      <c r="B72" s="8"/>
      <c r="C72" s="8"/>
      <c r="D72" s="8"/>
      <c r="E72" s="8"/>
      <c r="F72" s="8"/>
      <c r="G72" s="8"/>
      <c r="H72" s="8"/>
    </row>
    <row r="73" spans="1:8" x14ac:dyDescent="0.35">
      <c r="A73" s="8"/>
      <c r="B73" s="8"/>
      <c r="C73" s="8"/>
      <c r="D73" s="8"/>
      <c r="E73" s="8"/>
      <c r="F73" s="8"/>
      <c r="G73" s="8"/>
      <c r="H73" s="8"/>
    </row>
    <row r="74" spans="1:8" x14ac:dyDescent="0.35">
      <c r="A74" s="8"/>
      <c r="B74" s="8"/>
      <c r="C74" s="8"/>
      <c r="D74" s="8"/>
      <c r="E74" s="8"/>
      <c r="F74" s="8"/>
      <c r="G74" s="8"/>
      <c r="H74" s="8"/>
    </row>
    <row r="75" spans="1:8" x14ac:dyDescent="0.35">
      <c r="A75" s="8"/>
      <c r="B75" s="8"/>
      <c r="C75" s="8"/>
      <c r="D75" s="8"/>
      <c r="E75" s="8"/>
      <c r="F75" s="8"/>
      <c r="G75" s="8"/>
      <c r="H75" s="8"/>
    </row>
    <row r="76" spans="1:8" x14ac:dyDescent="0.35">
      <c r="A76" s="8"/>
      <c r="B76" s="8"/>
      <c r="C76" s="8"/>
      <c r="D76" s="8"/>
      <c r="E76" s="8"/>
      <c r="F76" s="8"/>
      <c r="G76" s="8"/>
      <c r="H76" s="8"/>
    </row>
    <row r="77" spans="1:8" x14ac:dyDescent="0.35">
      <c r="A77" s="8"/>
      <c r="B77" s="8"/>
      <c r="C77" s="8"/>
      <c r="D77" s="8"/>
      <c r="E77" s="8"/>
      <c r="F77" s="8"/>
      <c r="G77" s="8"/>
      <c r="H77" s="8"/>
    </row>
    <row r="78" spans="1:8" x14ac:dyDescent="0.35">
      <c r="A78" s="8"/>
      <c r="B78" s="8"/>
      <c r="C78" s="8"/>
      <c r="D78" s="8"/>
      <c r="E78" s="8"/>
      <c r="F78" s="8"/>
      <c r="G78" s="8"/>
      <c r="H78" s="8"/>
    </row>
    <row r="79" spans="1:8" x14ac:dyDescent="0.35">
      <c r="A79" s="8"/>
      <c r="B79" s="8"/>
      <c r="C79" s="8"/>
      <c r="D79" s="8"/>
      <c r="E79" s="8"/>
      <c r="F79" s="8"/>
      <c r="G79" s="8"/>
      <c r="H79" s="8"/>
    </row>
    <row r="80" spans="1:8" x14ac:dyDescent="0.35">
      <c r="A80" s="8"/>
      <c r="B80" s="8"/>
      <c r="C80" s="8"/>
      <c r="D80" s="8"/>
      <c r="E80" s="8"/>
      <c r="F80" s="8"/>
      <c r="G80" s="8"/>
      <c r="H80" s="8"/>
    </row>
    <row r="81" spans="1:8" x14ac:dyDescent="0.35">
      <c r="A81" s="8"/>
      <c r="B81" s="8"/>
      <c r="C81" s="8"/>
      <c r="D81" s="8"/>
      <c r="E81" s="8"/>
      <c r="F81" s="8"/>
      <c r="G81" s="8"/>
      <c r="H81" s="8"/>
    </row>
    <row r="82" spans="1:8" x14ac:dyDescent="0.35">
      <c r="A82" s="8"/>
      <c r="B82" s="8"/>
      <c r="C82" s="8"/>
      <c r="D82" s="8"/>
      <c r="E82" s="8"/>
      <c r="F82" s="8"/>
      <c r="G82" s="8"/>
      <c r="H82" s="8"/>
    </row>
    <row r="83" spans="1:8" x14ac:dyDescent="0.35">
      <c r="A83" s="8"/>
      <c r="B83" s="8"/>
      <c r="C83" s="8"/>
      <c r="D83" s="8"/>
      <c r="E83" s="8"/>
      <c r="F83" s="8"/>
      <c r="G83" s="8"/>
      <c r="H83" s="8"/>
    </row>
    <row r="84" spans="1:8" x14ac:dyDescent="0.35">
      <c r="A84" s="8"/>
      <c r="B84" s="8"/>
      <c r="C84" s="8"/>
      <c r="D84" s="8"/>
      <c r="E84" s="8"/>
      <c r="F84" s="8"/>
      <c r="G84" s="8"/>
      <c r="H84" s="8"/>
    </row>
    <row r="85" spans="1:8" x14ac:dyDescent="0.35">
      <c r="A85" s="8"/>
      <c r="B85" s="8"/>
      <c r="C85" s="8"/>
      <c r="D85" s="8"/>
      <c r="E85" s="8"/>
      <c r="F85" s="8"/>
      <c r="G85" s="8"/>
      <c r="H85" s="8"/>
    </row>
    <row r="86" spans="1:8" x14ac:dyDescent="0.35">
      <c r="A86" s="8"/>
      <c r="B86" s="8"/>
      <c r="C86" s="8"/>
      <c r="D86" s="8"/>
      <c r="E86" s="8"/>
      <c r="F86" s="8"/>
      <c r="G86" s="8"/>
      <c r="H86" s="8"/>
    </row>
    <row r="87" spans="1:8" x14ac:dyDescent="0.35">
      <c r="A87" s="8"/>
      <c r="B87" s="8"/>
      <c r="C87" s="8"/>
      <c r="D87" s="8"/>
      <c r="E87" s="8"/>
      <c r="F87" s="8"/>
      <c r="G87" s="8"/>
      <c r="H87" s="8"/>
    </row>
    <row r="88" spans="1:8" x14ac:dyDescent="0.35">
      <c r="A88" s="8"/>
      <c r="B88" s="8"/>
      <c r="C88" s="8"/>
      <c r="D88" s="8"/>
      <c r="E88" s="8"/>
      <c r="F88" s="8"/>
      <c r="G88" s="8"/>
      <c r="H88" s="8"/>
    </row>
    <row r="89" spans="1:8" x14ac:dyDescent="0.35">
      <c r="A89" s="8"/>
      <c r="B89" s="8"/>
      <c r="C89" s="8"/>
      <c r="D89" s="8"/>
      <c r="E89" s="8"/>
      <c r="F89" s="8"/>
      <c r="G89" s="8"/>
      <c r="H89" s="8"/>
    </row>
    <row r="90" spans="1:8" x14ac:dyDescent="0.35">
      <c r="A90" s="8"/>
      <c r="B90" s="8"/>
      <c r="C90" s="8"/>
      <c r="D90" s="8"/>
      <c r="E90" s="8"/>
      <c r="F90" s="8"/>
      <c r="G90" s="8"/>
      <c r="H90" s="8"/>
    </row>
    <row r="91" spans="1:8" x14ac:dyDescent="0.35">
      <c r="A91" s="8"/>
      <c r="B91" s="8"/>
      <c r="C91" s="8"/>
      <c r="D91" s="8"/>
      <c r="E91" s="8"/>
      <c r="F91" s="8"/>
      <c r="G91" s="8"/>
      <c r="H91" s="8"/>
    </row>
    <row r="92" spans="1:8" x14ac:dyDescent="0.35">
      <c r="A92" s="8"/>
      <c r="B92" s="8"/>
      <c r="C92" s="8"/>
      <c r="D92" s="8"/>
      <c r="E92" s="8"/>
      <c r="F92" s="8"/>
      <c r="G92" s="8"/>
      <c r="H92" s="8"/>
    </row>
    <row r="93" spans="1:8" x14ac:dyDescent="0.35">
      <c r="A93" s="8"/>
      <c r="B93" s="8"/>
      <c r="C93" s="8"/>
      <c r="D93" s="8"/>
      <c r="E93" s="8"/>
      <c r="F93" s="8"/>
      <c r="G93" s="8"/>
      <c r="H93" s="8"/>
    </row>
    <row r="94" spans="1:8" x14ac:dyDescent="0.35">
      <c r="A94" s="8"/>
      <c r="B94" s="8"/>
      <c r="C94" s="8"/>
      <c r="D94" s="8"/>
      <c r="E94" s="8"/>
      <c r="F94" s="8"/>
      <c r="G94" s="8"/>
      <c r="H94" s="8"/>
    </row>
    <row r="95" spans="1:8" x14ac:dyDescent="0.35">
      <c r="A95" s="8"/>
      <c r="B95" s="8"/>
      <c r="C95" s="8"/>
      <c r="D95" s="8"/>
      <c r="E95" s="8"/>
      <c r="F95" s="8"/>
      <c r="G95" s="8"/>
      <c r="H95" s="8"/>
    </row>
    <row r="96" spans="1:8" x14ac:dyDescent="0.35">
      <c r="A96" s="8"/>
      <c r="B96" s="8"/>
      <c r="C96" s="8"/>
      <c r="D96" s="8"/>
      <c r="E96" s="8"/>
      <c r="F96" s="8"/>
      <c r="G96" s="8"/>
      <c r="H96" s="8"/>
    </row>
    <row r="97" spans="1:8" x14ac:dyDescent="0.35">
      <c r="A97" s="8"/>
      <c r="B97" s="8"/>
      <c r="C97" s="8"/>
      <c r="D97" s="8"/>
      <c r="E97" s="8"/>
      <c r="F97" s="8"/>
      <c r="G97" s="8"/>
      <c r="H97" s="8"/>
    </row>
    <row r="98" spans="1:8" x14ac:dyDescent="0.35">
      <c r="A98" s="8"/>
      <c r="B98" s="8"/>
      <c r="C98" s="8"/>
      <c r="D98" s="8"/>
      <c r="E98" s="8"/>
      <c r="F98" s="8"/>
      <c r="G98" s="8"/>
      <c r="H98" s="8"/>
    </row>
    <row r="99" spans="1:8" x14ac:dyDescent="0.35">
      <c r="A99" s="8"/>
      <c r="B99" s="8"/>
      <c r="C99" s="8"/>
      <c r="D99" s="8"/>
      <c r="E99" s="8"/>
      <c r="F99" s="8"/>
      <c r="G99" s="8"/>
      <c r="H99" s="8"/>
    </row>
    <row r="100" spans="1:8" x14ac:dyDescent="0.35">
      <c r="A100" s="8"/>
      <c r="B100" s="8"/>
      <c r="C100" s="8"/>
      <c r="D100" s="8"/>
      <c r="E100" s="8"/>
      <c r="F100" s="8"/>
      <c r="G100" s="8"/>
      <c r="H100" s="8"/>
    </row>
    <row r="101" spans="1:8" x14ac:dyDescent="0.35">
      <c r="A101" s="8"/>
      <c r="B101" s="8"/>
      <c r="C101" s="8"/>
      <c r="D101" s="8"/>
      <c r="E101" s="8"/>
      <c r="F101" s="8"/>
      <c r="G101" s="8"/>
      <c r="H101" s="8"/>
    </row>
    <row r="102" spans="1:8" x14ac:dyDescent="0.35">
      <c r="A102" s="8"/>
      <c r="B102" s="8"/>
      <c r="C102" s="8"/>
      <c r="D102" s="8"/>
      <c r="E102" s="8"/>
      <c r="F102" s="8"/>
      <c r="G102" s="8"/>
      <c r="H102" s="8"/>
    </row>
    <row r="103" spans="1:8" x14ac:dyDescent="0.35">
      <c r="A103" s="8"/>
      <c r="B103" s="8"/>
      <c r="C103" s="8"/>
      <c r="D103" s="8"/>
      <c r="E103" s="8"/>
      <c r="F103" s="8"/>
      <c r="G103" s="8"/>
      <c r="H103" s="8"/>
    </row>
    <row r="104" spans="1:8" x14ac:dyDescent="0.35">
      <c r="A104" s="8"/>
      <c r="B104" s="8"/>
      <c r="C104" s="8"/>
      <c r="D104" s="8"/>
      <c r="E104" s="8"/>
      <c r="F104" s="8"/>
      <c r="G104" s="8"/>
      <c r="H104" s="8"/>
    </row>
    <row r="105" spans="1:8" x14ac:dyDescent="0.35">
      <c r="A105" s="8"/>
      <c r="B105" s="8"/>
      <c r="C105" s="8"/>
      <c r="D105" s="8"/>
      <c r="E105" s="8"/>
      <c r="F105" s="8"/>
      <c r="G105" s="8"/>
      <c r="H105" s="8"/>
    </row>
    <row r="106" spans="1:8" x14ac:dyDescent="0.35">
      <c r="A106" s="8"/>
      <c r="B106" s="8"/>
      <c r="C106" s="8"/>
      <c r="D106" s="8"/>
      <c r="E106" s="8"/>
      <c r="F106" s="8"/>
      <c r="G106" s="8"/>
      <c r="H106" s="8"/>
    </row>
    <row r="107" spans="1:8" x14ac:dyDescent="0.35">
      <c r="A107" s="8"/>
      <c r="B107" s="8"/>
      <c r="C107" s="8"/>
      <c r="D107" s="8"/>
      <c r="E107" s="8"/>
      <c r="F107" s="8"/>
      <c r="G107" s="8"/>
      <c r="H107" s="8"/>
    </row>
    <row r="108" spans="1:8" x14ac:dyDescent="0.35">
      <c r="A108" s="8"/>
      <c r="B108" s="8"/>
      <c r="C108" s="8"/>
      <c r="D108" s="8"/>
      <c r="E108" s="8"/>
      <c r="F108" s="8"/>
      <c r="G108" s="8"/>
      <c r="H108" s="8"/>
    </row>
    <row r="109" spans="1:8" x14ac:dyDescent="0.35">
      <c r="A109" s="8"/>
      <c r="B109" s="8"/>
      <c r="C109" s="8"/>
      <c r="D109" s="8"/>
      <c r="E109" s="8"/>
      <c r="F109" s="8"/>
      <c r="G109" s="8"/>
      <c r="H109" s="8"/>
    </row>
    <row r="110" spans="1:8" x14ac:dyDescent="0.35">
      <c r="A110" s="8"/>
      <c r="B110" s="8"/>
      <c r="C110" s="8"/>
      <c r="D110" s="8"/>
      <c r="E110" s="8"/>
      <c r="F110" s="8"/>
      <c r="G110" s="8"/>
      <c r="H110" s="8"/>
    </row>
    <row r="111" spans="1:8" x14ac:dyDescent="0.35">
      <c r="A111" s="8"/>
      <c r="B111" s="8"/>
      <c r="C111" s="8"/>
      <c r="D111" s="8"/>
      <c r="E111" s="8"/>
      <c r="F111" s="8"/>
      <c r="G111" s="8"/>
      <c r="H111" s="8"/>
    </row>
    <row r="112" spans="1:8" x14ac:dyDescent="0.35">
      <c r="A112" s="8"/>
      <c r="B112" s="8"/>
      <c r="C112" s="8"/>
      <c r="D112" s="8"/>
      <c r="E112" s="8"/>
      <c r="F112" s="8"/>
      <c r="G112" s="8"/>
      <c r="H112" s="8"/>
    </row>
    <row r="113" spans="1:8" x14ac:dyDescent="0.35">
      <c r="A113" s="8"/>
      <c r="B113" s="8"/>
      <c r="C113" s="8"/>
      <c r="D113" s="8"/>
      <c r="E113" s="8"/>
      <c r="F113" s="8"/>
      <c r="G113" s="8"/>
      <c r="H113" s="8"/>
    </row>
    <row r="114" spans="1:8" x14ac:dyDescent="0.35">
      <c r="A114" s="8"/>
      <c r="B114" s="8"/>
      <c r="C114" s="8"/>
      <c r="D114" s="8"/>
      <c r="E114" s="8"/>
      <c r="F114" s="8"/>
      <c r="G114" s="8"/>
      <c r="H114" s="8"/>
    </row>
    <row r="115" spans="1:8" x14ac:dyDescent="0.35">
      <c r="A115" s="8"/>
      <c r="B115" s="8"/>
      <c r="C115" s="8"/>
      <c r="D115" s="8"/>
      <c r="E115" s="8"/>
      <c r="F115" s="8"/>
      <c r="G115" s="8"/>
      <c r="H115" s="8"/>
    </row>
    <row r="116" spans="1:8" x14ac:dyDescent="0.35">
      <c r="A116" s="8"/>
      <c r="B116" s="8"/>
      <c r="C116" s="8"/>
      <c r="D116" s="8"/>
      <c r="E116" s="8"/>
      <c r="F116" s="8"/>
      <c r="G116" s="8"/>
      <c r="H116" s="8"/>
    </row>
    <row r="117" spans="1:8" x14ac:dyDescent="0.35">
      <c r="A117" s="8"/>
      <c r="B117" s="8"/>
      <c r="C117" s="8"/>
      <c r="D117" s="8"/>
      <c r="E117" s="8"/>
      <c r="F117" s="8"/>
      <c r="G117" s="8"/>
      <c r="H117" s="8"/>
    </row>
    <row r="118" spans="1:8" x14ac:dyDescent="0.35">
      <c r="A118" s="8"/>
      <c r="B118" s="8"/>
      <c r="C118" s="8"/>
      <c r="D118" s="8"/>
      <c r="E118" s="8"/>
      <c r="F118" s="8"/>
      <c r="G118" s="8"/>
      <c r="H118" s="8"/>
    </row>
    <row r="119" spans="1:8" x14ac:dyDescent="0.35">
      <c r="A119" s="8"/>
      <c r="B119" s="8"/>
      <c r="C119" s="8"/>
      <c r="D119" s="8"/>
      <c r="E119" s="8"/>
      <c r="F119" s="8"/>
      <c r="G119" s="8"/>
      <c r="H119" s="8"/>
    </row>
    <row r="120" spans="1:8" x14ac:dyDescent="0.35">
      <c r="A120" s="8"/>
      <c r="B120" s="8"/>
      <c r="C120" s="8"/>
      <c r="D120" s="8"/>
      <c r="E120" s="8"/>
      <c r="F120" s="8"/>
      <c r="G120" s="8"/>
      <c r="H120" s="8"/>
    </row>
    <row r="121" spans="1:8" x14ac:dyDescent="0.35">
      <c r="A121" s="8"/>
      <c r="B121" s="8"/>
      <c r="C121" s="8"/>
      <c r="D121" s="8"/>
      <c r="E121" s="8"/>
      <c r="F121" s="8"/>
      <c r="G121" s="8"/>
      <c r="H121" s="8"/>
    </row>
    <row r="122" spans="1:8" x14ac:dyDescent="0.35">
      <c r="A122" s="8"/>
      <c r="B122" s="8"/>
      <c r="C122" s="8"/>
      <c r="D122" s="8"/>
      <c r="E122" s="8"/>
      <c r="F122" s="8"/>
      <c r="G122" s="8"/>
      <c r="H122" s="8"/>
    </row>
    <row r="123" spans="1:8" x14ac:dyDescent="0.35">
      <c r="A123" s="8"/>
      <c r="B123" s="8"/>
      <c r="C123" s="8"/>
      <c r="D123" s="8"/>
      <c r="E123" s="8"/>
      <c r="F123" s="8"/>
      <c r="G123" s="8"/>
      <c r="H123" s="8"/>
    </row>
    <row r="124" spans="1:8" x14ac:dyDescent="0.35">
      <c r="A124" s="8"/>
      <c r="B124" s="8"/>
      <c r="C124" s="8"/>
      <c r="D124" s="8"/>
      <c r="E124" s="8"/>
      <c r="F124" s="8"/>
      <c r="G124" s="8"/>
      <c r="H124" s="8"/>
    </row>
    <row r="125" spans="1:8" x14ac:dyDescent="0.35">
      <c r="A125" s="8"/>
      <c r="B125" s="8"/>
      <c r="C125" s="8"/>
      <c r="D125" s="8"/>
      <c r="E125" s="8"/>
      <c r="F125" s="8"/>
      <c r="G125" s="8"/>
      <c r="H125" s="8"/>
    </row>
    <row r="126" spans="1:8" x14ac:dyDescent="0.35">
      <c r="A126" s="8"/>
      <c r="B126" s="8"/>
      <c r="C126" s="8"/>
      <c r="D126" s="8"/>
      <c r="E126" s="8"/>
      <c r="F126" s="8"/>
      <c r="G126" s="8"/>
      <c r="H126" s="8"/>
    </row>
    <row r="127" spans="1:8" x14ac:dyDescent="0.35">
      <c r="A127" s="8"/>
      <c r="B127" s="8"/>
      <c r="C127" s="8"/>
      <c r="D127" s="8"/>
      <c r="E127" s="8"/>
      <c r="F127" s="8"/>
      <c r="G127" s="8"/>
      <c r="H127" s="8"/>
    </row>
    <row r="128" spans="1:8" x14ac:dyDescent="0.35">
      <c r="A128" s="8"/>
      <c r="B128" s="8"/>
      <c r="C128" s="8"/>
      <c r="D128" s="8"/>
      <c r="E128" s="8"/>
      <c r="F128" s="8"/>
      <c r="G128" s="8"/>
      <c r="H128" s="8"/>
    </row>
    <row r="129" spans="1:8" x14ac:dyDescent="0.35">
      <c r="A129" s="8"/>
      <c r="B129" s="8"/>
      <c r="C129" s="8"/>
      <c r="D129" s="8"/>
      <c r="E129" s="8"/>
      <c r="F129" s="8"/>
      <c r="G129" s="8"/>
      <c r="H129" s="8"/>
    </row>
    <row r="130" spans="1:8" x14ac:dyDescent="0.35">
      <c r="A130" s="8"/>
      <c r="B130" s="8"/>
      <c r="C130" s="8"/>
      <c r="D130" s="8"/>
      <c r="E130" s="8"/>
      <c r="F130" s="8"/>
      <c r="G130" s="8"/>
      <c r="H130" s="8"/>
    </row>
    <row r="131" spans="1:8" x14ac:dyDescent="0.35">
      <c r="A131" s="8"/>
      <c r="B131" s="8"/>
      <c r="C131" s="8"/>
      <c r="D131" s="8"/>
      <c r="E131" s="8"/>
      <c r="F131" s="8"/>
      <c r="G131" s="8"/>
      <c r="H131" s="8"/>
    </row>
    <row r="132" spans="1:8" x14ac:dyDescent="0.35">
      <c r="A132" s="8"/>
      <c r="B132" s="8"/>
      <c r="C132" s="8"/>
      <c r="D132" s="8"/>
      <c r="E132" s="8"/>
      <c r="F132" s="8"/>
      <c r="G132" s="8"/>
      <c r="H132" s="8"/>
    </row>
    <row r="133" spans="1:8" x14ac:dyDescent="0.35">
      <c r="A133" s="8"/>
      <c r="B133" s="8"/>
      <c r="C133" s="8"/>
      <c r="D133" s="8"/>
      <c r="E133" s="8"/>
      <c r="F133" s="8"/>
      <c r="G133" s="8"/>
      <c r="H133" s="8"/>
    </row>
    <row r="134" spans="1:8" x14ac:dyDescent="0.35">
      <c r="A134" s="8"/>
      <c r="B134" s="8"/>
      <c r="C134" s="8"/>
      <c r="D134" s="8"/>
      <c r="E134" s="8"/>
      <c r="F134" s="8"/>
      <c r="G134" s="8"/>
      <c r="H134" s="8"/>
    </row>
    <row r="135" spans="1:8" x14ac:dyDescent="0.35">
      <c r="A135" s="8"/>
      <c r="B135" s="8"/>
      <c r="C135" s="8"/>
      <c r="D135" s="8"/>
      <c r="E135" s="8"/>
      <c r="F135" s="8"/>
      <c r="G135" s="8"/>
      <c r="H135" s="8"/>
    </row>
    <row r="136" spans="1:8" x14ac:dyDescent="0.35">
      <c r="A136" s="8"/>
      <c r="B136" s="8"/>
      <c r="C136" s="8"/>
      <c r="D136" s="8"/>
      <c r="E136" s="8"/>
      <c r="F136" s="8"/>
      <c r="G136" s="8"/>
      <c r="H136" s="8"/>
    </row>
    <row r="137" spans="1:8" x14ac:dyDescent="0.35">
      <c r="A137" s="8"/>
      <c r="B137" s="8"/>
      <c r="C137" s="8"/>
      <c r="D137" s="8"/>
      <c r="E137" s="8"/>
      <c r="F137" s="8"/>
      <c r="G137" s="8"/>
      <c r="H137" s="8"/>
    </row>
    <row r="138" spans="1:8" x14ac:dyDescent="0.35">
      <c r="A138" s="8"/>
      <c r="B138" s="8"/>
      <c r="C138" s="8"/>
      <c r="D138" s="8"/>
      <c r="E138" s="8"/>
      <c r="F138" s="8"/>
      <c r="G138" s="8"/>
      <c r="H138" s="8"/>
    </row>
    <row r="139" spans="1:8" x14ac:dyDescent="0.35">
      <c r="A139" s="8"/>
      <c r="B139" s="8"/>
      <c r="C139" s="8"/>
      <c r="D139" s="8"/>
      <c r="E139" s="8"/>
      <c r="F139" s="8"/>
      <c r="G139" s="8"/>
      <c r="H139" s="8"/>
    </row>
    <row r="140" spans="1:8" x14ac:dyDescent="0.35">
      <c r="A140" s="8"/>
      <c r="B140" s="8"/>
      <c r="C140" s="8"/>
      <c r="D140" s="8"/>
      <c r="E140" s="8"/>
      <c r="F140" s="8"/>
      <c r="G140" s="8"/>
      <c r="H140" s="8"/>
    </row>
    <row r="141" spans="1:8" x14ac:dyDescent="0.35">
      <c r="A141" s="8"/>
      <c r="B141" s="8"/>
      <c r="C141" s="8"/>
      <c r="D141" s="8"/>
      <c r="E141" s="8"/>
      <c r="F141" s="8"/>
      <c r="G141" s="8"/>
      <c r="H141" s="8"/>
    </row>
    <row r="142" spans="1:8" x14ac:dyDescent="0.35">
      <c r="A142" s="8"/>
      <c r="B142" s="8"/>
      <c r="C142" s="8"/>
      <c r="D142" s="8"/>
      <c r="E142" s="8"/>
      <c r="F142" s="8"/>
      <c r="G142" s="8"/>
      <c r="H142" s="8"/>
    </row>
    <row r="143" spans="1:8" x14ac:dyDescent="0.35">
      <c r="A143" s="8"/>
      <c r="B143" s="8"/>
      <c r="C143" s="8"/>
      <c r="D143" s="8"/>
      <c r="E143" s="8"/>
      <c r="F143" s="8"/>
      <c r="G143" s="8"/>
      <c r="H143" s="8"/>
    </row>
    <row r="144" spans="1:8" x14ac:dyDescent="0.35">
      <c r="A144" s="8"/>
      <c r="B144" s="8"/>
      <c r="C144" s="8"/>
      <c r="D144" s="8"/>
      <c r="E144" s="8"/>
      <c r="F144" s="8"/>
      <c r="G144" s="8"/>
      <c r="H144" s="8"/>
    </row>
    <row r="145" spans="1:8" x14ac:dyDescent="0.35">
      <c r="A145" s="8"/>
      <c r="B145" s="8"/>
      <c r="C145" s="8"/>
      <c r="D145" s="8"/>
      <c r="E145" s="8"/>
      <c r="F145" s="8"/>
      <c r="G145" s="8"/>
      <c r="H145" s="8"/>
    </row>
    <row r="146" spans="1:8" x14ac:dyDescent="0.35">
      <c r="A146" s="8"/>
      <c r="B146" s="8"/>
      <c r="C146" s="8"/>
      <c r="D146" s="8"/>
      <c r="E146" s="8"/>
      <c r="F146" s="8"/>
      <c r="G146" s="8"/>
      <c r="H146" s="8"/>
    </row>
    <row r="147" spans="1:8" x14ac:dyDescent="0.35">
      <c r="A147" s="8"/>
      <c r="B147" s="8"/>
      <c r="C147" s="8"/>
      <c r="D147" s="8"/>
      <c r="E147" s="8"/>
      <c r="F147" s="8"/>
      <c r="G147" s="8"/>
      <c r="H147" s="8"/>
    </row>
    <row r="148" spans="1:8" x14ac:dyDescent="0.35">
      <c r="A148" s="8"/>
      <c r="B148" s="8"/>
      <c r="C148" s="8"/>
      <c r="D148" s="8"/>
      <c r="E148" s="8"/>
      <c r="F148" s="8"/>
      <c r="G148" s="8"/>
      <c r="H148" s="8"/>
    </row>
    <row r="149" spans="1:8" x14ac:dyDescent="0.35">
      <c r="A149" s="8"/>
      <c r="B149" s="8"/>
      <c r="C149" s="8"/>
      <c r="D149" s="8"/>
      <c r="E149" s="8"/>
      <c r="F149" s="8"/>
      <c r="G149" s="8"/>
      <c r="H149" s="8"/>
    </row>
    <row r="150" spans="1:8" x14ac:dyDescent="0.35">
      <c r="A150" s="8"/>
      <c r="B150" s="8"/>
      <c r="C150" s="8"/>
      <c r="D150" s="8"/>
      <c r="E150" s="8"/>
      <c r="F150" s="8"/>
      <c r="G150" s="8"/>
      <c r="H150" s="8"/>
    </row>
    <row r="151" spans="1:8" x14ac:dyDescent="0.35">
      <c r="A151" s="8"/>
      <c r="B151" s="8"/>
      <c r="C151" s="8"/>
      <c r="D151" s="8"/>
      <c r="E151" s="8"/>
      <c r="F151" s="8"/>
      <c r="G151" s="8"/>
      <c r="H151" s="8"/>
    </row>
    <row r="152" spans="1:8" x14ac:dyDescent="0.35">
      <c r="A152" s="8"/>
      <c r="B152" s="8"/>
      <c r="C152" s="8"/>
      <c r="D152" s="8"/>
      <c r="E152" s="8"/>
      <c r="F152" s="8"/>
      <c r="G152" s="8"/>
      <c r="H152" s="8"/>
    </row>
    <row r="153" spans="1:8" x14ac:dyDescent="0.35">
      <c r="A153" s="8"/>
      <c r="B153" s="8"/>
      <c r="C153" s="8"/>
      <c r="D153" s="8"/>
      <c r="E153" s="8"/>
      <c r="F153" s="8"/>
      <c r="G153" s="8"/>
      <c r="H153" s="8"/>
    </row>
    <row r="154" spans="1:8" x14ac:dyDescent="0.35">
      <c r="A154" s="8"/>
      <c r="B154" s="8"/>
      <c r="C154" s="8"/>
      <c r="D154" s="8"/>
      <c r="E154" s="8"/>
      <c r="F154" s="8"/>
      <c r="G154" s="8"/>
      <c r="H154" s="8"/>
    </row>
    <row r="155" spans="1:8" x14ac:dyDescent="0.35">
      <c r="A155" s="8"/>
      <c r="B155" s="8"/>
      <c r="C155" s="8"/>
      <c r="D155" s="8"/>
      <c r="E155" s="8"/>
      <c r="F155" s="8"/>
      <c r="G155" s="8"/>
      <c r="H155" s="8"/>
    </row>
    <row r="156" spans="1:8" x14ac:dyDescent="0.35">
      <c r="A156" s="8"/>
      <c r="B156" s="8"/>
      <c r="C156" s="8"/>
      <c r="D156" s="8"/>
      <c r="E156" s="8"/>
      <c r="F156" s="8"/>
      <c r="G156" s="8"/>
      <c r="H156" s="8"/>
    </row>
    <row r="157" spans="1:8" x14ac:dyDescent="0.35">
      <c r="A157" s="8"/>
      <c r="B157" s="8"/>
      <c r="C157" s="8"/>
      <c r="D157" s="8"/>
      <c r="E157" s="8"/>
      <c r="F157" s="8"/>
      <c r="G157" s="8"/>
      <c r="H157" s="8"/>
    </row>
    <row r="158" spans="1:8" x14ac:dyDescent="0.35">
      <c r="A158" s="8"/>
      <c r="B158" s="8"/>
      <c r="C158" s="8"/>
      <c r="D158" s="8"/>
      <c r="E158" s="8"/>
      <c r="F158" s="8"/>
      <c r="G158" s="8"/>
      <c r="H158" s="8"/>
    </row>
    <row r="159" spans="1:8" x14ac:dyDescent="0.35">
      <c r="A159" s="8"/>
      <c r="B159" s="8"/>
      <c r="C159" s="8"/>
      <c r="D159" s="8"/>
      <c r="E159" s="8"/>
      <c r="F159" s="8"/>
      <c r="G159" s="8"/>
      <c r="H159" s="8"/>
    </row>
    <row r="160" spans="1:8" x14ac:dyDescent="0.35">
      <c r="A160" s="8"/>
      <c r="B160" s="8"/>
      <c r="C160" s="8"/>
      <c r="D160" s="8"/>
      <c r="E160" s="8"/>
      <c r="F160" s="8"/>
      <c r="G160" s="8"/>
      <c r="H160" s="8"/>
    </row>
    <row r="161" spans="1:8" x14ac:dyDescent="0.35">
      <c r="A161" s="8"/>
      <c r="B161" s="8"/>
      <c r="C161" s="8"/>
      <c r="D161" s="8"/>
      <c r="E161" s="8"/>
      <c r="F161" s="8"/>
      <c r="G161" s="8"/>
      <c r="H161" s="8"/>
    </row>
    <row r="162" spans="1:8" x14ac:dyDescent="0.35">
      <c r="A162" s="8"/>
      <c r="B162" s="8"/>
      <c r="C162" s="8"/>
      <c r="D162" s="8"/>
      <c r="E162" s="8"/>
      <c r="F162" s="8"/>
      <c r="G162" s="8"/>
      <c r="H162" s="8"/>
    </row>
    <row r="163" spans="1:8" x14ac:dyDescent="0.35">
      <c r="A163" s="8"/>
      <c r="B163" s="8"/>
      <c r="C163" s="8"/>
      <c r="D163" s="8"/>
      <c r="E163" s="8"/>
      <c r="F163" s="8"/>
      <c r="G163" s="8"/>
      <c r="H163" s="8"/>
    </row>
    <row r="164" spans="1:8" x14ac:dyDescent="0.35">
      <c r="A164" s="8"/>
      <c r="B164" s="8"/>
      <c r="C164" s="8"/>
      <c r="D164" s="8"/>
      <c r="E164" s="8"/>
      <c r="F164" s="8"/>
      <c r="G164" s="8"/>
      <c r="H164" s="8"/>
    </row>
    <row r="165" spans="1:8" x14ac:dyDescent="0.35">
      <c r="A165" s="8"/>
      <c r="B165" s="8"/>
      <c r="C165" s="8"/>
      <c r="D165" s="8"/>
      <c r="E165" s="8"/>
      <c r="F165" s="8"/>
      <c r="G165" s="8"/>
      <c r="H165" s="8"/>
    </row>
    <row r="166" spans="1:8" x14ac:dyDescent="0.35">
      <c r="A166" s="8"/>
      <c r="B166" s="8"/>
      <c r="C166" s="8"/>
      <c r="D166" s="8"/>
      <c r="E166" s="8"/>
      <c r="F166" s="8"/>
      <c r="G166" s="8"/>
      <c r="H166" s="8"/>
    </row>
    <row r="167" spans="1:8" x14ac:dyDescent="0.35">
      <c r="A167" s="8"/>
      <c r="B167" s="8"/>
      <c r="C167" s="8"/>
      <c r="D167" s="8"/>
      <c r="E167" s="8"/>
      <c r="F167" s="8"/>
      <c r="G167" s="8"/>
      <c r="H167" s="8"/>
    </row>
    <row r="168" spans="1:8" x14ac:dyDescent="0.35">
      <c r="A168" s="8"/>
      <c r="B168" s="8"/>
      <c r="C168" s="8"/>
      <c r="D168" s="8"/>
      <c r="E168" s="8"/>
      <c r="F168" s="8"/>
      <c r="G168" s="8"/>
      <c r="H168" s="8"/>
    </row>
    <row r="169" spans="1:8" x14ac:dyDescent="0.35">
      <c r="A169" s="8"/>
      <c r="B169" s="8"/>
      <c r="C169" s="8"/>
      <c r="D169" s="8"/>
      <c r="E169" s="8"/>
      <c r="F169" s="8"/>
      <c r="G169" s="8"/>
      <c r="H169" s="8"/>
    </row>
    <row r="170" spans="1:8" x14ac:dyDescent="0.35">
      <c r="A170" s="8"/>
      <c r="B170" s="8"/>
      <c r="C170" s="8"/>
      <c r="D170" s="8"/>
      <c r="E170" s="8"/>
      <c r="F170" s="8"/>
      <c r="G170" s="8"/>
      <c r="H170" s="8"/>
    </row>
    <row r="171" spans="1:8" x14ac:dyDescent="0.35">
      <c r="A171" s="8"/>
      <c r="B171" s="8"/>
      <c r="C171" s="8"/>
      <c r="D171" s="8"/>
      <c r="E171" s="8"/>
      <c r="F171" s="8"/>
      <c r="G171" s="8"/>
      <c r="H171" s="8"/>
    </row>
    <row r="172" spans="1:8" x14ac:dyDescent="0.35">
      <c r="A172" s="8"/>
      <c r="B172" s="8"/>
      <c r="C172" s="8"/>
      <c r="D172" s="8"/>
      <c r="E172" s="8"/>
      <c r="F172" s="8"/>
      <c r="G172" s="8"/>
      <c r="H172" s="8"/>
    </row>
    <row r="173" spans="1:8" x14ac:dyDescent="0.35">
      <c r="A173" s="8"/>
      <c r="B173" s="8"/>
      <c r="C173" s="8"/>
      <c r="D173" s="8"/>
      <c r="E173" s="8"/>
      <c r="F173" s="8"/>
      <c r="G173" s="8"/>
      <c r="H173" s="8"/>
    </row>
    <row r="174" spans="1:8" x14ac:dyDescent="0.35">
      <c r="A174" s="8"/>
      <c r="B174" s="8"/>
      <c r="C174" s="8"/>
      <c r="D174" s="8"/>
      <c r="E174" s="8"/>
      <c r="F174" s="8"/>
      <c r="G174" s="8"/>
      <c r="H174" s="8"/>
    </row>
    <row r="175" spans="1:8" x14ac:dyDescent="0.35">
      <c r="A175" s="8"/>
      <c r="B175" s="8"/>
      <c r="C175" s="8"/>
      <c r="D175" s="8"/>
      <c r="E175" s="8"/>
      <c r="F175" s="8"/>
      <c r="G175" s="8"/>
      <c r="H175" s="8"/>
    </row>
    <row r="176" spans="1:8" x14ac:dyDescent="0.35">
      <c r="A176" s="8"/>
      <c r="B176" s="8"/>
      <c r="C176" s="8"/>
      <c r="D176" s="8"/>
      <c r="E176" s="8"/>
      <c r="F176" s="8"/>
      <c r="G176" s="8"/>
      <c r="H176" s="8"/>
    </row>
    <row r="177" spans="1:8" x14ac:dyDescent="0.35">
      <c r="A177" s="8"/>
      <c r="B177" s="8"/>
      <c r="C177" s="8"/>
      <c r="D177" s="8"/>
      <c r="E177" s="8"/>
      <c r="F177" s="8"/>
      <c r="G177" s="8"/>
      <c r="H177" s="8"/>
    </row>
    <row r="178" spans="1:8" x14ac:dyDescent="0.35">
      <c r="A178" s="8"/>
      <c r="B178" s="8"/>
      <c r="C178" s="8"/>
      <c r="D178" s="8"/>
      <c r="E178" s="8"/>
      <c r="F178" s="8"/>
      <c r="G178" s="8"/>
      <c r="H178" s="8"/>
    </row>
    <row r="179" spans="1:8" x14ac:dyDescent="0.35">
      <c r="A179" s="8"/>
      <c r="B179" s="8"/>
      <c r="C179" s="8"/>
      <c r="D179" s="8"/>
      <c r="E179" s="8"/>
      <c r="F179" s="8"/>
      <c r="G179" s="8"/>
      <c r="H179" s="8"/>
    </row>
    <row r="180" spans="1:8" x14ac:dyDescent="0.35">
      <c r="A180" s="8"/>
      <c r="B180" s="8"/>
      <c r="C180" s="8"/>
      <c r="D180" s="8"/>
      <c r="E180" s="8"/>
      <c r="F180" s="8"/>
      <c r="G180" s="8"/>
      <c r="H180" s="8"/>
    </row>
    <row r="181" spans="1:8" x14ac:dyDescent="0.35">
      <c r="A181" s="8"/>
      <c r="B181" s="8"/>
      <c r="C181" s="8"/>
      <c r="D181" s="8"/>
      <c r="E181" s="8"/>
      <c r="F181" s="8"/>
      <c r="G181" s="8"/>
      <c r="H181" s="8"/>
    </row>
    <row r="182" spans="1:8" x14ac:dyDescent="0.35">
      <c r="A182" s="8"/>
      <c r="B182" s="8"/>
      <c r="C182" s="8"/>
      <c r="D182" s="8"/>
      <c r="E182" s="8"/>
      <c r="F182" s="8"/>
      <c r="G182" s="8"/>
      <c r="H182" s="8"/>
    </row>
    <row r="183" spans="1:8" x14ac:dyDescent="0.35">
      <c r="A183" s="8"/>
      <c r="B183" s="8"/>
      <c r="C183" s="8"/>
      <c r="D183" s="8"/>
      <c r="E183" s="8"/>
      <c r="F183" s="8"/>
      <c r="G183" s="8"/>
      <c r="H183" s="8"/>
    </row>
    <row r="184" spans="1:8" x14ac:dyDescent="0.35">
      <c r="A184" s="8"/>
      <c r="B184" s="8"/>
      <c r="C184" s="8"/>
      <c r="D184" s="8"/>
      <c r="E184" s="8"/>
      <c r="F184" s="8"/>
      <c r="G184" s="8"/>
      <c r="H184" s="8"/>
    </row>
    <row r="185" spans="1:8" x14ac:dyDescent="0.35">
      <c r="A185" s="8"/>
      <c r="B185" s="8"/>
      <c r="C185" s="8"/>
      <c r="D185" s="8"/>
      <c r="E185" s="8"/>
      <c r="F185" s="8"/>
      <c r="G185" s="8"/>
      <c r="H185" s="8"/>
    </row>
    <row r="186" spans="1:8" x14ac:dyDescent="0.35">
      <c r="A186" s="8"/>
      <c r="B186" s="8"/>
      <c r="C186" s="8"/>
      <c r="D186" s="8"/>
      <c r="E186" s="8"/>
      <c r="F186" s="8"/>
      <c r="G186" s="8"/>
      <c r="H186" s="8"/>
    </row>
    <row r="187" spans="1:8" x14ac:dyDescent="0.35">
      <c r="A187" s="8"/>
      <c r="B187" s="8"/>
      <c r="C187" s="8"/>
      <c r="D187" s="8"/>
      <c r="E187" s="8"/>
      <c r="F187" s="8"/>
      <c r="G187" s="8"/>
      <c r="H187" s="8"/>
    </row>
    <row r="188" spans="1:8" x14ac:dyDescent="0.35">
      <c r="A188" s="8"/>
      <c r="B188" s="8"/>
      <c r="C188" s="8"/>
      <c r="D188" s="8"/>
      <c r="E188" s="8"/>
      <c r="F188" s="8"/>
      <c r="G188" s="8"/>
      <c r="H188" s="8"/>
    </row>
    <row r="189" spans="1:8" x14ac:dyDescent="0.35">
      <c r="A189" s="8"/>
      <c r="B189" s="8"/>
      <c r="C189" s="8"/>
      <c r="D189" s="8"/>
      <c r="E189" s="8"/>
      <c r="F189" s="8"/>
      <c r="G189" s="8"/>
      <c r="H189" s="8"/>
    </row>
    <row r="190" spans="1:8" x14ac:dyDescent="0.35">
      <c r="B190" t="s">
        <v>1369</v>
      </c>
    </row>
  </sheetData>
  <mergeCells count="23">
    <mergeCell ref="D34:F35"/>
    <mergeCell ref="B28:D29"/>
    <mergeCell ref="F28:H28"/>
    <mergeCell ref="F29:H29"/>
    <mergeCell ref="D31:F31"/>
    <mergeCell ref="D32:F32"/>
    <mergeCell ref="D33:F33"/>
    <mergeCell ref="C15:D15"/>
    <mergeCell ref="C23:D23"/>
    <mergeCell ref="B26:D26"/>
    <mergeCell ref="F26:H26"/>
    <mergeCell ref="B27:D27"/>
    <mergeCell ref="F27:H27"/>
    <mergeCell ref="G4:H4"/>
    <mergeCell ref="G5:H5"/>
    <mergeCell ref="F10:H10"/>
    <mergeCell ref="F11:H11"/>
    <mergeCell ref="F12:H12"/>
    <mergeCell ref="B13:B14"/>
    <mergeCell ref="C13:D14"/>
    <mergeCell ref="E13:E14"/>
    <mergeCell ref="F13:F14"/>
    <mergeCell ref="G13:H13"/>
  </mergeCells>
  <dataValidations count="1">
    <dataValidation type="list" allowBlank="1" showInputMessage="1" showErrorMessage="1" sqref="G5:H5">
      <formula1>$K$5:$K$24</formula1>
    </dataValidation>
  </dataValidations>
  <printOptions horizontalCentered="1"/>
  <pageMargins left="0.70866141732283472" right="0.70866141732283472" top="0.74803149606299213" bottom="0.74803149606299213" header="0.31496062992125984" footer="0.31496062992125984"/>
  <pageSetup scale="75" orientation="portrait" horizontalDpi="4294967293" verticalDpi="4294967293" r:id="rId1"/>
  <rowBreaks count="1" manualBreakCount="1">
    <brk id="50" max="16383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13</vt:i4>
      </vt:variant>
    </vt:vector>
  </HeadingPairs>
  <TitlesOfParts>
    <vt:vector size="18" baseType="lpstr">
      <vt:lpstr>Control</vt:lpstr>
      <vt:lpstr>Inventario</vt:lpstr>
      <vt:lpstr>Proyectos</vt:lpstr>
      <vt:lpstr>Conceptos Desglosados</vt:lpstr>
      <vt:lpstr>Factura</vt:lpstr>
      <vt:lpstr>alojamiento</vt:lpstr>
      <vt:lpstr>comandancia</vt:lpstr>
      <vt:lpstr>comedor</vt:lpstr>
      <vt:lpstr>comyaloj</vt:lpstr>
      <vt:lpstr>conceptos2</vt:lpstr>
      <vt:lpstr>conferencias</vt:lpstr>
      <vt:lpstr>dormitorios</vt:lpstr>
      <vt:lpstr>lista</vt:lpstr>
      <vt:lpstr>mantenimiento</vt:lpstr>
      <vt:lpstr>PROYECTOS</vt:lpstr>
      <vt:lpstr>sanidad</vt:lpstr>
      <vt:lpstr>serestatal</vt:lpstr>
      <vt:lpstr>servicios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salinas</dc:creator>
  <cp:lastModifiedBy>salinas</cp:lastModifiedBy>
  <dcterms:created xsi:type="dcterms:W3CDTF">2015-11-25T22:27:19Z</dcterms:created>
  <dcterms:modified xsi:type="dcterms:W3CDTF">2016-02-12T09:34:47Z</dcterms:modified>
</cp:coreProperties>
</file>